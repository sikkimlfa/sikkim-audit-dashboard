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pto 2018" sheetId="1" r:id="rId5"/>
    <sheet state="visible" name="2019 to 2023" sheetId="2" r:id="rId6"/>
    <sheet state="visible" name="2024 to" sheetId="3" r:id="rId7"/>
  </sheets>
  <definedNames/>
  <calcPr/>
</workbook>
</file>

<file path=xl/sharedStrings.xml><?xml version="1.0" encoding="utf-8"?>
<sst xmlns="http://schemas.openxmlformats.org/spreadsheetml/2006/main" count="16622" uniqueCount="1568">
  <si>
    <t>ACAR</t>
  </si>
  <si>
    <t>FY</t>
  </si>
  <si>
    <t>BLOCK</t>
  </si>
  <si>
    <t>UNIT</t>
  </si>
  <si>
    <t>FINANCIAL YEAR</t>
  </si>
  <si>
    <t>SCHEME</t>
  </si>
  <si>
    <t>Block Administrative Center</t>
  </si>
  <si>
    <t>OPENING
BALANCE</t>
  </si>
  <si>
    <t>Gram Panchayat Unit</t>
  </si>
  <si>
    <t>Scheme</t>
  </si>
  <si>
    <t>RECEIPT + INTEREST</t>
  </si>
  <si>
    <t>Opening Balance</t>
  </si>
  <si>
    <t>TOTAL
RECEIPT</t>
  </si>
  <si>
    <t>Receipt</t>
  </si>
  <si>
    <t>PAYMENT</t>
  </si>
  <si>
    <t>Interest</t>
  </si>
  <si>
    <t>CLOSING
BALANCE</t>
  </si>
  <si>
    <t>Total receipt</t>
  </si>
  <si>
    <t>Payment</t>
  </si>
  <si>
    <t>Block</t>
  </si>
  <si>
    <t>2022-23</t>
  </si>
  <si>
    <t>Closing Balance</t>
  </si>
  <si>
    <t>RAKDONG TINTEK</t>
  </si>
  <si>
    <t>RAKDONG
TINTEK</t>
  </si>
  <si>
    <t>GPU</t>
  </si>
  <si>
    <t>15TH FC</t>
  </si>
  <si>
    <t>2014-15</t>
  </si>
  <si>
    <t>GIA</t>
  </si>
  <si>
    <t>Khamdong</t>
  </si>
  <si>
    <t>Opening</t>
  </si>
  <si>
    <t>SFC/PANCHAYAT HONARARIUM</t>
  </si>
  <si>
    <t>Receipts 1</t>
  </si>
  <si>
    <t>OSR</t>
  </si>
  <si>
    <t>Receipts 2</t>
  </si>
  <si>
    <t>14TH FC(PDF)</t>
  </si>
  <si>
    <t>Receipts 3</t>
  </si>
  <si>
    <t>Dung Dung Thasa</t>
  </si>
  <si>
    <t>6,18,496</t>
  </si>
  <si>
    <t>Receipts 4</t>
  </si>
  <si>
    <t>11,15,303</t>
  </si>
  <si>
    <t>PATUK
 SINGBEL</t>
  </si>
  <si>
    <t>14TH FC(WEF 18/6/22 TO 21/9/22</t>
  </si>
  <si>
    <t>17,38,860</t>
  </si>
  <si>
    <t>13,97,970</t>
  </si>
  <si>
    <t>Total Receipts</t>
  </si>
  <si>
    <t>3,40,890</t>
  </si>
  <si>
    <t>Payments</t>
  </si>
  <si>
    <t>5TH SFC/GIA</t>
  </si>
  <si>
    <t>Simik Lingzey</t>
  </si>
  <si>
    <t>Fund Transferred</t>
  </si>
  <si>
    <t>SAMDONG KAMBAL</t>
  </si>
  <si>
    <t>Closing
Balance</t>
  </si>
  <si>
    <t>26,62,111</t>
  </si>
  <si>
    <t>17,62,773</t>
  </si>
  <si>
    <t>SFC/OSR/GIA</t>
  </si>
  <si>
    <t>TUMIN</t>
  </si>
  <si>
    <t>SFC</t>
  </si>
  <si>
    <t>Sirwani Chisopani</t>
  </si>
  <si>
    <t>7,67,790</t>
  </si>
  <si>
    <t>4,57,036</t>
  </si>
  <si>
    <t>KHAM DONG</t>
  </si>
  <si>
    <t>KHAMDONG</t>
  </si>
  <si>
    <t>15THFC</t>
  </si>
  <si>
    <t>Nandok</t>
  </si>
  <si>
    <t>Assam Lingzey</t>
  </si>
  <si>
    <t>15,40,872</t>
  </si>
  <si>
    <t>9,20,748</t>
  </si>
  <si>
    <t>Kabi-Tingda</t>
  </si>
  <si>
    <t>Bhusuk Naitam</t>
  </si>
  <si>
    <t>TRADE LICENSE</t>
  </si>
  <si>
    <t>13,09,285</t>
  </si>
  <si>
    <t>12,51,492</t>
  </si>
  <si>
    <t>DUNG DUNG
THASA</t>
  </si>
  <si>
    <t>Gnathang</t>
  </si>
  <si>
    <t>24,63,034</t>
  </si>
  <si>
    <t>9,31,070</t>
  </si>
  <si>
    <t>14TH FC</t>
  </si>
  <si>
    <t>Kopibari Syari</t>
  </si>
  <si>
    <t>5TH SFC</t>
  </si>
  <si>
    <t>Phensong</t>
  </si>
  <si>
    <t>12,23,182</t>
  </si>
  <si>
    <t>8,48,996</t>
  </si>
  <si>
    <t>CHISOPANI</t>
  </si>
  <si>
    <t>GIA/5TH SFC</t>
  </si>
  <si>
    <t>Kyongnosla</t>
  </si>
  <si>
    <t>14,95,933</t>
  </si>
  <si>
    <t>10,81,942</t>
  </si>
  <si>
    <t>Men-Rongong</t>
  </si>
  <si>
    <t>SIRWANI</t>
  </si>
  <si>
    <t>Nandok Saramsa</t>
  </si>
  <si>
    <t>2,22,034</t>
  </si>
  <si>
    <t>11,36,288</t>
  </si>
  <si>
    <t>SFC/GIA</t>
  </si>
  <si>
    <t>Ranka</t>
  </si>
  <si>
    <t>SIMIK
LINGZEY</t>
  </si>
  <si>
    <t>NOT PRODUCED</t>
  </si>
  <si>
    <t>13,65,273</t>
  </si>
  <si>
    <t>MARTAM</t>
  </si>
  <si>
    <t>9,82,649</t>
  </si>
  <si>
    <t>3,82,624</t>
  </si>
  <si>
    <t>Rey-Mindu</t>
  </si>
  <si>
    <t>Rongey Tathangchen</t>
  </si>
  <si>
    <t>12,38,526</t>
  </si>
  <si>
    <t>9,35,142</t>
  </si>
  <si>
    <t>15TH FC(OPENING BALANCE FROM 1/6/22 FROM PASSBOOK)</t>
  </si>
  <si>
    <t>Luing Barbing</t>
  </si>
  <si>
    <t>Duga</t>
  </si>
  <si>
    <t>Budang Kamerey</t>
  </si>
  <si>
    <t>21,07,349</t>
  </si>
  <si>
    <t>BEING
PHEGYONG</t>
  </si>
  <si>
    <t>9,72,730</t>
  </si>
  <si>
    <t>Central Pendam</t>
  </si>
  <si>
    <t>GMC</t>
  </si>
  <si>
    <t>15,91,402</t>
  </si>
  <si>
    <t>BRGF</t>
  </si>
  <si>
    <t>6,08,036</t>
  </si>
  <si>
    <t>Sumin Lingzey</t>
  </si>
  <si>
    <t>3,00,904</t>
  </si>
  <si>
    <t>2,95,024</t>
  </si>
  <si>
    <t>NAMLI</t>
  </si>
  <si>
    <t>Rakdong Tintek</t>
  </si>
  <si>
    <t>Patuk Singbel</t>
  </si>
  <si>
    <t>SAMLIK
MARCHAK</t>
  </si>
  <si>
    <t>Samdung Kambel</t>
  </si>
  <si>
    <t>SALARY</t>
  </si>
  <si>
    <t>Tumin</t>
  </si>
  <si>
    <t>NANDOK</t>
  </si>
  <si>
    <t>NANDOK
SARAMSA</t>
  </si>
  <si>
    <t>Parakha</t>
  </si>
  <si>
    <t>GIA/15TH FC/SFC</t>
  </si>
  <si>
    <t>Rewa</t>
  </si>
  <si>
    <t>Latuk</t>
  </si>
  <si>
    <t>Linkey Parakha</t>
  </si>
  <si>
    <t>Gyalshing</t>
  </si>
  <si>
    <t>GNATHANG</t>
  </si>
  <si>
    <t>Singyang-Chumbung</t>
  </si>
  <si>
    <t>Darap</t>
  </si>
  <si>
    <t>Lingchom-Tikjek</t>
  </si>
  <si>
    <t>OSR TRADE LICENSE</t>
  </si>
  <si>
    <t>Yangtey</t>
  </si>
  <si>
    <t>KOPIBARI
SYARI</t>
  </si>
  <si>
    <t>yangthang</t>
  </si>
  <si>
    <t>Gyalshing Omchung</t>
  </si>
  <si>
    <t>Dentam</t>
  </si>
  <si>
    <t>Sardong Lungzik</t>
  </si>
  <si>
    <t>BHUSUK
NAITAM</t>
  </si>
  <si>
    <t>Hee</t>
  </si>
  <si>
    <t>GIA/14TH FC/SFC</t>
  </si>
  <si>
    <t>Gyaten- Karmatar</t>
  </si>
  <si>
    <t>RONGAY
TATHANG CHEN</t>
  </si>
  <si>
    <t>Disaster Management</t>
  </si>
  <si>
    <t>Maneybung-Sopakha</t>
  </si>
  <si>
    <t>ASSAM
LINGZEY</t>
  </si>
  <si>
    <t>Sangkhuradhukhandu</t>
  </si>
  <si>
    <t>Exp. Account</t>
  </si>
  <si>
    <t>Bongten-Sapong</t>
  </si>
  <si>
    <t>Details Not Furnished</t>
  </si>
  <si>
    <t>Hee Martam</t>
  </si>
  <si>
    <t>Relief Account</t>
  </si>
  <si>
    <t>27 - Bermiok Berhang</t>
  </si>
  <si>
    <t>RANKA</t>
  </si>
  <si>
    <t>26 - Pecherek Heepatal</t>
  </si>
  <si>
    <t>Revenue Account</t>
  </si>
  <si>
    <t>28-Chingthang</t>
  </si>
  <si>
    <t>LUING
PERBING</t>
  </si>
  <si>
    <t>Kaluk</t>
  </si>
  <si>
    <t>SJRY</t>
  </si>
  <si>
    <t>Sangadorjee</t>
  </si>
  <si>
    <t>Samdong GPU</t>
  </si>
  <si>
    <t>EDZP</t>
  </si>
  <si>
    <t>RAWTEY
RUMTEK</t>
  </si>
  <si>
    <t>Tadong Rinchenpong</t>
  </si>
  <si>
    <t>14TH/FC/SFC/ OSR</t>
  </si>
  <si>
    <t>TFC</t>
  </si>
  <si>
    <t>REY
MINDU</t>
  </si>
  <si>
    <t>Deythang</t>
  </si>
  <si>
    <t>Chumbung</t>
  </si>
  <si>
    <t>Chakung</t>
  </si>
  <si>
    <t>DUGA</t>
  </si>
  <si>
    <t>CENTRAL
PENDAM</t>
  </si>
  <si>
    <t>Line Deptt.</t>
  </si>
  <si>
    <t>OSR/ GIA</t>
  </si>
  <si>
    <t>BUDANG
KAMAREY</t>
  </si>
  <si>
    <t>Dir. &amp; Adm.</t>
  </si>
  <si>
    <t>Mendong Botey</t>
  </si>
  <si>
    <t>KABI TINGDA GPU</t>
  </si>
  <si>
    <t>State Finance Commission</t>
  </si>
  <si>
    <t>Samsing Gelling</t>
  </si>
  <si>
    <t>2,15,816</t>
  </si>
  <si>
    <t>1,83,649</t>
  </si>
  <si>
    <t>3,99,465</t>
  </si>
  <si>
    <t>3,18,199</t>
  </si>
  <si>
    <t>WEST
PENDAM</t>
  </si>
  <si>
    <t>Zoom</t>
  </si>
  <si>
    <t>Backward Region Grant Fund</t>
  </si>
  <si>
    <t>4,62,486</t>
  </si>
  <si>
    <t>4,72,705</t>
  </si>
  <si>
    <t>4,71,847</t>
  </si>
  <si>
    <t>Tashiding</t>
  </si>
  <si>
    <t>Karjee Mangnam</t>
  </si>
  <si>
    <t>SUMIN
LINGZEY</t>
  </si>
  <si>
    <t>MGNREGA</t>
  </si>
  <si>
    <t>Dhupidara - Narkhola</t>
  </si>
  <si>
    <t>4,55,873</t>
  </si>
  <si>
    <t>71,09,000</t>
  </si>
  <si>
    <t>75,64,873</t>
  </si>
  <si>
    <t>74,29,194</t>
  </si>
  <si>
    <t>1,35,679</t>
  </si>
  <si>
    <t>Arithang Chongrong</t>
  </si>
  <si>
    <t>PAKYONG</t>
  </si>
  <si>
    <t>PAKYONG
YAKTEN</t>
  </si>
  <si>
    <t>13th. Finance Commission</t>
  </si>
  <si>
    <t>Nil</t>
  </si>
  <si>
    <t>2015-16</t>
  </si>
  <si>
    <t>6,00,000</t>
  </si>
  <si>
    <t>4,59,557</t>
  </si>
  <si>
    <t>Namchi Municipal Council</t>
  </si>
  <si>
    <t>14,06,825</t>
  </si>
  <si>
    <t>18,89,805</t>
  </si>
  <si>
    <t>11,68,928</t>
  </si>
  <si>
    <t>7,20,877</t>
  </si>
  <si>
    <t>25,75,909</t>
  </si>
  <si>
    <t>8,98,964</t>
  </si>
  <si>
    <t>Jorthang Nagar Panchayat</t>
  </si>
  <si>
    <t>EAST
PENDAM</t>
  </si>
  <si>
    <t>22,72,835</t>
  </si>
  <si>
    <t>21,80,501</t>
  </si>
  <si>
    <t>Gyalshing Nagar Panchayat</t>
  </si>
  <si>
    <t>SFC/GIA/OSR</t>
  </si>
  <si>
    <t>25,08,731</t>
  </si>
  <si>
    <t>AMBA
MAMRING</t>
  </si>
  <si>
    <t>17,97,664</t>
  </si>
  <si>
    <t>SFC/GIA/14TH FC</t>
  </si>
  <si>
    <t>15,55,164</t>
  </si>
  <si>
    <t>South District Zilla Panchayat</t>
  </si>
  <si>
    <t>10,74,681</t>
  </si>
  <si>
    <t>West District Zilla Panchayat</t>
  </si>
  <si>
    <t>30,31,230</t>
  </si>
  <si>
    <t>17,51,606</t>
  </si>
  <si>
    <t>24,41,989</t>
  </si>
  <si>
    <t>22,81,926</t>
  </si>
  <si>
    <t>Rongbul</t>
  </si>
  <si>
    <t>17,66,736</t>
  </si>
  <si>
    <t>12,80,901</t>
  </si>
  <si>
    <t>20,98,467</t>
  </si>
  <si>
    <t>Maniram Phalidara</t>
  </si>
  <si>
    <t>AHO
YANGTAM</t>
  </si>
  <si>
    <t>24,93,224</t>
  </si>
  <si>
    <t>23,84,698</t>
  </si>
  <si>
    <t>SFC( TILL 25/2/23)</t>
  </si>
  <si>
    <t>1,08,526</t>
  </si>
  <si>
    <t>22,25,375</t>
  </si>
  <si>
    <t>18,48,454</t>
  </si>
  <si>
    <t>Mamley Kamrang</t>
  </si>
  <si>
    <t>OSR/SD</t>
  </si>
  <si>
    <t>16,25,331</t>
  </si>
  <si>
    <t>Tingrithang</t>
  </si>
  <si>
    <t>8,99,916</t>
  </si>
  <si>
    <t>BERING
TAREY THANG</t>
  </si>
  <si>
    <t>35,07,733</t>
  </si>
  <si>
    <t>10,98,932</t>
  </si>
  <si>
    <t>20,15,153</t>
  </si>
  <si>
    <t>18,88,923</t>
  </si>
  <si>
    <t>CHALAM THANG
PACHEY KHANI</t>
  </si>
  <si>
    <t>GIA/OAR/SFC</t>
  </si>
  <si>
    <t>Damthang</t>
  </si>
  <si>
    <t>Samdong Kambel</t>
  </si>
  <si>
    <t>Sorok Shayampani</t>
  </si>
  <si>
    <t>PACHEY
SAMSING</t>
  </si>
  <si>
    <t>Riwa Machong</t>
  </si>
  <si>
    <t>Latuk Chuchenpheri</t>
  </si>
  <si>
    <t>Mikhola Boomtar</t>
  </si>
  <si>
    <t>TAZA</t>
  </si>
  <si>
    <t>Thekabong Parakha</t>
  </si>
  <si>
    <t>Kitam Manpur</t>
  </si>
  <si>
    <t>Lingchom-tikjek</t>
  </si>
  <si>
    <t>Assangthang</t>
  </si>
  <si>
    <t>yangtey</t>
  </si>
  <si>
    <t>NAMCHEYBONG</t>
  </si>
  <si>
    <t>GIA/SFC</t>
  </si>
  <si>
    <t>Temi</t>
  </si>
  <si>
    <t>Sardong</t>
  </si>
  <si>
    <t>Tarku Tanak</t>
  </si>
  <si>
    <t>PARAKHA</t>
  </si>
  <si>
    <t>LINKEY
PARAKHA</t>
  </si>
  <si>
    <t>Gyaten-Karmatar</t>
  </si>
  <si>
    <t>Ben Namprick</t>
  </si>
  <si>
    <t>RIWA
MACHONG</t>
  </si>
  <si>
    <t>Namphing</t>
  </si>
  <si>
    <t>25 - Martam GPU</t>
  </si>
  <si>
    <t>Bermoik Tokal</t>
  </si>
  <si>
    <t>LATUK
BARA PATHING</t>
  </si>
  <si>
    <t>Rameng Nizrameng</t>
  </si>
  <si>
    <t>Tinik Chisopani</t>
  </si>
  <si>
    <t>REGU</t>
  </si>
  <si>
    <t>Sangdorjee</t>
  </si>
  <si>
    <t>OSR/ SFC</t>
  </si>
  <si>
    <t>Poklok Denchung</t>
  </si>
  <si>
    <t>Samdong</t>
  </si>
  <si>
    <t>SBS</t>
  </si>
  <si>
    <t>RONGLI
CHANGEY LAKHA</t>
  </si>
  <si>
    <t>Salghari</t>
  </si>
  <si>
    <t>SALARY (NEW ACCOUNT)</t>
  </si>
  <si>
    <t>PREMLAKHA
SUBANEY DARA</t>
  </si>
  <si>
    <t>Gyaten Karmatar</t>
  </si>
  <si>
    <t>Bongten Sapung</t>
  </si>
  <si>
    <t>CHUJACHEN</t>
  </si>
  <si>
    <t>Maneybong Sopakha</t>
  </si>
  <si>
    <t>Mangan</t>
  </si>
  <si>
    <t>Ramthang Tangyak</t>
  </si>
  <si>
    <t>Sankhu Radu Khandu</t>
  </si>
  <si>
    <t>LINGTAM
PHADAM CHEN</t>
  </si>
  <si>
    <t>Namok Swayam</t>
  </si>
  <si>
    <t>REVENUE</t>
  </si>
  <si>
    <t>2013-14</t>
  </si>
  <si>
    <t>47-Borong Phamtam</t>
  </si>
  <si>
    <t>Mangshila Timbuk</t>
  </si>
  <si>
    <t>DALAP CHAND</t>
  </si>
  <si>
    <t>07-Rabong Sangmoo</t>
  </si>
  <si>
    <t>Thingchim chaday</t>
  </si>
  <si>
    <t>44-Ralang Namdung</t>
  </si>
  <si>
    <t>Ringhim nampatam</t>
  </si>
  <si>
    <t>ROLEP
LAMATEN</t>
  </si>
  <si>
    <t>42-Kewzing Bakhm</t>
  </si>
  <si>
    <t>Singhik Sentam</t>
  </si>
  <si>
    <t>41-Tinkitam Rayong</t>
  </si>
  <si>
    <t>Toong Naga</t>
  </si>
  <si>
    <t>43-Legsip</t>
  </si>
  <si>
    <t>45-Barfung Jarong</t>
  </si>
  <si>
    <t>SAL</t>
  </si>
  <si>
    <t>RHENOCK</t>
  </si>
  <si>
    <t>44-Tumin</t>
  </si>
  <si>
    <t>2016-17</t>
  </si>
  <si>
    <t>45-Samdong kambal</t>
  </si>
  <si>
    <t>19,57,326</t>
  </si>
  <si>
    <t>27,05,444</t>
  </si>
  <si>
    <t>16,31,199</t>
  </si>
  <si>
    <t>ARITAR</t>
  </si>
  <si>
    <t>46-Rakdong Tintek</t>
  </si>
  <si>
    <t>39,73,334</t>
  </si>
  <si>
    <t>39,99,402</t>
  </si>
  <si>
    <t>47-Patuk Singbel</t>
  </si>
  <si>
    <t>SUDUNG LAKHA</t>
  </si>
  <si>
    <t>38,62,165</t>
  </si>
  <si>
    <t>13-Rameng Nizrameng</t>
  </si>
  <si>
    <t>14TH FC/SFC/OSR</t>
  </si>
  <si>
    <t>25,43,325</t>
  </si>
  <si>
    <t>14-Perbing Dovan</t>
  </si>
  <si>
    <t>OSR NEW</t>
  </si>
  <si>
    <t>34,72,302</t>
  </si>
  <si>
    <t>TARPIN</t>
  </si>
  <si>
    <t>2,16,867</t>
  </si>
  <si>
    <t>15-Phong Chuba</t>
  </si>
  <si>
    <t>22,48,269</t>
  </si>
  <si>
    <t>16-Namthang Maneydara</t>
  </si>
  <si>
    <t>27,43,280</t>
  </si>
  <si>
    <t>28,66,527</t>
  </si>
  <si>
    <t>13,87,689</t>
  </si>
  <si>
    <t>SORENG</t>
  </si>
  <si>
    <t>17-Nagi Karek</t>
  </si>
  <si>
    <t>THARPU</t>
  </si>
  <si>
    <t>SFC/ OSR</t>
  </si>
  <si>
    <t>19,31,630</t>
  </si>
  <si>
    <t>18-Katen Phamphok</t>
  </si>
  <si>
    <t>TIMBUR BONG</t>
  </si>
  <si>
    <t>18,18,866</t>
  </si>
  <si>
    <t>19-Turung Mamring</t>
  </si>
  <si>
    <t>30,61,642</t>
  </si>
  <si>
    <t>20-Tangzi Bikmat</t>
  </si>
  <si>
    <t>21,74,487</t>
  </si>
  <si>
    <t>MANGSARI</t>
  </si>
  <si>
    <t>21-Rateypani</t>
  </si>
  <si>
    <t>KARTHOK BOJEK</t>
  </si>
  <si>
    <t>AMBA</t>
  </si>
  <si>
    <t>SIKTAM TIKPUR</t>
  </si>
  <si>
    <t>RAMTHANG TANEK</t>
  </si>
  <si>
    <t>SINGHIK SENTAM</t>
  </si>
  <si>
    <t>OKHREY</t>
  </si>
  <si>
    <t>TOONG NAGA</t>
  </si>
  <si>
    <t>MANGSHILA TIBUK</t>
  </si>
  <si>
    <t>BURIAKHOP</t>
  </si>
  <si>
    <t>TINGCHIM CHADEY</t>
  </si>
  <si>
    <t>RINGHIM NAMPATAM</t>
  </si>
  <si>
    <t>NAMOK SWAYEM</t>
  </si>
  <si>
    <t>UPPER THAMBONG</t>
  </si>
  <si>
    <t>EAST PENDAM</t>
  </si>
  <si>
    <t>CHALAMTHANG PACHEYKHANI</t>
  </si>
  <si>
    <t>PACHEY SAMSING</t>
  </si>
  <si>
    <t>SFC/ 14TH FC</t>
  </si>
  <si>
    <t>AHO YANGTAM</t>
  </si>
  <si>
    <t>RUMBUK</t>
  </si>
  <si>
    <t>2012-13</t>
  </si>
  <si>
    <t>SJSRY</t>
  </si>
  <si>
    <t>LUNGCHOK SALANG DANG</t>
  </si>
  <si>
    <t>SFC/OSR</t>
  </si>
  <si>
    <t>RELIEF FUND</t>
  </si>
  <si>
    <t>BSUP</t>
  </si>
  <si>
    <t>DISASTER MANAGEMENT</t>
  </si>
  <si>
    <t>RIBDI BHARENG</t>
  </si>
  <si>
    <t>ASSIGNED REVENUE</t>
  </si>
  <si>
    <t>Sangadorjee GPU</t>
  </si>
  <si>
    <t>-</t>
  </si>
  <si>
    <t>LOWER THAMBONG</t>
  </si>
  <si>
    <t>OSR/SFC/14TH FC</t>
  </si>
  <si>
    <t>DODAK</t>
  </si>
  <si>
    <t>Deythang GPU</t>
  </si>
  <si>
    <t>RALONG NAMLUNG</t>
  </si>
  <si>
    <t>TINKITAM RAYONG</t>
  </si>
  <si>
    <t>Mangsila Timbuk</t>
  </si>
  <si>
    <t>MNP</t>
  </si>
  <si>
    <t>BORONG PHAMTAM</t>
  </si>
  <si>
    <t>Thingchim Chaday</t>
  </si>
  <si>
    <t>Ringhim Nampatam</t>
  </si>
  <si>
    <t>RNP</t>
  </si>
  <si>
    <t>SNP</t>
  </si>
  <si>
    <t>KEWZING BAKHIM</t>
  </si>
  <si>
    <t>2012-14</t>
  </si>
  <si>
    <t>CHAKUNG</t>
  </si>
  <si>
    <t>CHOTA SAMDONG GPU</t>
  </si>
  <si>
    <t>2012-15</t>
  </si>
  <si>
    <t>HRDD</t>
  </si>
  <si>
    <t>GNP</t>
  </si>
  <si>
    <t>MENDO GAON BERBOTEY</t>
  </si>
  <si>
    <t>JNP</t>
  </si>
  <si>
    <t>CHUMBUNG</t>
  </si>
  <si>
    <t>NMC</t>
  </si>
  <si>
    <t>R/Tathangchen</t>
  </si>
  <si>
    <t>Nandok Sramsha</t>
  </si>
  <si>
    <t>Assam linzey</t>
  </si>
  <si>
    <t>EDZP 14-15</t>
  </si>
  <si>
    <t>Revenue/Canteen Rent</t>
  </si>
  <si>
    <t>NDZP 14-15</t>
  </si>
  <si>
    <t>Revenue from Conference hall, Canteen, Xerox, etc</t>
  </si>
  <si>
    <t>NDZP 15-16</t>
  </si>
  <si>
    <t>CHONGRANG</t>
  </si>
  <si>
    <t>CHUNG THANG</t>
  </si>
  <si>
    <t>LACHEN</t>
  </si>
  <si>
    <t>Nagar Nigam</t>
  </si>
  <si>
    <t>CHUNGTHANG</t>
  </si>
  <si>
    <t>DARAMDIN</t>
  </si>
  <si>
    <t>DZONGU</t>
  </si>
  <si>
    <t>KABI</t>
  </si>
  <si>
    <t>SHIPGYAR</t>
  </si>
  <si>
    <t>LACHUNG</t>
  </si>
  <si>
    <t>YUKSUM</t>
  </si>
  <si>
    <t>13TH FC</t>
  </si>
  <si>
    <t>PHENSONG</t>
  </si>
  <si>
    <t>3RD SFC</t>
  </si>
  <si>
    <t>Direction &amp; Administration</t>
  </si>
  <si>
    <t>MEN RONGRONG</t>
  </si>
  <si>
    <t>25 - Martam</t>
  </si>
  <si>
    <t>MSDP (SJE &amp; WD)</t>
  </si>
  <si>
    <t>27 - Bermiok Berthang</t>
  </si>
  <si>
    <t>State Fund - Development Fund</t>
  </si>
  <si>
    <t>TSP</t>
  </si>
  <si>
    <t>28 - Chingthang</t>
  </si>
  <si>
    <t>Mendogaon</t>
  </si>
  <si>
    <t>4TH SFC</t>
  </si>
  <si>
    <t>Samsing Galling</t>
  </si>
  <si>
    <t>SIG</t>
  </si>
  <si>
    <t>VWSC</t>
  </si>
  <si>
    <t>Khamdog</t>
  </si>
  <si>
    <t xml:space="preserve">NDZP </t>
  </si>
  <si>
    <t>LINGDOK NAMPONG</t>
  </si>
  <si>
    <t>KYONG NOSLA</t>
  </si>
  <si>
    <t>Kyongnosl</t>
  </si>
  <si>
    <t>TANGZI BIKMAT</t>
  </si>
  <si>
    <t>LINGCHOM TINGDA</t>
  </si>
  <si>
    <t>CHUBA PHONG</t>
  </si>
  <si>
    <t>TFC/FFC</t>
  </si>
  <si>
    <t>RONGRONG TUMLONG</t>
  </si>
  <si>
    <t>Maneybung – Sopakha</t>
  </si>
  <si>
    <t>KATENG PAMPHOK</t>
  </si>
  <si>
    <t>NAVEY SHOTAK</t>
  </si>
  <si>
    <t>NAGI KAREK</t>
  </si>
  <si>
    <t>RAMENG NIZRAMENG</t>
  </si>
  <si>
    <t>OTHER(S.N.P)</t>
  </si>
  <si>
    <t>29 - Chingthang</t>
  </si>
  <si>
    <t>KALUK</t>
  </si>
  <si>
    <t>DEYTHANG</t>
  </si>
  <si>
    <t>TURUNG MAMRING</t>
  </si>
  <si>
    <t>5TH SFC &amp; GIA</t>
  </si>
  <si>
    <t>SAMDONG SRIBADAM</t>
  </si>
  <si>
    <t>2013 - 14</t>
  </si>
  <si>
    <t>Lamating Tingmoo</t>
  </si>
  <si>
    <t>TFC SFC</t>
  </si>
  <si>
    <t>RINCHEN PONG</t>
  </si>
  <si>
    <t>Wok Omchu</t>
  </si>
  <si>
    <t>BIO DIVERSITY A/C</t>
  </si>
  <si>
    <t>27 Rong Bul</t>
  </si>
  <si>
    <t>SANGADORJEE</t>
  </si>
  <si>
    <t>MANGAN</t>
  </si>
  <si>
    <t>Sirwani Chiso pani</t>
  </si>
  <si>
    <t>28 Maniram Phalidara</t>
  </si>
  <si>
    <t>DISC</t>
  </si>
  <si>
    <t>NAMOK SWAYAM</t>
  </si>
  <si>
    <t>29 Kitam Manpur</t>
  </si>
  <si>
    <t>VAA SAL</t>
  </si>
  <si>
    <t>SINGHIK SSENTAM</t>
  </si>
  <si>
    <t>30 Mickhola Boomtar</t>
  </si>
  <si>
    <t>TINGCHIM CHANDEY</t>
  </si>
  <si>
    <t>31 Sorok Shyampani</t>
  </si>
  <si>
    <t>NAMTHANG</t>
  </si>
  <si>
    <t>RATEYPANI</t>
  </si>
  <si>
    <t>TANZI BIKMAT</t>
  </si>
  <si>
    <t>33 Assangthang</t>
  </si>
  <si>
    <t>PERBING DOVAN</t>
  </si>
  <si>
    <t>DEV FUND</t>
  </si>
  <si>
    <t>36 Mamley Kamrang</t>
  </si>
  <si>
    <t>KAREK KABREY</t>
  </si>
  <si>
    <t>37 Tingrithang</t>
  </si>
  <si>
    <t>14TH FC/SFC/GIA</t>
  </si>
  <si>
    <t>NANDU GAON</t>
  </si>
  <si>
    <t>POKLOK DENCHUNG</t>
  </si>
  <si>
    <t>SFC OSR GIA</t>
  </si>
  <si>
    <t>TINIK CHISOPANI</t>
  </si>
  <si>
    <t>PASSINGDONG</t>
  </si>
  <si>
    <t>LINGTHEM LINGDEM</t>
  </si>
  <si>
    <t>38 Damthang</t>
  </si>
  <si>
    <t>LINGDOK BERFOK</t>
  </si>
  <si>
    <t>TINGVONG</t>
  </si>
  <si>
    <t>Latuk-Chochen-Pheri</t>
  </si>
  <si>
    <t>SAKYONG PENTONG</t>
  </si>
  <si>
    <t>Riwa-Machong</t>
  </si>
  <si>
    <t>Thakabong Parakha</t>
  </si>
  <si>
    <t>SFC/SNP</t>
  </si>
  <si>
    <t>Arithang Chongrang</t>
  </si>
  <si>
    <t>INTEREST</t>
  </si>
  <si>
    <t>PASSINGDONG SAFFOO</t>
  </si>
  <si>
    <t>SFC/SIG</t>
  </si>
  <si>
    <t>SUMBUK</t>
  </si>
  <si>
    <t>LUNGCHOK KAMEREY</t>
  </si>
  <si>
    <t>North District Zilla Panchayat</t>
  </si>
  <si>
    <t>SFC,14THFC,SIG</t>
  </si>
  <si>
    <t>2,13,709</t>
  </si>
  <si>
    <t>Rangpo Nagar Panchayat</t>
  </si>
  <si>
    <t>AWARD MONEY &amp; BMC FUND</t>
  </si>
  <si>
    <t>Singtam Nagar Panchayat</t>
  </si>
  <si>
    <t>TURUK RAMABONG</t>
  </si>
  <si>
    <t>Mangan Nagar Panchayat</t>
  </si>
  <si>
    <t>DEV.</t>
  </si>
  <si>
    <t>SUMBUK KARTEKEY</t>
  </si>
  <si>
    <t>SADAM SUNTALEY</t>
  </si>
  <si>
    <t>SFC/14THFC</t>
  </si>
  <si>
    <t>MELLIDARA</t>
  </si>
  <si>
    <t>2014-16</t>
  </si>
  <si>
    <t>Gyalshing Municipal Council,West</t>
  </si>
  <si>
    <t>2014-17</t>
  </si>
  <si>
    <t>Namchi Municipal Council, South</t>
  </si>
  <si>
    <t>2015-17</t>
  </si>
  <si>
    <t>TEMI</t>
  </si>
  <si>
    <t>Gyalshing Municipal Council, West</t>
  </si>
  <si>
    <t>BERMIOK TOKAL</t>
  </si>
  <si>
    <t>SALARY VAA</t>
  </si>
  <si>
    <t>2015-18</t>
  </si>
  <si>
    <t>Naya Bazar Jorthang Municipal Council,South</t>
  </si>
  <si>
    <t>NAMTHANG MANEYDARA</t>
  </si>
  <si>
    <t>2015-19</t>
  </si>
  <si>
    <t>SFC/ 14TH FC/ OSR</t>
  </si>
  <si>
    <t>Namchi Municipal Council. South</t>
  </si>
  <si>
    <t>SFC/14TH FC</t>
  </si>
  <si>
    <t>2016-18</t>
  </si>
  <si>
    <t>SFC/TFC</t>
  </si>
  <si>
    <t>2016-19</t>
  </si>
  <si>
    <t>2016-20</t>
  </si>
  <si>
    <t>TARKU TENEK</t>
  </si>
  <si>
    <t>Expense A/c</t>
  </si>
  <si>
    <t>BEN NAMPRICK</t>
  </si>
  <si>
    <t>Revenue</t>
  </si>
  <si>
    <t>GIA (OLD A/C)</t>
  </si>
  <si>
    <t>SJSRY Fund</t>
  </si>
  <si>
    <t>13th FC Grant</t>
  </si>
  <si>
    <t>NAMPHING</t>
  </si>
  <si>
    <t>YANGANG</t>
  </si>
  <si>
    <t>SBM(IHHL)</t>
  </si>
  <si>
    <t>SRIPATAM</t>
  </si>
  <si>
    <t>Infrastructure Fund</t>
  </si>
  <si>
    <t>KOLTHANG TOKDAY</t>
  </si>
  <si>
    <t>Disaster Mgt.</t>
  </si>
  <si>
    <t>Challenge Fund</t>
  </si>
  <si>
    <t>LINGI</t>
  </si>
  <si>
    <t>BRGF Fund</t>
  </si>
  <si>
    <t>NIYA MAGZINE</t>
  </si>
  <si>
    <t>Allahabhad Bank</t>
  </si>
  <si>
    <t>LINGMO PAIYONG</t>
  </si>
  <si>
    <t>SFC/14TH FC/GIA/OSR INT.</t>
  </si>
  <si>
    <t>YANGANG RANGRANG</t>
  </si>
  <si>
    <t>14th FC Grants</t>
  </si>
  <si>
    <t>SBM(IECCB and SWM)</t>
  </si>
  <si>
    <t>KHECHEPERI</t>
  </si>
  <si>
    <t>SFC/5TH SFC/PANHON</t>
  </si>
  <si>
    <t>GMC-ICLEI</t>
  </si>
  <si>
    <t>MELIACHING</t>
  </si>
  <si>
    <t>RIMBI TIMBURBUNG</t>
  </si>
  <si>
    <t>East District Zilla Panchayat</t>
  </si>
  <si>
    <t>2017-18</t>
  </si>
  <si>
    <t>2018-19</t>
  </si>
  <si>
    <t>NAMCHI</t>
  </si>
  <si>
    <t>ASSANG THANG</t>
  </si>
  <si>
    <t>Due to the shortage of time and man power at DLFA, auditing of these Zilla Panchayats could not be done as the DLFA concentrated to complete the leftout GPUs from the Financial Year 2015-16 in this Financial Year.</t>
  </si>
  <si>
    <t>2014 - 15</t>
  </si>
  <si>
    <t>14TH FC,GIA AND SFC</t>
  </si>
  <si>
    <t>BOOMTAR</t>
  </si>
  <si>
    <t>Kabi Tingda</t>
  </si>
  <si>
    <t>Kabi Rongpa</t>
  </si>
  <si>
    <t>DAMTHANG</t>
  </si>
  <si>
    <t>5TH FC</t>
  </si>
  <si>
    <t>Navey Shotak</t>
  </si>
  <si>
    <t>KITAM MANPUR</t>
  </si>
  <si>
    <t>5TH SFC &amp; 14TH FC</t>
  </si>
  <si>
    <t>Rongong tumlong</t>
  </si>
  <si>
    <t>SFC/GRANT IN AID</t>
  </si>
  <si>
    <t>Men Rongong</t>
  </si>
  <si>
    <t>OLD ACCOUNT OF 14TH FC AND SFC</t>
  </si>
  <si>
    <t>MAMLEY KAMRANG</t>
  </si>
  <si>
    <t>Lingdok Nampong</t>
  </si>
  <si>
    <t>MANIRAM PHALIDARA</t>
  </si>
  <si>
    <t>14TH FC AND 4TH SFC</t>
  </si>
  <si>
    <t>Rhenock</t>
  </si>
  <si>
    <t>Sudunglakha</t>
  </si>
  <si>
    <t>MICKHOLA</t>
  </si>
  <si>
    <t>Tarpin</t>
  </si>
  <si>
    <t>RIONGBUL</t>
  </si>
  <si>
    <t>Soreng</t>
  </si>
  <si>
    <t>54- Bariakhop GPU</t>
  </si>
  <si>
    <t>SOROK SHYAMPANI</t>
  </si>
  <si>
    <t>38 –Chota Samdong</t>
  </si>
  <si>
    <t>TINGRI THANG</t>
  </si>
  <si>
    <t>53 Dodak</t>
  </si>
  <si>
    <t>14TH FC, 4TH FC, 5TH FC AND OSR</t>
  </si>
  <si>
    <t>52-Karthok Bojek</t>
  </si>
  <si>
    <t>DENTAM</t>
  </si>
  <si>
    <t>GITANG KARMATAR</t>
  </si>
  <si>
    <t>45 – Malbasey</t>
  </si>
  <si>
    <t>18,05,064</t>
  </si>
  <si>
    <t>5,29,732</t>
  </si>
  <si>
    <t>BONGTEN</t>
  </si>
  <si>
    <t>47 Soreng</t>
  </si>
  <si>
    <t>51 Tharpu</t>
  </si>
  <si>
    <t>HONORARIUM</t>
  </si>
  <si>
    <t>50 Timburbong</t>
  </si>
  <si>
    <t>Pakyong</t>
  </si>
  <si>
    <t>Aho- Yangtam</t>
  </si>
  <si>
    <t>HEE</t>
  </si>
  <si>
    <t>Amba</t>
  </si>
  <si>
    <t>MANEYBONG</t>
  </si>
  <si>
    <t>Chalamthang</t>
  </si>
  <si>
    <t>East Pandam</t>
  </si>
  <si>
    <t>SOPAKHA</t>
  </si>
  <si>
    <t>Namchebong</t>
  </si>
  <si>
    <t>GYAL SHING</t>
  </si>
  <si>
    <t>SINGYANG</t>
  </si>
  <si>
    <t>Pachey Samsing</t>
  </si>
  <si>
    <t>DISC. GRANT</t>
  </si>
  <si>
    <t>HON.</t>
  </si>
  <si>
    <t>Pakyong Yaakten</t>
  </si>
  <si>
    <t>Taza</t>
  </si>
  <si>
    <t>GYALSHING OMCHUNG</t>
  </si>
  <si>
    <t>Bering Tareythang</t>
  </si>
  <si>
    <t>YANG THANG</t>
  </si>
  <si>
    <t>DARAP</t>
  </si>
  <si>
    <t>08 - Ben Namprick</t>
  </si>
  <si>
    <t>09 - Temi</t>
  </si>
  <si>
    <t>YANGTEY</t>
  </si>
  <si>
    <t>10 - Tarku Tanak</t>
  </si>
  <si>
    <t>LINGCHOM TIKJYA</t>
  </si>
  <si>
    <t>11 - Namphing</t>
  </si>
  <si>
    <t>MARTAM HEE</t>
  </si>
  <si>
    <t>12 - Bermiok Tokal</t>
  </si>
  <si>
    <t>HEE MARTAM</t>
  </si>
  <si>
    <t>Rongong Tumlong</t>
  </si>
  <si>
    <t>22 - Sadam Suntoley</t>
  </si>
  <si>
    <t>PAN HON</t>
  </si>
  <si>
    <t>23 - Mellidara Paiyong</t>
  </si>
  <si>
    <t>GARBAGE</t>
  </si>
  <si>
    <t>24 - Turuk Ramabong</t>
  </si>
  <si>
    <t>CHING THANG</t>
  </si>
  <si>
    <t>25 - Lungchok Kamerey</t>
  </si>
  <si>
    <t>BERMIOK BARTHANG</t>
  </si>
  <si>
    <t>PECHEREK</t>
  </si>
  <si>
    <t>26 - Sumbuk Kartikey</t>
  </si>
  <si>
    <t>32 - Salghari</t>
  </si>
  <si>
    <t>54- Bariakhop</t>
  </si>
  <si>
    <t>PAN HON.</t>
  </si>
  <si>
    <t>34 - Poklok Denchung</t>
  </si>
  <si>
    <t>ZILLA -NAMCHI</t>
  </si>
  <si>
    <t>15th FC</t>
  </si>
  <si>
    <t>GIA/SAL</t>
  </si>
  <si>
    <t>35 - Tinik Chisopani</t>
  </si>
  <si>
    <t>ICDS</t>
  </si>
  <si>
    <t>LINGEE SOKPAY</t>
  </si>
  <si>
    <t>TFC &amp; FFC</t>
  </si>
  <si>
    <t>ZILLA SORENG</t>
  </si>
  <si>
    <t>GIA(SAL)</t>
  </si>
  <si>
    <t>ZILLA- PAKYONG</t>
  </si>
  <si>
    <t>Dev fund &amp; SFC</t>
  </si>
  <si>
    <t>GANGTOK ZILLA
PANCHAYAT</t>
  </si>
  <si>
    <t>D&amp;A</t>
  </si>
  <si>
    <t>LINGMOO PAYONG GPU</t>
  </si>
  <si>
    <t>ZILLA GYALSHING</t>
  </si>
  <si>
    <t>Dir &amp; Adm.</t>
  </si>
  <si>
    <t>Innovative funds</t>
  </si>
  <si>
    <t>Nirmal Gram</t>
  </si>
  <si>
    <t>Harvesting</t>
  </si>
  <si>
    <t>Zilla MANGAN</t>
  </si>
  <si>
    <t>SBI***791</t>
  </si>
  <si>
    <t>KOLTHANG TOKDAY GPU</t>
  </si>
  <si>
    <t>Work</t>
  </si>
  <si>
    <t>Axis***0155</t>
  </si>
  <si>
    <t>Adm</t>
  </si>
  <si>
    <t>2021-22</t>
  </si>
  <si>
    <t>Dev fund / SFC</t>
  </si>
  <si>
    <t>SBM</t>
  </si>
  <si>
    <t>NIYA MAMZING GPU</t>
  </si>
  <si>
    <t>SFC/DEV FUND</t>
  </si>
  <si>
    <t>14th FC</t>
  </si>
  <si>
    <t>SRIPATAM GAGYONG GPU</t>
  </si>
  <si>
    <t>Misc.</t>
  </si>
  <si>
    <t>YANGANG RANGANG</t>
  </si>
  <si>
    <t>Gangtok Municipal Corporation</t>
  </si>
  <si>
    <t>Expenditure Account</t>
  </si>
  <si>
    <t>14TH.F.C Grant</t>
  </si>
  <si>
    <t>Revenue A/C</t>
  </si>
  <si>
    <t>15thFC Grant</t>
  </si>
  <si>
    <t>BSUPF</t>
  </si>
  <si>
    <t>46/Budang GPU</t>
  </si>
  <si>
    <t>Solid waste management</t>
  </si>
  <si>
    <t>Parking lots</t>
  </si>
  <si>
    <t>BORONG PHAMTHANG</t>
  </si>
  <si>
    <t>TFC &amp; SFC</t>
  </si>
  <si>
    <t>Trade licence</t>
  </si>
  <si>
    <t>38 –Chota Samdong Arubotay</t>
  </si>
  <si>
    <t>Bazaar contract</t>
  </si>
  <si>
    <t>Entertainment Tax</t>
  </si>
  <si>
    <t>Rent from Shopping complex &amp; office building</t>
  </si>
  <si>
    <t>Hoarding &amp; Banner charges</t>
  </si>
  <si>
    <t>Sales of forms tender,Trade licence,BPP etc</t>
  </si>
  <si>
    <t>Fines &amp; Penalties</t>
  </si>
  <si>
    <t>Temporary Permission Fee</t>
  </si>
  <si>
    <t>Pay &amp; use toilet</t>
  </si>
  <si>
    <t>Building Constructions Regularisation fee</t>
  </si>
  <si>
    <t>Building construction-Permit fee,BPP sanction fee,certificate etc</t>
  </si>
  <si>
    <t>Interest on savings a/c</t>
  </si>
  <si>
    <t>LICENCE FEE</t>
  </si>
  <si>
    <t>Interest on fixed deposit</t>
  </si>
  <si>
    <t>2023-24</t>
  </si>
  <si>
    <t>Baiguney</t>
  </si>
  <si>
    <t>Samsing Pipaley</t>
  </si>
  <si>
    <t>49 Singling</t>
  </si>
  <si>
    <t>5th SFC</t>
  </si>
  <si>
    <t>BARFUNG ZARRONG</t>
  </si>
  <si>
    <t>Mabong Segeg</t>
  </si>
  <si>
    <t>Gelling Baiguney</t>
  </si>
  <si>
    <t>Martam</t>
  </si>
  <si>
    <t>Byeng Phegyong</t>
  </si>
  <si>
    <t>Mangalbarey</t>
  </si>
  <si>
    <t>Martam Nazitam</t>
  </si>
  <si>
    <t>Takuthang Chuchen</t>
  </si>
  <si>
    <t>Namli</t>
  </si>
  <si>
    <t>FFC</t>
  </si>
  <si>
    <t>OSR/GIA</t>
  </si>
  <si>
    <t>Suldung Kamling</t>
  </si>
  <si>
    <t>samlick marchak</t>
  </si>
  <si>
    <t>Parengaon</t>
  </si>
  <si>
    <t>Sikkip</t>
  </si>
  <si>
    <t>Lamating Tingmo</t>
  </si>
  <si>
    <t>Khanisherbong Suntaley</t>
  </si>
  <si>
    <t>SFC &amp; DEV FUND</t>
  </si>
  <si>
    <t>LEGSHIP HINGDAM</t>
  </si>
  <si>
    <t>RABONG SANGMOO</t>
  </si>
  <si>
    <t>TFC SFC &amp; FFC</t>
  </si>
  <si>
    <t>Yangsum</t>
  </si>
  <si>
    <t>Pecherek Hee Patal</t>
  </si>
  <si>
    <t>RALANG NAMLUNG</t>
  </si>
  <si>
    <t>Bermiok Barthang</t>
  </si>
  <si>
    <t>OSR (NEW)</t>
  </si>
  <si>
    <t>RAYONG TINKITAM</t>
  </si>
  <si>
    <t>5th SFC/ GIA</t>
  </si>
  <si>
    <t>Kabi Lingchom</t>
  </si>
  <si>
    <t>BMC</t>
  </si>
  <si>
    <t>2015 - 16</t>
  </si>
  <si>
    <t>4thSFC</t>
  </si>
  <si>
    <t>Barasamdong Boom Reshi</t>
  </si>
  <si>
    <t>14 FC</t>
  </si>
  <si>
    <t>Samdong Sribadam</t>
  </si>
  <si>
    <t>Sangadorji</t>
  </si>
  <si>
    <t>4thSFC&amp; 14FC</t>
  </si>
  <si>
    <t>SFC/GIA/SBM</t>
  </si>
  <si>
    <t>Dhupidara Narkhola</t>
  </si>
  <si>
    <t>3&amp;4SFC 13&amp;14FC</t>
  </si>
  <si>
    <t>Kongri Labdang</t>
  </si>
  <si>
    <t>48- Mangsari- Mangerjung</t>
  </si>
  <si>
    <t>3rdSFC &amp;13FC</t>
  </si>
  <si>
    <t>Gerethang Labing</t>
  </si>
  <si>
    <t>4th SFC</t>
  </si>
  <si>
    <t>13FC</t>
  </si>
  <si>
    <t>Yuksum</t>
  </si>
  <si>
    <t>Rimbi Tingbrum</t>
  </si>
  <si>
    <t>14FC</t>
  </si>
  <si>
    <t>Melli Aching</t>
  </si>
  <si>
    <t>Thingling</t>
  </si>
  <si>
    <t>3rd&amp;4th SFC</t>
  </si>
  <si>
    <t>Yuksum Dubdi</t>
  </si>
  <si>
    <t>Khechipheri</t>
  </si>
  <si>
    <t>DEVELOPMENT FUND</t>
  </si>
  <si>
    <t>OSR (OLD)</t>
  </si>
  <si>
    <t>Darap Shingpheng</t>
  </si>
  <si>
    <t>13 FC</t>
  </si>
  <si>
    <t>Rhenock Tarpin</t>
  </si>
  <si>
    <t>Lingchom Tikjek</t>
  </si>
  <si>
    <t>3rdSFC</t>
  </si>
  <si>
    <t>Khaniserbong</t>
  </si>
  <si>
    <t>4thSFC &amp; 14 FC</t>
  </si>
  <si>
    <t>Chota samdong</t>
  </si>
  <si>
    <t>Singyang Chumbung</t>
  </si>
  <si>
    <t>Malbasey</t>
  </si>
  <si>
    <t>Tikjuk Kyongsa</t>
  </si>
  <si>
    <t>3rdSFC 13FC</t>
  </si>
  <si>
    <t>Singling</t>
  </si>
  <si>
    <t>Timburbong</t>
  </si>
  <si>
    <t>Yangthang</t>
  </si>
  <si>
    <t>Dodak Kartok</t>
  </si>
  <si>
    <t>Bongten Sampong</t>
  </si>
  <si>
    <t>Aho-Yangtam</t>
  </si>
  <si>
    <t>5th SFC/ GIA/OSR</t>
  </si>
  <si>
    <t>Mangmo Dentam</t>
  </si>
  <si>
    <t>Begha</t>
  </si>
  <si>
    <t>Karthok Namcheybong</t>
  </si>
  <si>
    <t>Sangkhu Radhu Khandu</t>
  </si>
  <si>
    <t>Sopakha</t>
  </si>
  <si>
    <t>Gitang Karmatar</t>
  </si>
  <si>
    <t>13FC 3rd SFC</t>
  </si>
  <si>
    <t>Maneybong</t>
  </si>
  <si>
    <t>Budhang Kamerey</t>
  </si>
  <si>
    <t>West pendam</t>
  </si>
  <si>
    <t>OSR
(NEW)</t>
  </si>
  <si>
    <t>Melli Sumbuk</t>
  </si>
  <si>
    <t>Mellidara</t>
  </si>
  <si>
    <t>Turuk Ramabong</t>
  </si>
  <si>
    <t>Sumbuk Kartikey</t>
  </si>
  <si>
    <t>Samlick marchak</t>
  </si>
  <si>
    <t>Sukrabarey Suntaley</t>
  </si>
  <si>
    <t>Sadam Rabitar</t>
  </si>
  <si>
    <t>Lungchok Kamerey</t>
  </si>
  <si>
    <t>Namchi</t>
  </si>
  <si>
    <t>Boomtar</t>
  </si>
  <si>
    <t>SFC/OSR
(OLD)</t>
  </si>
  <si>
    <t>Lingchom Tingda</t>
  </si>
  <si>
    <t>Sorok Shyampani</t>
  </si>
  <si>
    <t>14THFC / 4TH SFC</t>
  </si>
  <si>
    <t>5th SFC/ 15TH FC</t>
  </si>
  <si>
    <t>Kamrang</t>
  </si>
  <si>
    <t>SFC (Hon)</t>
  </si>
  <si>
    <t>OSR OLD</t>
  </si>
  <si>
    <t>Mickhola Singithang</t>
  </si>
  <si>
    <t>SFC/GIA (N)
(NEW)</t>
  </si>
  <si>
    <t>SFC/GIA (OLD)</t>
  </si>
  <si>
    <t>Mamley</t>
  </si>
  <si>
    <t>5TH SFC / GIA</t>
  </si>
  <si>
    <t>Namthang</t>
  </si>
  <si>
    <t>Tangzi Bikmat</t>
  </si>
  <si>
    <t>5TH SFC/ OSR (OLD)</t>
  </si>
  <si>
    <t>5TH SFC/ OSR (NEW)</t>
  </si>
  <si>
    <t>Due to the shortage of time and man power at DLFA, auditing of these Nagar Panchayats could not be done as the DLFA concentrated to complete the leftout GPUs from the Financial Year 2015-16 in this Financial Year.</t>
  </si>
  <si>
    <t>Ramen Nizrameng</t>
  </si>
  <si>
    <t>OSR/5TH SFC /14th FC/GIA/
4TH SFC/SBM</t>
  </si>
  <si>
    <t>Kabrey Karek</t>
  </si>
  <si>
    <t>Panchayat Honorarium</t>
  </si>
  <si>
    <t>Due to the shortage of time and man power at DLFA, auditing of these Municipal Councils could not be done as the DLFA concentrated to complete the leftout GPUs from the Financial Year 2015-16 in this Financial Year.</t>
  </si>
  <si>
    <t>Kateng Pamphok</t>
  </si>
  <si>
    <t>Gyalshing Municipal Council</t>
  </si>
  <si>
    <t>Naya Bazar Jorethang Municipal Council</t>
  </si>
  <si>
    <t>Nagi Ruchung</t>
  </si>
  <si>
    <t>Namthang Maneydara</t>
  </si>
  <si>
    <t>Rateypani</t>
  </si>
  <si>
    <t>Turung Mamring</t>
  </si>
  <si>
    <t>Due to the shortage of time and man power at DLFA, auditing of the Municipal Corporation could not be done as the DLFA concentrated to complete the leftout GPUs from the Financial Year 2015-16 in this Financial Year.</t>
  </si>
  <si>
    <t>Kabi</t>
  </si>
  <si>
    <t>Perbing Dovan</t>
  </si>
  <si>
    <t>Chuba Phong</t>
  </si>
  <si>
    <t>Poklok</t>
  </si>
  <si>
    <t>ORS OLD</t>
  </si>
  <si>
    <t>Denchung</t>
  </si>
  <si>
    <t>5TH SFC/OSR</t>
  </si>
  <si>
    <t>Sanganath</t>
  </si>
  <si>
    <t>Wok</t>
  </si>
  <si>
    <t>Lamting Tingmo</t>
  </si>
  <si>
    <t>Chungthang</t>
  </si>
  <si>
    <t>Lachen Dzumsa</t>
  </si>
  <si>
    <t>Lachung Dzumsa</t>
  </si>
  <si>
    <t>Shipgyer</t>
  </si>
  <si>
    <t>5TH SFC/ GIA</t>
  </si>
  <si>
    <t>Lingdok</t>
  </si>
  <si>
    <t>Men Ronrong</t>
  </si>
  <si>
    <t xml:space="preserve">Taza </t>
  </si>
  <si>
    <t>Phensang</t>
  </si>
  <si>
    <t>5TH SFC/OSR/GIA</t>
  </si>
  <si>
    <t>Ramthang Tengyek</t>
  </si>
  <si>
    <t>TRADE LICENCE</t>
  </si>
  <si>
    <t>Ringhim Nampitam</t>
  </si>
  <si>
    <t>OSR/GIA/SFC</t>
  </si>
  <si>
    <t>Tingchim Chandey</t>
  </si>
  <si>
    <t>2016 - 17</t>
  </si>
  <si>
    <t>Mangshila Tibuk</t>
  </si>
  <si>
    <t>Namok Swayem</t>
  </si>
  <si>
    <t>GIA DEDUCTION</t>
  </si>
  <si>
    <t>Passingdong</t>
  </si>
  <si>
    <t>Hee Gyathang</t>
  </si>
  <si>
    <t>SFC/ 14TH FC/ GIA</t>
  </si>
  <si>
    <t>Sakyong Pentong</t>
  </si>
  <si>
    <t>GIA/SIG</t>
  </si>
  <si>
    <t>Tingvong</t>
  </si>
  <si>
    <t>Passingdong Safoo</t>
  </si>
  <si>
    <t>SFC /GIA</t>
  </si>
  <si>
    <t>GIA/OSR</t>
  </si>
  <si>
    <t>Lumgor Sangtok</t>
  </si>
  <si>
    <t>Lingthem Lingdem</t>
  </si>
  <si>
    <t>Lingdok Berfok</t>
  </si>
  <si>
    <t>Bermiok Tokal</t>
  </si>
  <si>
    <t>SFC/OSR /GIA</t>
  </si>
  <si>
    <t>OSR/5TH SFC</t>
  </si>
  <si>
    <t>OSR(OLD)</t>
  </si>
  <si>
    <t>OSR(NEW)</t>
  </si>
  <si>
    <t>14THFC/GIA</t>
  </si>
  <si>
    <t>Tarku Tenek</t>
  </si>
  <si>
    <t>Yangang</t>
  </si>
  <si>
    <t>Nia Magzine</t>
  </si>
  <si>
    <t xml:space="preserve">Namli </t>
  </si>
  <si>
    <t>Lingi Sokpay</t>
  </si>
  <si>
    <t>Sripatam Gangyong</t>
  </si>
  <si>
    <t>Lingmo Paiyong</t>
  </si>
  <si>
    <t>Yangang Rangrang</t>
  </si>
  <si>
    <t>Kolthang Tokdey</t>
  </si>
  <si>
    <t>Rey Mindu</t>
  </si>
  <si>
    <t>Rawtey Rumtek</t>
  </si>
  <si>
    <t>15TH SFC</t>
  </si>
  <si>
    <t>JJM</t>
  </si>
  <si>
    <t>Luing Perbing</t>
  </si>
  <si>
    <t>Trade License</t>
  </si>
  <si>
    <t>OSR(Trade License)</t>
  </si>
  <si>
    <t>Salary</t>
  </si>
  <si>
    <t>Ravangla</t>
  </si>
  <si>
    <t>Rabong Berfong</t>
  </si>
  <si>
    <t>Berfong Jarrong</t>
  </si>
  <si>
    <t>Tinkitam</t>
  </si>
  <si>
    <t>5th SFC (SIG)</t>
  </si>
  <si>
    <t>Kewzing</t>
  </si>
  <si>
    <t>Sangmoo Rankay</t>
  </si>
  <si>
    <t>Ralang Namlung</t>
  </si>
  <si>
    <t>Rabong Khop</t>
  </si>
  <si>
    <t>Borong Phamthang</t>
  </si>
  <si>
    <t>OSR/Trade Licence</t>
  </si>
  <si>
    <t>Legship</t>
  </si>
  <si>
    <t>Kartok Bojek</t>
  </si>
  <si>
    <t>Mangshari</t>
  </si>
  <si>
    <t>Budhang</t>
  </si>
  <si>
    <t>Lower Timburbong</t>
  </si>
  <si>
    <t>5th SFC/OSR</t>
  </si>
  <si>
    <t>Tharpu</t>
  </si>
  <si>
    <t>15TH fc</t>
  </si>
  <si>
    <t>OSR/VWSC</t>
  </si>
  <si>
    <t>Mendogaon Borbotey</t>
  </si>
  <si>
    <t>Chotasamdong</t>
  </si>
  <si>
    <t>SFC/GIA/OSR/14TH FC</t>
  </si>
  <si>
    <t>OSR (Saving)</t>
  </si>
  <si>
    <t>OSR (Current)</t>
  </si>
  <si>
    <t>Daramdin</t>
  </si>
  <si>
    <t>Siktam Tikpur</t>
  </si>
  <si>
    <t>OSR/SFC</t>
  </si>
  <si>
    <t>Ribdi Bhareng</t>
  </si>
  <si>
    <t>Upper Thambung</t>
  </si>
  <si>
    <t>Okhrey</t>
  </si>
  <si>
    <t>OSR/SFC/GIA</t>
  </si>
  <si>
    <t>Lower Fambong</t>
  </si>
  <si>
    <t>GIA/ Panchayat Honorariym &amp; Discretionaries</t>
  </si>
  <si>
    <t>Rumbuk</t>
  </si>
  <si>
    <t>Dodak</t>
  </si>
  <si>
    <t>Lungchok Salangdang</t>
  </si>
  <si>
    <t>0SR/SFC</t>
  </si>
  <si>
    <t>Buriakhop</t>
  </si>
  <si>
    <t>Saprenagi</t>
  </si>
  <si>
    <t>OSR (Old A/C)</t>
  </si>
  <si>
    <t>OSR(New A/C)</t>
  </si>
  <si>
    <t>Marchak</t>
  </si>
  <si>
    <t>Beng Phegyong</t>
  </si>
  <si>
    <t>OSR &amp; GIA</t>
  </si>
  <si>
    <t>15thFC</t>
  </si>
  <si>
    <t>Rakdong</t>
  </si>
  <si>
    <t>OSR1</t>
  </si>
  <si>
    <t>OSR2</t>
  </si>
  <si>
    <t>Samdong
Kambal</t>
  </si>
  <si>
    <t>Patuk
Singbel</t>
  </si>
  <si>
    <t>3,42,500</t>
  </si>
  <si>
    <t>Chisopani</t>
  </si>
  <si>
    <t>3,45,455</t>
  </si>
  <si>
    <t>2,95,557</t>
  </si>
  <si>
    <t>2,30,400</t>
  </si>
  <si>
    <t>Discretionary Grants</t>
  </si>
  <si>
    <t>Sirwani</t>
  </si>
  <si>
    <t>Dung Dung
Thasa</t>
  </si>
  <si>
    <t>Rongay
Tathangchen</t>
  </si>
  <si>
    <t>Bhusuk
Naitam</t>
  </si>
  <si>
    <t>Nandok
Saramsa</t>
  </si>
  <si>
    <t>Parkha</t>
  </si>
  <si>
    <t>Linkey
Parakha</t>
  </si>
  <si>
    <t>Latuk
Chochenpheri</t>
  </si>
  <si>
    <t>Regu</t>
  </si>
  <si>
    <t>Rongli
Changeylakha</t>
  </si>
  <si>
    <t>Chujachen</t>
  </si>
  <si>
    <t>Premlakha
Subaneydara</t>
  </si>
  <si>
    <t>Lingtam Phadamchen</t>
  </si>
  <si>
    <t>Dalapchand</t>
  </si>
  <si>
    <t>Rolep Lamaten</t>
  </si>
  <si>
    <t>Pakyong
Yaakten</t>
  </si>
  <si>
    <t>Bering
Tareythang</t>
  </si>
  <si>
    <t>East Pendam</t>
  </si>
  <si>
    <t>Chalamthang
Pacheykhani</t>
  </si>
  <si>
    <t>Namcheybong</t>
  </si>
  <si>
    <t>13 - Rameng Nizrameng</t>
  </si>
  <si>
    <t>14 - Perbing Dovan</t>
  </si>
  <si>
    <t>15 - Chuba Phong</t>
  </si>
  <si>
    <t>16 - Namthang Maneydara</t>
  </si>
  <si>
    <t>17 - Nagi Karek</t>
  </si>
  <si>
    <t>Aho Yangtam</t>
  </si>
  <si>
    <t>18 - Kateng Pamphok</t>
  </si>
  <si>
    <t>19 - Turung Mamring</t>
  </si>
  <si>
    <t>20 - Tanzi Bikmat</t>
  </si>
  <si>
    <t>Child Care</t>
  </si>
  <si>
    <t>21 - Rateypani</t>
  </si>
  <si>
    <t>Aritar</t>
  </si>
  <si>
    <t>Soreng Zilla Pabchayat</t>
  </si>
  <si>
    <t>Central Finance Commission</t>
  </si>
  <si>
    <t>State Finance Commision</t>
  </si>
  <si>
    <t>Grants in aid</t>
  </si>
  <si>
    <t>Own source of Revenue</t>
  </si>
  <si>
    <t>Misc. fund</t>
  </si>
  <si>
    <t>Namchi Zilla Panchayat</t>
  </si>
  <si>
    <t>23 - Melli Dara Paiyong</t>
  </si>
  <si>
    <t>Admin Account</t>
  </si>
  <si>
    <t>Gyalshing Zilla Panchayat</t>
  </si>
  <si>
    <t>5TH SFC/DEV FUND / DIS GRANT
MISC</t>
  </si>
  <si>
    <t>Roof water harvesting</t>
  </si>
  <si>
    <t>Innovation Fund</t>
  </si>
  <si>
    <t>Nirmal gram</t>
  </si>
  <si>
    <t>Mangan Zilla Panchayat</t>
  </si>
  <si>
    <t>5TH SFC / 15TH FC</t>
  </si>
  <si>
    <t>Gangtok Zilla Panchayat</t>
  </si>
  <si>
    <t>EFF</t>
  </si>
  <si>
    <t>SFC1</t>
  </si>
  <si>
    <t>3083820</t>
  </si>
  <si>
    <t>1-LINGEE SOKPAY</t>
  </si>
  <si>
    <t>SFC2</t>
  </si>
  <si>
    <t>2-LINGMOO PAYONG</t>
  </si>
  <si>
    <t>Pakyong Zilla Panchayat</t>
  </si>
  <si>
    <t>3-KOLTHANG TOKDAY</t>
  </si>
  <si>
    <t>4-NEYA MANGZING</t>
  </si>
  <si>
    <t>Jorethang Naya Bazar</t>
  </si>
  <si>
    <t>Other
receipts</t>
  </si>
  <si>
    <t>5-SRIPTAM GAGYONG</t>
  </si>
  <si>
    <t>Garbage</t>
  </si>
  <si>
    <t>6-YANGANG RANGANG</t>
  </si>
  <si>
    <t>Green Park</t>
  </si>
  <si>
    <t>1904402`</t>
  </si>
  <si>
    <t>Trade Licence</t>
  </si>
  <si>
    <t>Cesspool</t>
  </si>
  <si>
    <t>Dev Work</t>
  </si>
  <si>
    <t>Jorethang Nagar Panchayat</t>
  </si>
  <si>
    <t>Other receipts</t>
  </si>
  <si>
    <t>Revenue (Offline)</t>
  </si>
  <si>
    <t>2024-25</t>
  </si>
  <si>
    <t>Development Fund</t>
  </si>
  <si>
    <t>41-RAYONG TINKITAM</t>
  </si>
  <si>
    <t>42-RABONG SANGMOO</t>
  </si>
  <si>
    <t>43-LEGSHIP HINGDAM</t>
  </si>
  <si>
    <t>44-KEWZING BAKHIM</t>
  </si>
  <si>
    <t>45-BERFUNG ZARRONG</t>
  </si>
  <si>
    <t>46-RALONG NAMLUNG</t>
  </si>
  <si>
    <t>47-BORONG PHAMTAM</t>
  </si>
  <si>
    <t>Sapreynaghi</t>
  </si>
  <si>
    <t>Upper Thambong</t>
  </si>
  <si>
    <t>Mabong Segeng</t>
  </si>
  <si>
    <t>0SR</t>
  </si>
  <si>
    <t>5thSFC/SIG/SNP</t>
  </si>
  <si>
    <t>Sanitation</t>
  </si>
  <si>
    <t>SCFC/GIA</t>
  </si>
  <si>
    <t>GIA/SFC/OSR</t>
  </si>
  <si>
    <t>15 FC</t>
  </si>
  <si>
    <t>SFC,OSR</t>
  </si>
  <si>
    <t>XVFC</t>
  </si>
  <si>
    <t xml:space="preserve">Pachey Samsing GPU </t>
  </si>
  <si>
    <t>West Pendam</t>
  </si>
  <si>
    <t>Pakyong GPU</t>
  </si>
  <si>
    <t>Dzongu</t>
  </si>
  <si>
    <t>Aho-Yangtam GPU</t>
  </si>
  <si>
    <t>Lingdong Barfok</t>
  </si>
  <si>
    <t>Amba GPU</t>
  </si>
  <si>
    <t>Taza GPU</t>
  </si>
  <si>
    <t>Karthok Namcheybong GPU</t>
  </si>
  <si>
    <t>Passingdang Saffo</t>
  </si>
  <si>
    <t>East Pandam GPU</t>
  </si>
  <si>
    <t>Bering Tareythang GPU#</t>
  </si>
  <si>
    <t xml:space="preserve">Due to the shortage of time and man power at DLFA, Auditing of these ZPs could not be done as the DLFA concentrated to complete the leftout GPUs from the Financial Year 2015-16 in this Financial Year.
</t>
  </si>
  <si>
    <t>5th FC&amp; GIA</t>
  </si>
  <si>
    <t xml:space="preserve">Due to the shortage of time and man power at DLFA, Auditing of these NPs could not be done as the DLFA concentrated to complete the leftout GPUs from the Financial Year 2015-16 in this Financial Year.
</t>
  </si>
  <si>
    <t>5th FC</t>
  </si>
  <si>
    <t>Sindarbung</t>
  </si>
  <si>
    <t>15 Th FC</t>
  </si>
  <si>
    <t>5 Th FC/GIA</t>
  </si>
  <si>
    <t xml:space="preserve">Due to the shortage of time and man power at DLFA, Auditing of these MCs could not be done as the DLFA concentrated to complete the leftout GPUs from the Financial Year 2015-16 in this Financial Year.
</t>
  </si>
  <si>
    <t xml:space="preserve">Gangtok Municipal Corporation 
</t>
  </si>
  <si>
    <t>Berfok Chandabong</t>
  </si>
  <si>
    <t xml:space="preserve">Due to the shortage of time and man power at DLFA, Auditing of these Municipal Corporation  could not be done as the DLFA concentrated to complete the leftout GPUs from the Financial Year 2015-16 in this Financial Year.
</t>
  </si>
  <si>
    <t>5th SFC &amp;GIA</t>
  </si>
  <si>
    <t>Nayabazar JorthangMunicipal Council</t>
  </si>
  <si>
    <t>5th SFC &amp; GIA</t>
  </si>
  <si>
    <t>OSR (garbage)</t>
  </si>
  <si>
    <t>OSR(online)</t>
  </si>
  <si>
    <t>Yungsum</t>
  </si>
  <si>
    <t>e</t>
  </si>
  <si>
    <t>Salary/Hon</t>
  </si>
  <si>
    <t>Men Rongrong</t>
  </si>
  <si>
    <t>5th SFC/OSR/GIA</t>
  </si>
  <si>
    <t>OSR II</t>
  </si>
  <si>
    <t>14th FC &amp; ICDS Salary</t>
  </si>
  <si>
    <t>GIA &amp; 5th SFC</t>
  </si>
  <si>
    <t>GIA,5th SFC</t>
  </si>
  <si>
    <t>15th FFC</t>
  </si>
  <si>
    <t>5th SFC/GIA</t>
  </si>
  <si>
    <t>BIO Diversity</t>
  </si>
  <si>
    <t>WSSC</t>
  </si>
  <si>
    <t>5th SFC/OSR/4TH SFC</t>
  </si>
  <si>
    <t>OSR( NEW)</t>
  </si>
  <si>
    <t>15th FC NEW</t>
  </si>
  <si>
    <t>15th FC OLD</t>
  </si>
  <si>
    <t>5th SFC NEW</t>
  </si>
  <si>
    <t>Grants-in-Aid</t>
  </si>
  <si>
    <t>5th SFC OLD</t>
  </si>
  <si>
    <t>Mangalbaria</t>
  </si>
  <si>
    <t>Takuthang Chuchachen</t>
  </si>
  <si>
    <t>Navey Shotak GPU</t>
  </si>
  <si>
    <t>GIA &amp; SFC</t>
  </si>
  <si>
    <t>5th FC &amp; GIA</t>
  </si>
  <si>
    <t>SFC &amp; SNP</t>
  </si>
  <si>
    <t>o</t>
  </si>
  <si>
    <t>Governor</t>
  </si>
  <si>
    <t>Samlick Marchak</t>
  </si>
  <si>
    <t xml:space="preserve">Phensong GPU </t>
  </si>
  <si>
    <t>Lungchok Kameray</t>
  </si>
  <si>
    <t>Melli Dara Paiyong</t>
  </si>
  <si>
    <t>TFC/FFC/SFC</t>
  </si>
  <si>
    <t xml:space="preserve">Rongong Tumlong GPU </t>
  </si>
  <si>
    <t>SFC 2</t>
  </si>
  <si>
    <t>FFC/SFC/GIA</t>
  </si>
  <si>
    <t>OSR (N)</t>
  </si>
  <si>
    <t>OSR (O)</t>
  </si>
  <si>
    <t>B.R.G.F</t>
  </si>
  <si>
    <t>Bomtar</t>
  </si>
  <si>
    <t>OSR (new)</t>
  </si>
  <si>
    <t>14th FC/4th SFC</t>
  </si>
  <si>
    <t>15th FC/5th SFC</t>
  </si>
  <si>
    <t>Mickkhola</t>
  </si>
  <si>
    <t>5thSFC/GIA/OSR</t>
  </si>
  <si>
    <t xml:space="preserve">Sudunglakha GPU </t>
  </si>
  <si>
    <t>Karek Kabrey</t>
  </si>
  <si>
    <t>USER CHARGE</t>
  </si>
  <si>
    <t>SFC/GIA/SBM/OSR</t>
  </si>
  <si>
    <t>LICENSE</t>
  </si>
  <si>
    <t>GiA</t>
  </si>
  <si>
    <t>Tarpin GPU</t>
  </si>
  <si>
    <t>Rongay Tathangchen</t>
  </si>
  <si>
    <t>Panchayat and ICDS staff Hhon</t>
  </si>
  <si>
    <t>SFC/SAL</t>
  </si>
  <si>
    <t>Chalamthang Pacheykhani</t>
  </si>
  <si>
    <t>4th SFC/Panchayat Hon.</t>
  </si>
  <si>
    <t>OSR / GIA/ SFC</t>
  </si>
  <si>
    <t>Pakyong Yakten</t>
  </si>
  <si>
    <t>Latuk Barapathing</t>
  </si>
  <si>
    <t>Zilla Panchayat</t>
  </si>
  <si>
    <t>Denchong</t>
  </si>
  <si>
    <t>5th SFC/GIA/OSR</t>
  </si>
  <si>
    <t>Nandugaon</t>
  </si>
  <si>
    <t>Samdong Kambal</t>
  </si>
  <si>
    <t>CEC</t>
  </si>
  <si>
    <t>SFC / OSR</t>
  </si>
  <si>
    <t>Rey Mendu</t>
  </si>
  <si>
    <t>OSR (Trade License)</t>
  </si>
  <si>
    <t>Ravong</t>
  </si>
  <si>
    <t>Barfung Jarrong</t>
  </si>
  <si>
    <t>Borong Phamtam</t>
  </si>
  <si>
    <t>Kewzing Bakhim</t>
  </si>
  <si>
    <t>Ralong Namlung</t>
  </si>
  <si>
    <t>Ravong Barfung</t>
  </si>
  <si>
    <t>Sangmo Rankey</t>
  </si>
  <si>
    <t>Tinkitam Rayong</t>
  </si>
  <si>
    <t>Chuchachen</t>
  </si>
  <si>
    <t>Lamaten</t>
  </si>
  <si>
    <t>Phadamchen</t>
  </si>
  <si>
    <t>Prem Lakha Subaney Dara</t>
  </si>
  <si>
    <t>Rongli Changaylakha</t>
  </si>
  <si>
    <t>Lamting Tingmoo</t>
  </si>
  <si>
    <t>2019-20</t>
  </si>
  <si>
    <t>Okharey</t>
  </si>
  <si>
    <t>Budang</t>
  </si>
  <si>
    <t>Lunchok Salangdang</t>
  </si>
  <si>
    <t>Kathok Bojek Gpu</t>
  </si>
  <si>
    <t>Ribdi Bharayang</t>
  </si>
  <si>
    <t>Lower Timburbung</t>
  </si>
  <si>
    <t>Gyaten karmatar</t>
  </si>
  <si>
    <t>Mangsari Mangarjung</t>
  </si>
  <si>
    <t>Bongten</t>
  </si>
  <si>
    <t>p</t>
  </si>
  <si>
    <t>SRK</t>
  </si>
  <si>
    <t>GARBAGE COLLECTION A/C</t>
  </si>
  <si>
    <t>SALARY A/C</t>
  </si>
  <si>
    <t>Upper Timburbung</t>
  </si>
  <si>
    <t>Yangten</t>
  </si>
  <si>
    <t>Ben Namprik</t>
  </si>
  <si>
    <t>Gyalsing Omchung</t>
  </si>
  <si>
    <t>DarapNambu</t>
  </si>
  <si>
    <t>Martam (West)</t>
  </si>
  <si>
    <t>Chingthang</t>
  </si>
  <si>
    <t>Martam (west)</t>
  </si>
  <si>
    <t>15th fC</t>
  </si>
  <si>
    <t>Kolthang Tokday</t>
  </si>
  <si>
    <t>tingvong</t>
  </si>
  <si>
    <t>Passingdong Saffo</t>
  </si>
  <si>
    <t>Lingmoo Paiyong</t>
  </si>
  <si>
    <t>Lingtem Lingdem</t>
  </si>
  <si>
    <t>Lum Gor</t>
  </si>
  <si>
    <t>Niya Mangzing</t>
  </si>
  <si>
    <t>Sripatam Gagyong</t>
  </si>
  <si>
    <t>Sumbuk</t>
  </si>
  <si>
    <t>Sadam Suntaley</t>
  </si>
  <si>
    <t>Yangang Rangang</t>
  </si>
  <si>
    <t>Lungchok Kamrang</t>
  </si>
  <si>
    <t>VWC</t>
  </si>
  <si>
    <t>Bernayak Tokal</t>
  </si>
  <si>
    <t>4th FC</t>
  </si>
  <si>
    <t>Paiyong</t>
  </si>
  <si>
    <t>Niya Magzine</t>
  </si>
  <si>
    <t>Sripatam</t>
  </si>
  <si>
    <t>Eco Friendly Footpath</t>
  </si>
  <si>
    <t>Direction &amp; Adm</t>
  </si>
  <si>
    <t>Miscellaneous</t>
  </si>
  <si>
    <t>Gelling</t>
  </si>
  <si>
    <t>Nirmal Grahan</t>
  </si>
  <si>
    <t>Chakhung</t>
  </si>
  <si>
    <t>Roof Water</t>
  </si>
  <si>
    <t>15th FC/SFC</t>
  </si>
  <si>
    <t>JJM HOLDING AC</t>
  </si>
  <si>
    <t>JJM HOLDING AC SBI</t>
  </si>
  <si>
    <t>Soreng Zilla Panchayat</t>
  </si>
  <si>
    <t>Tigrithang</t>
  </si>
  <si>
    <t>Geyzing Nagar Panchayat</t>
  </si>
  <si>
    <t>Assngthang</t>
  </si>
  <si>
    <t>22609 08</t>
  </si>
  <si>
    <t>OSR (HDFC)</t>
  </si>
  <si>
    <t>OSR (IDBI)</t>
  </si>
  <si>
    <t>Boomtar Salleybong</t>
  </si>
  <si>
    <t>NULM</t>
  </si>
  <si>
    <t>Timburbung</t>
  </si>
  <si>
    <t>Nayabazar Jorethang Nagar Panchayat</t>
  </si>
  <si>
    <t>Lamaten Tingmo</t>
  </si>
  <si>
    <t>Cesspool NJNP</t>
  </si>
  <si>
    <t>Garbage Revenue</t>
  </si>
  <si>
    <t>Martam (East)</t>
  </si>
  <si>
    <t>Green Park NJNP</t>
  </si>
  <si>
    <t>Hawker Licence</t>
  </si>
  <si>
    <t>Other Receipts</t>
  </si>
  <si>
    <t>Revenue Head (SFC)</t>
  </si>
  <si>
    <t>Swachh Bharat Mission</t>
  </si>
  <si>
    <t>Cesspool Own Source</t>
  </si>
  <si>
    <t>Revenue Receipt</t>
  </si>
  <si>
    <t>Poklok Nandugaon</t>
  </si>
  <si>
    <t>Shalghari</t>
  </si>
  <si>
    <t>PM SVANIIDHI</t>
  </si>
  <si>
    <t>Rongli Changeylakha</t>
  </si>
  <si>
    <t>15TH.F.C Grant A/C</t>
  </si>
  <si>
    <t>EXPENSES</t>
  </si>
  <si>
    <t>REVENUE 1</t>
  </si>
  <si>
    <t>REVENUE 2</t>
  </si>
  <si>
    <t>Premlakha Subaneydara</t>
  </si>
  <si>
    <t>Kateng Phamphok</t>
  </si>
  <si>
    <t>Nagi Karek</t>
  </si>
  <si>
    <t>Perbin Dovan</t>
  </si>
  <si>
    <t>Namthang Rateypani</t>
  </si>
  <si>
    <t>Khanisirbong Suntoley</t>
  </si>
  <si>
    <t>Parengoan</t>
  </si>
  <si>
    <t>Yuksom Dubdi</t>
  </si>
  <si>
    <t>Thingling Khechuperi</t>
  </si>
  <si>
    <t>Melli Aching Gpu</t>
  </si>
  <si>
    <t>Chongrang</t>
  </si>
  <si>
    <t>Tashiding Gpu</t>
  </si>
  <si>
    <t>Legship Hingdam</t>
  </si>
  <si>
    <t>Rabong Sangmoo</t>
  </si>
  <si>
    <t>Lachung</t>
  </si>
  <si>
    <t>Lachen</t>
  </si>
  <si>
    <t>2020-21</t>
  </si>
  <si>
    <t>Lower fambong</t>
  </si>
  <si>
    <t>Ribdi Bharyang</t>
  </si>
  <si>
    <t>no record</t>
  </si>
  <si>
    <t>Mangshila</t>
  </si>
  <si>
    <t>Ramthang</t>
  </si>
  <si>
    <t>Lumgor</t>
  </si>
  <si>
    <t>Melidara</t>
  </si>
  <si>
    <t>NOT PROVIDED TO AUDIT</t>
  </si>
  <si>
    <t>Linchom Tingda</t>
  </si>
  <si>
    <t>Rongrong Tumlong</t>
  </si>
  <si>
    <t>Mangsari Mangerjung</t>
  </si>
  <si>
    <t>Dodok</t>
  </si>
  <si>
    <t>Chota Samdong</t>
  </si>
  <si>
    <t>Wak Omchu</t>
  </si>
  <si>
    <t>Martam(East)</t>
  </si>
  <si>
    <t>East Pendam Gpu</t>
  </si>
  <si>
    <t>Latuk Chochenpheri</t>
  </si>
  <si>
    <t>East</t>
  </si>
  <si>
    <t>South</t>
  </si>
  <si>
    <t>West</t>
  </si>
  <si>
    <t>North</t>
  </si>
  <si>
    <t xml:space="preserve">Gyalshing Nagar Panchayat </t>
  </si>
  <si>
    <t>Revenue (Garbage)</t>
  </si>
  <si>
    <t xml:space="preserve">Namchi Municipal Council </t>
  </si>
  <si>
    <t xml:space="preserve"> Lingchom-Tikjek</t>
  </si>
  <si>
    <t>POS</t>
  </si>
  <si>
    <t>EPF</t>
  </si>
  <si>
    <t>ENTERTAINMENT TAX</t>
  </si>
  <si>
    <t>MISC.</t>
  </si>
  <si>
    <t>sangadorjee</t>
  </si>
  <si>
    <t>Lingdok Borfok</t>
  </si>
  <si>
    <t>Lum gor</t>
  </si>
  <si>
    <t>Yanyang Rangrang</t>
  </si>
  <si>
    <t>samsing Pipaley</t>
  </si>
  <si>
    <t>Darammdin</t>
  </si>
  <si>
    <t>Ribdi Bharang</t>
  </si>
  <si>
    <t>Geyzing</t>
  </si>
  <si>
    <t>Geyzing Omchung</t>
  </si>
  <si>
    <t>Darap Nambu</t>
  </si>
  <si>
    <t>Bernatak Toakal</t>
  </si>
  <si>
    <t>Sorok Syampani</t>
  </si>
  <si>
    <t>Nmali</t>
  </si>
  <si>
    <t>Samlick</t>
  </si>
  <si>
    <t>Poklok Dhenchong</t>
  </si>
  <si>
    <t xml:space="preserve"> Gyalshing Omchung</t>
  </si>
  <si>
    <t>Parbin doven</t>
  </si>
  <si>
    <t>Thingling Khichipiri</t>
  </si>
  <si>
    <t>Kongri Labding</t>
  </si>
  <si>
    <t>Dupidara Narkhola</t>
  </si>
  <si>
    <t xml:space="preserve"> Sardong Lungzik</t>
  </si>
  <si>
    <t>Gnathang GPU</t>
  </si>
  <si>
    <t>Bhushuk Naitam</t>
  </si>
  <si>
    <t>Namok Sweyam</t>
  </si>
  <si>
    <t>sakyong Pentong</t>
  </si>
  <si>
    <t>Sadam suntaley</t>
  </si>
  <si>
    <t>Kolthang tokday</t>
  </si>
  <si>
    <t>ribdi Bharang</t>
  </si>
  <si>
    <t xml:space="preserve"> Maneybung-Sopakha</t>
  </si>
  <si>
    <t>14th FC/SFC/GIA</t>
  </si>
  <si>
    <t>salary</t>
  </si>
  <si>
    <t>GIA/14TH FC/ SFC</t>
  </si>
  <si>
    <t>14th FC/GIA/SFC</t>
  </si>
  <si>
    <t xml:space="preserve"> Sangkhuradhukhandu</t>
  </si>
  <si>
    <t>14TH FC/GIA/SFC/OSR</t>
  </si>
  <si>
    <t>Nazitam</t>
  </si>
  <si>
    <t>TL</t>
  </si>
  <si>
    <t>14TH FC/SFC</t>
  </si>
  <si>
    <t>Samlik Marchak</t>
  </si>
  <si>
    <t>TL/OSR</t>
  </si>
  <si>
    <t>14th FC/SFC</t>
  </si>
  <si>
    <t>14th FC/SFC/OSR</t>
  </si>
  <si>
    <t>Mangsari
Mangarjung</t>
  </si>
  <si>
    <t>14thFC/SFC</t>
  </si>
  <si>
    <t>Legshep Hingdap</t>
  </si>
  <si>
    <t>14TH FC/GIA/SFC</t>
  </si>
  <si>
    <t xml:space="preserve">27 - Bermiok Berhang </t>
  </si>
  <si>
    <t>Barfung Zarrang</t>
  </si>
  <si>
    <t>14TH FC/ SFC/ GIA/ OSR</t>
  </si>
  <si>
    <t>GIA/ 5TH SFC</t>
  </si>
  <si>
    <t>14TH FC/ 15TH FC/ SFC/ OSR</t>
  </si>
  <si>
    <t>SFC/ GIA</t>
  </si>
  <si>
    <t>5TH SFC/ OSR</t>
  </si>
  <si>
    <t>OSR/GIA/FFC</t>
  </si>
  <si>
    <t>Siktam tikpur</t>
  </si>
  <si>
    <t>OSR/ 14TH FC/ 15TH FC</t>
  </si>
  <si>
    <t xml:space="preserve">26 -  Pecherek Heepatal </t>
  </si>
  <si>
    <t>14TH FC/ SFC/ GIA</t>
  </si>
  <si>
    <t>14th FC, OSR, SFC, GIA</t>
  </si>
  <si>
    <t>Lungchok Chalamthang</t>
  </si>
  <si>
    <t>14TH FC/ SFC/ OSR</t>
  </si>
  <si>
    <t>FFC/SFC/14THFC</t>
  </si>
  <si>
    <t>Katen Phamphok</t>
  </si>
  <si>
    <t>GENERAL</t>
  </si>
  <si>
    <t>14TH FC/ SFC/ GIA /OSR</t>
  </si>
  <si>
    <t>Nagi Kerek</t>
  </si>
  <si>
    <t>Biodiversity Management Fund</t>
  </si>
  <si>
    <t>CED</t>
  </si>
  <si>
    <t>14TH FC/ SFC</t>
  </si>
  <si>
    <t>13th FC</t>
  </si>
  <si>
    <t>DEV. FUND</t>
  </si>
  <si>
    <t>14THFC/SFC</t>
  </si>
  <si>
    <t>14TH FC/ OSR/ GIA/SFC</t>
  </si>
  <si>
    <t>OSR, SFC,SALARY</t>
  </si>
  <si>
    <t>OSR,GIA &amp; SFC</t>
  </si>
  <si>
    <t>SFC,GIA,OSR &amp; FFC</t>
  </si>
  <si>
    <t>NOT FURNISHED</t>
  </si>
  <si>
    <t>14TH FC &amp; GIA</t>
  </si>
  <si>
    <t>SFC/14TH FC/GIA</t>
  </si>
  <si>
    <t>14thFC SFC</t>
  </si>
  <si>
    <t>1SFC</t>
  </si>
  <si>
    <t>14TH FC &amp; SFC</t>
  </si>
  <si>
    <t>SALARY AC</t>
  </si>
  <si>
    <t>14TH FC,GIA &amp; SFC</t>
  </si>
  <si>
    <t>Dung dung Thasa</t>
  </si>
  <si>
    <t>SFC &amp; GIA</t>
  </si>
  <si>
    <t>TRADE LISENCE</t>
  </si>
  <si>
    <t>SFC,FFC</t>
  </si>
  <si>
    <t>SFC &amp; 14th FC</t>
  </si>
  <si>
    <t>Tareythang</t>
  </si>
  <si>
    <t>14FC,FFC &amp; GIA</t>
  </si>
  <si>
    <t>Pachey samsing</t>
  </si>
  <si>
    <t>SFC/GAI/OSR</t>
  </si>
  <si>
    <t>OSR/LIC/MISC</t>
  </si>
  <si>
    <t>GIA/HON</t>
  </si>
  <si>
    <t>Pacheykhani</t>
  </si>
  <si>
    <t>Thekabong</t>
  </si>
  <si>
    <t>Dalapchen</t>
  </si>
  <si>
    <t>SALARY a/c</t>
  </si>
  <si>
    <t>Premlakha Subanidara</t>
  </si>
  <si>
    <t>Lingtam Padamchen</t>
  </si>
  <si>
    <t>14fc/SFC/GIA</t>
  </si>
  <si>
    <t xml:space="preserve">Tadong Rinchenpong </t>
  </si>
  <si>
    <t>15FC</t>
  </si>
  <si>
    <t>14FC/SFC</t>
  </si>
  <si>
    <t>14fc/SFC/OSR</t>
  </si>
  <si>
    <t>Ben</t>
  </si>
  <si>
    <t>GIA/SFC/14FC</t>
  </si>
  <si>
    <t>GIA/14FC (Old)</t>
  </si>
  <si>
    <t>Bermiok</t>
  </si>
  <si>
    <t>14TH FC,SFC,OSR &amp; GIA</t>
  </si>
  <si>
    <t>Karmatar</t>
  </si>
  <si>
    <t>5TH FC,OSR,GIA</t>
  </si>
  <si>
    <t>14TH/SFC/5TH SFC/OSR/GIAS</t>
  </si>
  <si>
    <t>SFC,OSR,GIA</t>
  </si>
  <si>
    <t>SFC, 14TH FC ,OSR,GIA</t>
  </si>
  <si>
    <t>4TH,5TH,OSR</t>
  </si>
  <si>
    <t>Omchung</t>
  </si>
  <si>
    <t>CANARA BANK</t>
  </si>
  <si>
    <t>ICICI BANK</t>
  </si>
  <si>
    <t>Lingchom Tikjya</t>
  </si>
  <si>
    <t>GRANT IN AID</t>
  </si>
  <si>
    <t>14TH FIN,SFC</t>
  </si>
  <si>
    <t>SFC,GRANT IN AID</t>
  </si>
  <si>
    <t>5TH FC/14TH FC</t>
  </si>
  <si>
    <t>SR V.A.A &amp; BFC GIA</t>
  </si>
  <si>
    <t>OSR(FROM 17/6/21)</t>
  </si>
  <si>
    <t>TEACHERS SALARY</t>
  </si>
  <si>
    <t>Sangadarjee</t>
  </si>
  <si>
    <t>4TH FC</t>
  </si>
  <si>
    <t>VWSE</t>
  </si>
  <si>
    <t>GIA/14TH FC</t>
  </si>
  <si>
    <t>15th fc</t>
  </si>
  <si>
    <t>PRI</t>
  </si>
  <si>
    <t>14TH FIN</t>
  </si>
  <si>
    <t>15TH FINANCE</t>
  </si>
  <si>
    <t>Dhupidara</t>
  </si>
  <si>
    <t>RDA salary</t>
  </si>
  <si>
    <t>14TH FIN(New)</t>
  </si>
  <si>
    <t>14TH FC,GIA,SFC</t>
  </si>
  <si>
    <t>Labdang</t>
  </si>
  <si>
    <t>CFC/15TH FC</t>
  </si>
  <si>
    <t>SFC/5TH FC upto22/2/2022</t>
  </si>
  <si>
    <t>Yuksom</t>
  </si>
  <si>
    <t>SFC/14TH FC /GIA</t>
  </si>
  <si>
    <t>Rimbi</t>
  </si>
  <si>
    <t>5TH FC/GIA</t>
  </si>
  <si>
    <t>Thingling Khichiperi</t>
  </si>
  <si>
    <t>14TH/15TH FC</t>
  </si>
  <si>
    <t>Ramthang Tanek</t>
  </si>
  <si>
    <t>CORE BANK</t>
  </si>
  <si>
    <t>15 TH FC</t>
  </si>
  <si>
    <t>5 TH FC</t>
  </si>
  <si>
    <t>15TH FC(NEW)</t>
  </si>
  <si>
    <t>SALARY(VAA)</t>
  </si>
  <si>
    <t>BAREFOOT SALARY</t>
  </si>
  <si>
    <t>SFC,OSR,14TH FC</t>
  </si>
  <si>
    <t>Tinchim Chandey</t>
  </si>
  <si>
    <t>Lamating</t>
  </si>
  <si>
    <t>SFC/SFC</t>
  </si>
  <si>
    <t>Hee- Gyaten</t>
  </si>
  <si>
    <t>GIA/14th FC</t>
  </si>
  <si>
    <t>Sakyong Pentok</t>
  </si>
  <si>
    <t>Suldung</t>
  </si>
  <si>
    <t>Takuthang</t>
  </si>
  <si>
    <t>SFC/14TH FC/OSR</t>
  </si>
  <si>
    <t>sfc</t>
  </si>
  <si>
    <t>Sripatam Gyangyong</t>
  </si>
  <si>
    <t>OSR Trade</t>
  </si>
  <si>
    <t>14th fc</t>
  </si>
  <si>
    <t>OSR trade license</t>
  </si>
  <si>
    <t>14th FC/5th SFC</t>
  </si>
  <si>
    <t>Gnathang Machong</t>
  </si>
  <si>
    <t>Bhushuk naitam</t>
  </si>
  <si>
    <t>Kopibari syari</t>
  </si>
  <si>
    <t>GIA/5th SFc</t>
  </si>
  <si>
    <t>4th SFC/5th SFC</t>
  </si>
  <si>
    <t>Zilla West</t>
  </si>
  <si>
    <t>State fund (Dir &amp; Adm)</t>
  </si>
  <si>
    <t>SISCO Bank</t>
  </si>
  <si>
    <t>UBI Bank</t>
  </si>
  <si>
    <t>North Zilla</t>
  </si>
  <si>
    <t>South Zilla</t>
  </si>
  <si>
    <t>ADM</t>
  </si>
  <si>
    <t>East Zilla</t>
  </si>
  <si>
    <t>DOA</t>
  </si>
  <si>
    <t>13th FC/14th FC</t>
  </si>
  <si>
    <t>Cess Pool A/c</t>
  </si>
  <si>
    <t>Revenue A/c</t>
  </si>
  <si>
    <t>Nayabazar Jorthang Nagar Panchayat</t>
  </si>
  <si>
    <t>IHL</t>
  </si>
  <si>
    <t>Rent &amp; NOC</t>
  </si>
  <si>
    <t>Development work</t>
  </si>
  <si>
    <t>Hawkers Licence</t>
  </si>
  <si>
    <t>Trade license</t>
  </si>
  <si>
    <t>New 15thFC A/c</t>
  </si>
  <si>
    <t>Axis Bank &amp; 911010039431710</t>
  </si>
  <si>
    <t>14TH.F.C Grant A/C</t>
  </si>
  <si>
    <t>ICICI Bank &amp; 047001001018</t>
  </si>
  <si>
    <t>14,78,86,405</t>
  </si>
  <si>
    <t>ICICI Bank &amp; 047001004533</t>
  </si>
  <si>
    <t>SISCO Bank &amp; 100135003100222</t>
  </si>
  <si>
    <t>New Account created</t>
  </si>
  <si>
    <t>IHHL</t>
  </si>
  <si>
    <t>Oriental Bank of Commerce &amp; 09982191001602</t>
  </si>
  <si>
    <t>Oriental Bank of Commerce &amp; 09982122000031</t>
  </si>
  <si>
    <t>GMC Account</t>
  </si>
  <si>
    <t>Bank of Baroda &amp; 24950100011164</t>
  </si>
  <si>
    <t>Axis Bank &amp; 911010039432548</t>
  </si>
  <si>
    <t>Allahabad Bank &amp; 50161040991</t>
  </si>
  <si>
    <t>Axis Bank &amp; 911010044516275</t>
  </si>
  <si>
    <t>Axis Bank &amp; 
912010064556267</t>
  </si>
  <si>
    <t>ICICI Bank &amp; 139901000766</t>
  </si>
  <si>
    <t>New expenditure Account create</t>
  </si>
  <si>
    <t>ICICI Bank &amp;</t>
  </si>
  <si>
    <t>7,70,55,985</t>
  </si>
  <si>
    <t>15th.F.C Grant</t>
  </si>
  <si>
    <t>ICICI Bank &amp; 047001004715</t>
  </si>
  <si>
    <t>Axis Bank &amp; 912010064556267</t>
  </si>
  <si>
    <t xml:space="preserve"> Lingchom-tikjek</t>
  </si>
  <si>
    <t xml:space="preserve"> Gyaten-Karmatar</t>
  </si>
  <si>
    <t>26 - Martam GPU</t>
  </si>
  <si>
    <t>27 - Martam GPU</t>
  </si>
  <si>
    <t>28 - Martam GPU</t>
  </si>
  <si>
    <t>29 - Martam GPU</t>
  </si>
  <si>
    <t>28 - Bermiok Berhang</t>
  </si>
  <si>
    <t>29 - Bermiok Berhang</t>
  </si>
  <si>
    <t>30 - Bermiok Berhang</t>
  </si>
  <si>
    <t>31 - Bermiok Berhang</t>
  </si>
  <si>
    <t>32 - Bermiok Berhang</t>
  </si>
  <si>
    <t>27 -  Pecherek Heepatal</t>
  </si>
  <si>
    <t>28 -  Pecherek Heepatal</t>
  </si>
  <si>
    <t>29 -  Pecherek Heepatal</t>
  </si>
  <si>
    <t>30 -  Pecherek Heepatal</t>
  </si>
  <si>
    <t>31 -  Pecherek Heepatal</t>
  </si>
  <si>
    <t>32 -  Pecherek Heepatal</t>
  </si>
  <si>
    <t xml:space="preserve">Zoom </t>
  </si>
  <si>
    <t xml:space="preserve">Thingchim chaday </t>
  </si>
  <si>
    <t>Details not furnished by GPU</t>
  </si>
  <si>
    <t>NIL</t>
  </si>
  <si>
    <t xml:space="preserve">Deythang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</si>
</sst>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
  </numFmts>
  <fonts count="3">
    <font>
      <sz val="10.0"/>
      <color rgb="FF000000"/>
      <name val="Arial"/>
      <scheme val="minor"/>
    </font>
    <font>
      <color theme="1"/>
      <name val="Arial"/>
      <scheme val="minor"/>
    </font>
    <font>
      <sz val="11.0"/>
      <color theme="1"/>
      <name val="Arial Narrow"/>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horizontal="center" vertical="center"/>
    </xf>
    <xf borderId="0" fillId="0" fontId="1" numFmtId="3" xfId="0" applyFont="1" applyNumberFormat="1"/>
    <xf borderId="0" fillId="0" fontId="1" numFmtId="0" xfId="0" applyFont="1"/>
    <xf borderId="0" fillId="0" fontId="1" numFmtId="164" xfId="0" applyFont="1" applyNumberFormat="1"/>
    <xf borderId="0" fillId="0" fontId="1" numFmtId="4" xfId="0" applyFont="1" applyNumberFormat="1"/>
    <xf quotePrefix="1" borderId="0" fillId="0" fontId="1" numFmtId="0" xfId="0" applyFont="1"/>
    <xf borderId="0" fillId="0" fontId="1" numFmtId="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7.75"/>
    <col customWidth="1" min="4" max="4" width="21.75"/>
  </cols>
  <sheetData>
    <row r="1">
      <c r="A1" s="2" t="s">
        <v>0</v>
      </c>
      <c r="B1" s="1" t="s">
        <v>1</v>
      </c>
      <c r="C1" s="1" t="s">
        <v>19</v>
      </c>
      <c r="D1" s="2" t="s">
        <v>24</v>
      </c>
      <c r="E1" s="1" t="s">
        <v>9</v>
      </c>
      <c r="F1" s="2" t="s">
        <v>29</v>
      </c>
      <c r="G1" s="1" t="s">
        <v>31</v>
      </c>
      <c r="H1" s="1" t="s">
        <v>33</v>
      </c>
      <c r="I1" s="1" t="s">
        <v>35</v>
      </c>
      <c r="J1" s="1" t="s">
        <v>38</v>
      </c>
      <c r="K1" s="1" t="s">
        <v>44</v>
      </c>
      <c r="L1" s="2" t="s">
        <v>46</v>
      </c>
      <c r="M1" s="2" t="s">
        <v>49</v>
      </c>
      <c r="N1" s="2" t="s">
        <v>51</v>
      </c>
      <c r="P1" s="3"/>
      <c r="Q1" s="3"/>
      <c r="R1" s="3"/>
      <c r="S1" s="3"/>
      <c r="T1" s="3"/>
      <c r="U1" s="3"/>
      <c r="V1" s="3"/>
      <c r="W1" s="3"/>
      <c r="X1" s="3"/>
      <c r="Y1" s="3"/>
      <c r="Z1" s="3"/>
      <c r="AA1" s="3"/>
      <c r="AB1" s="3"/>
      <c r="AC1" s="3"/>
      <c r="AD1" s="3"/>
      <c r="AE1" s="3"/>
      <c r="AF1" s="3"/>
      <c r="AG1" s="3"/>
    </row>
    <row r="2">
      <c r="A2" s="2">
        <v>2013.0</v>
      </c>
      <c r="B2" s="2"/>
      <c r="D2" s="2" t="s">
        <v>67</v>
      </c>
      <c r="F2" s="2">
        <v>6.82</v>
      </c>
      <c r="G2" s="2"/>
      <c r="H2" s="2"/>
      <c r="I2" s="2"/>
      <c r="J2" s="2">
        <v>83.72</v>
      </c>
      <c r="K2" s="2">
        <v>90.54</v>
      </c>
      <c r="L2" s="2">
        <v>88.19</v>
      </c>
      <c r="N2" s="2">
        <v>2.35</v>
      </c>
      <c r="P2" s="3"/>
      <c r="Q2" s="3"/>
      <c r="R2" s="3"/>
      <c r="S2" s="3"/>
      <c r="T2" s="3"/>
      <c r="U2" s="3"/>
      <c r="V2" s="3"/>
      <c r="W2" s="3"/>
      <c r="X2" s="3"/>
      <c r="Y2" s="3"/>
      <c r="Z2" s="3"/>
      <c r="AA2" s="3"/>
      <c r="AB2" s="3"/>
      <c r="AC2" s="3"/>
      <c r="AD2" s="3"/>
      <c r="AE2" s="3"/>
      <c r="AF2" s="3"/>
      <c r="AG2" s="3"/>
    </row>
    <row r="3">
      <c r="A3" s="2">
        <v>2013.0</v>
      </c>
      <c r="B3" s="2"/>
      <c r="D3" s="2" t="s">
        <v>79</v>
      </c>
      <c r="F3" s="2">
        <v>1.23</v>
      </c>
      <c r="G3" s="2"/>
      <c r="H3" s="2"/>
      <c r="I3" s="2"/>
      <c r="J3" s="2">
        <v>2.13</v>
      </c>
      <c r="K3" s="2">
        <v>3.36</v>
      </c>
      <c r="L3" s="2">
        <v>2.91</v>
      </c>
      <c r="N3" s="2">
        <v>0.45</v>
      </c>
      <c r="P3" s="3"/>
      <c r="Q3" s="3"/>
      <c r="R3" s="3"/>
      <c r="S3" s="3"/>
      <c r="T3" s="3"/>
      <c r="U3" s="3"/>
      <c r="V3" s="3"/>
      <c r="W3" s="3"/>
      <c r="X3" s="3"/>
      <c r="Y3" s="3"/>
      <c r="Z3" s="3"/>
      <c r="AA3" s="3"/>
      <c r="AB3" s="3"/>
      <c r="AC3" s="3"/>
      <c r="AD3" s="3"/>
      <c r="AE3" s="3"/>
      <c r="AF3" s="3"/>
      <c r="AG3" s="3"/>
    </row>
    <row r="4">
      <c r="A4" s="2">
        <v>2013.0</v>
      </c>
      <c r="B4" s="2"/>
      <c r="D4" s="2" t="s">
        <v>87</v>
      </c>
      <c r="F4" s="2">
        <v>2.08</v>
      </c>
      <c r="G4" s="2"/>
      <c r="H4" s="2"/>
      <c r="I4" s="2"/>
      <c r="J4" s="2">
        <v>1.89</v>
      </c>
      <c r="K4" s="2">
        <v>3.97</v>
      </c>
      <c r="L4" s="2">
        <v>2.93</v>
      </c>
      <c r="N4" s="2">
        <v>1.04</v>
      </c>
      <c r="P4" s="3"/>
      <c r="Q4" s="3"/>
      <c r="R4" s="3"/>
      <c r="S4" s="3"/>
      <c r="T4" s="3"/>
      <c r="U4" s="3"/>
      <c r="V4" s="3"/>
      <c r="W4" s="3"/>
      <c r="X4" s="3"/>
      <c r="Y4" s="3"/>
      <c r="Z4" s="3"/>
      <c r="AA4" s="3"/>
      <c r="AB4" s="3"/>
      <c r="AC4" s="3"/>
      <c r="AD4" s="3"/>
      <c r="AE4" s="3"/>
      <c r="AF4" s="3"/>
      <c r="AG4" s="3"/>
    </row>
    <row r="5">
      <c r="A5" s="2">
        <v>2013.0</v>
      </c>
      <c r="B5" s="2"/>
      <c r="D5" s="2" t="s">
        <v>93</v>
      </c>
      <c r="F5" s="2">
        <v>9.77</v>
      </c>
      <c r="G5" s="2"/>
      <c r="H5" s="2"/>
      <c r="I5" s="2"/>
      <c r="J5" s="2">
        <v>8.69</v>
      </c>
      <c r="K5" s="2">
        <v>18.46</v>
      </c>
      <c r="L5" s="2">
        <v>12.74</v>
      </c>
      <c r="N5" s="2">
        <v>5.72</v>
      </c>
      <c r="P5" s="3"/>
      <c r="Q5" s="3"/>
      <c r="R5" s="3"/>
      <c r="S5" s="3"/>
      <c r="T5" s="3"/>
      <c r="U5" s="3"/>
      <c r="V5" s="3"/>
      <c r="W5" s="3"/>
      <c r="X5" s="3"/>
      <c r="Y5" s="3"/>
      <c r="Z5" s="3"/>
      <c r="AA5" s="3"/>
      <c r="AB5" s="3"/>
      <c r="AC5" s="3"/>
      <c r="AD5" s="3"/>
      <c r="AE5" s="3"/>
      <c r="AF5" s="3"/>
      <c r="AG5" s="3"/>
    </row>
    <row r="6">
      <c r="A6" s="2">
        <v>2013.0</v>
      </c>
      <c r="B6" s="2"/>
      <c r="D6" s="2" t="s">
        <v>100</v>
      </c>
      <c r="F6" s="2">
        <v>6.65</v>
      </c>
      <c r="G6" s="2"/>
      <c r="H6" s="2"/>
      <c r="I6" s="2"/>
      <c r="J6" s="2">
        <v>8.29</v>
      </c>
      <c r="K6" s="2">
        <v>14.94</v>
      </c>
      <c r="L6" s="2">
        <v>12.01</v>
      </c>
      <c r="N6" s="2">
        <v>2.93</v>
      </c>
      <c r="P6" s="3"/>
      <c r="Q6" s="3"/>
      <c r="R6" s="3"/>
      <c r="S6" s="3"/>
      <c r="T6" s="3"/>
      <c r="U6" s="3"/>
      <c r="V6" s="3"/>
      <c r="W6" s="3"/>
      <c r="X6" s="3"/>
      <c r="Y6" s="3"/>
      <c r="Z6" s="3"/>
      <c r="AA6" s="3"/>
      <c r="AB6" s="3"/>
      <c r="AC6" s="3"/>
      <c r="AD6" s="3"/>
      <c r="AE6" s="3"/>
      <c r="AF6" s="3"/>
      <c r="AG6" s="3"/>
    </row>
    <row r="7">
      <c r="A7" s="2">
        <v>2013.0</v>
      </c>
      <c r="B7" s="2"/>
      <c r="D7" s="2" t="s">
        <v>105</v>
      </c>
      <c r="F7" s="2">
        <v>9.06</v>
      </c>
      <c r="G7" s="2"/>
      <c r="H7" s="2"/>
      <c r="I7" s="2"/>
      <c r="J7" s="2">
        <v>9.84</v>
      </c>
      <c r="K7" s="2">
        <v>18.9</v>
      </c>
      <c r="L7" s="2">
        <v>10.74</v>
      </c>
      <c r="N7" s="2">
        <v>8.16</v>
      </c>
      <c r="P7" s="3"/>
      <c r="Q7" s="3"/>
      <c r="R7" s="3"/>
      <c r="S7" s="3"/>
      <c r="T7" s="3"/>
      <c r="U7" s="3"/>
      <c r="V7" s="3"/>
      <c r="W7" s="3"/>
      <c r="X7" s="3"/>
      <c r="Y7" s="3"/>
      <c r="Z7" s="3"/>
      <c r="AA7" s="3"/>
      <c r="AB7" s="3"/>
      <c r="AC7" s="3"/>
      <c r="AD7" s="3"/>
      <c r="AE7" s="3"/>
      <c r="AF7" s="3"/>
      <c r="AG7" s="3"/>
    </row>
    <row r="8">
      <c r="A8" s="2">
        <v>2013.0</v>
      </c>
      <c r="B8" s="2"/>
      <c r="D8" s="2" t="s">
        <v>112</v>
      </c>
      <c r="E8" s="5" t="s">
        <v>114</v>
      </c>
      <c r="F8" s="4">
        <v>0.0</v>
      </c>
      <c r="G8" s="4">
        <v>0.0</v>
      </c>
      <c r="H8" s="4"/>
      <c r="I8" s="4"/>
      <c r="J8" s="4">
        <v>1527604.0</v>
      </c>
      <c r="K8" s="4">
        <f t="shared" ref="K8:K13" si="1">SUM(F8:J8)</f>
        <v>1527604</v>
      </c>
      <c r="L8" s="4">
        <v>1500000.0</v>
      </c>
      <c r="N8" s="4">
        <f t="shared" ref="N8:N13" si="2">K8-L8</f>
        <v>27604</v>
      </c>
      <c r="P8" s="3"/>
      <c r="Q8" s="3"/>
      <c r="R8" s="3"/>
      <c r="S8" s="3"/>
      <c r="T8" s="3"/>
      <c r="U8" s="3"/>
      <c r="V8" s="3"/>
      <c r="W8" s="3"/>
      <c r="X8" s="3"/>
      <c r="Y8" s="3"/>
      <c r="Z8" s="3"/>
      <c r="AA8" s="3"/>
      <c r="AB8" s="3"/>
      <c r="AC8" s="3"/>
      <c r="AD8" s="3"/>
      <c r="AE8" s="3"/>
      <c r="AF8" s="3"/>
      <c r="AG8" s="3"/>
    </row>
    <row r="9">
      <c r="A9" s="2">
        <v>2013.0</v>
      </c>
      <c r="B9" s="2"/>
      <c r="D9" s="2" t="s">
        <v>112</v>
      </c>
      <c r="E9" s="5" t="s">
        <v>150</v>
      </c>
      <c r="F9" s="4">
        <v>1730023.0</v>
      </c>
      <c r="G9" s="4">
        <v>0.0</v>
      </c>
      <c r="H9" s="4"/>
      <c r="I9" s="4"/>
      <c r="J9" s="4">
        <v>4431071.0</v>
      </c>
      <c r="K9" s="4">
        <f t="shared" si="1"/>
        <v>6161094</v>
      </c>
      <c r="L9" s="4">
        <v>2746261.0</v>
      </c>
      <c r="N9" s="4">
        <f t="shared" si="2"/>
        <v>3414833</v>
      </c>
      <c r="P9" s="3"/>
      <c r="Q9" s="3"/>
      <c r="R9" s="3"/>
      <c r="S9" s="3"/>
      <c r="T9" s="3"/>
      <c r="U9" s="3"/>
      <c r="V9" s="3"/>
      <c r="W9" s="3"/>
      <c r="X9" s="3"/>
      <c r="Y9" s="3"/>
      <c r="Z9" s="3"/>
      <c r="AA9" s="3"/>
      <c r="AB9" s="3"/>
      <c r="AC9" s="3"/>
      <c r="AD9" s="3"/>
      <c r="AE9" s="3"/>
      <c r="AF9" s="3"/>
      <c r="AG9" s="3"/>
    </row>
    <row r="10">
      <c r="A10" s="2">
        <v>2013.0</v>
      </c>
      <c r="B10" s="2"/>
      <c r="D10" s="2" t="s">
        <v>112</v>
      </c>
      <c r="E10" s="5" t="s">
        <v>154</v>
      </c>
      <c r="F10" s="4">
        <v>1639806.0</v>
      </c>
      <c r="G10" s="4">
        <v>2.5705E7</v>
      </c>
      <c r="H10" s="4"/>
      <c r="I10" s="4"/>
      <c r="J10" s="4">
        <v>5.5073523E7</v>
      </c>
      <c r="K10" s="4">
        <f t="shared" si="1"/>
        <v>82418329</v>
      </c>
      <c r="L10" s="4">
        <v>6.6312649E7</v>
      </c>
      <c r="N10" s="4">
        <f t="shared" si="2"/>
        <v>16105680</v>
      </c>
      <c r="P10" s="3"/>
      <c r="Q10" s="3"/>
      <c r="R10" s="3"/>
      <c r="S10" s="3"/>
      <c r="T10" s="3"/>
      <c r="U10" s="3"/>
      <c r="V10" s="3"/>
      <c r="W10" s="3"/>
      <c r="X10" s="3"/>
      <c r="Y10" s="3"/>
      <c r="Z10" s="3"/>
      <c r="AA10" s="3"/>
      <c r="AB10" s="3"/>
      <c r="AC10" s="3"/>
      <c r="AD10" s="3"/>
      <c r="AE10" s="3"/>
      <c r="AF10" s="3"/>
      <c r="AG10" s="3"/>
    </row>
    <row r="11">
      <c r="A11" s="2">
        <v>2013.0</v>
      </c>
      <c r="B11" s="2"/>
      <c r="D11" s="2" t="s">
        <v>112</v>
      </c>
      <c r="E11" s="5" t="s">
        <v>158</v>
      </c>
      <c r="F11" s="4">
        <v>0.0</v>
      </c>
      <c r="G11" s="4">
        <v>0.0</v>
      </c>
      <c r="H11" s="4"/>
      <c r="I11" s="4"/>
      <c r="J11" s="4">
        <v>2.4969148E7</v>
      </c>
      <c r="K11" s="4">
        <f t="shared" si="1"/>
        <v>24969148</v>
      </c>
      <c r="L11" s="4">
        <v>2.4237948E7</v>
      </c>
      <c r="N11" s="4">
        <f t="shared" si="2"/>
        <v>731200</v>
      </c>
      <c r="P11" s="3"/>
      <c r="Q11" s="3"/>
      <c r="R11" s="3"/>
      <c r="S11" s="3"/>
      <c r="T11" s="3"/>
      <c r="U11" s="3"/>
      <c r="V11" s="3"/>
      <c r="W11" s="3"/>
      <c r="X11" s="3"/>
      <c r="Y11" s="3"/>
      <c r="Z11" s="3"/>
      <c r="AA11" s="3"/>
      <c r="AB11" s="3"/>
      <c r="AC11" s="3"/>
      <c r="AD11" s="3"/>
      <c r="AE11" s="3"/>
      <c r="AF11" s="3"/>
      <c r="AG11" s="3"/>
    </row>
    <row r="12">
      <c r="A12" s="2">
        <v>2013.0</v>
      </c>
      <c r="B12" s="2"/>
      <c r="D12" s="2" t="s">
        <v>112</v>
      </c>
      <c r="E12" s="5" t="s">
        <v>162</v>
      </c>
      <c r="F12" s="4">
        <v>6249922.0</v>
      </c>
      <c r="G12" s="4">
        <v>0.0</v>
      </c>
      <c r="H12" s="4"/>
      <c r="I12" s="4"/>
      <c r="J12" s="4">
        <v>2.8886444E7</v>
      </c>
      <c r="K12" s="4">
        <f t="shared" si="1"/>
        <v>35136366</v>
      </c>
      <c r="L12" s="4">
        <v>2.6984123E7</v>
      </c>
      <c r="N12" s="4">
        <f t="shared" si="2"/>
        <v>8152243</v>
      </c>
      <c r="P12" s="3"/>
      <c r="Q12" s="3"/>
      <c r="R12" s="3"/>
      <c r="S12" s="3"/>
      <c r="T12" s="3"/>
      <c r="U12" s="3"/>
      <c r="V12" s="3"/>
      <c r="W12" s="3"/>
      <c r="X12" s="3"/>
      <c r="Y12" s="3"/>
      <c r="Z12" s="3"/>
      <c r="AA12" s="3"/>
      <c r="AB12" s="3"/>
      <c r="AC12" s="3"/>
      <c r="AD12" s="3"/>
      <c r="AE12" s="3"/>
      <c r="AF12" s="3"/>
      <c r="AG12" s="3"/>
    </row>
    <row r="13">
      <c r="A13" s="2">
        <v>2013.0</v>
      </c>
      <c r="B13" s="2"/>
      <c r="D13" s="2" t="s">
        <v>112</v>
      </c>
      <c r="E13" s="5" t="s">
        <v>166</v>
      </c>
      <c r="F13" s="4">
        <v>0.0</v>
      </c>
      <c r="G13" s="4">
        <v>0.0</v>
      </c>
      <c r="H13" s="4"/>
      <c r="I13" s="4"/>
      <c r="J13" s="4">
        <v>3597700.0</v>
      </c>
      <c r="K13" s="4">
        <f t="shared" si="1"/>
        <v>3597700</v>
      </c>
      <c r="L13" s="4">
        <v>613244.0</v>
      </c>
      <c r="N13" s="4">
        <f t="shared" si="2"/>
        <v>2984456</v>
      </c>
      <c r="P13" s="3"/>
      <c r="Q13" s="3"/>
      <c r="R13" s="3"/>
      <c r="S13" s="3"/>
      <c r="T13" s="3"/>
      <c r="U13" s="3"/>
      <c r="V13" s="3"/>
      <c r="W13" s="3"/>
      <c r="X13" s="3"/>
      <c r="Y13" s="3"/>
      <c r="Z13" s="3"/>
      <c r="AA13" s="3"/>
      <c r="AB13" s="3"/>
      <c r="AC13" s="3"/>
      <c r="AD13" s="3"/>
      <c r="AE13" s="3"/>
      <c r="AF13" s="3"/>
      <c r="AG13" s="3"/>
    </row>
    <row r="14">
      <c r="A14" s="2">
        <v>2013.0</v>
      </c>
      <c r="B14" s="2"/>
      <c r="D14" s="2" t="s">
        <v>169</v>
      </c>
      <c r="E14" s="5" t="s">
        <v>114</v>
      </c>
      <c r="F14" s="4">
        <v>1.2661826E7</v>
      </c>
      <c r="G14" s="4">
        <v>2.4361E7</v>
      </c>
      <c r="H14" s="4">
        <v>472838.0</v>
      </c>
      <c r="I14" s="4">
        <v>0.0</v>
      </c>
      <c r="J14" s="4">
        <v>0.0</v>
      </c>
      <c r="K14" s="4">
        <v>3.7495664E7</v>
      </c>
      <c r="L14" s="4">
        <v>3.5248326E7</v>
      </c>
      <c r="N14" s="4">
        <v>2247338.0</v>
      </c>
      <c r="P14" s="3"/>
      <c r="Q14" s="3"/>
      <c r="R14" s="3"/>
      <c r="S14" s="3"/>
      <c r="T14" s="3"/>
      <c r="U14" s="3"/>
      <c r="V14" s="3"/>
      <c r="W14" s="3"/>
      <c r="X14" s="3"/>
      <c r="Y14" s="3"/>
      <c r="Z14" s="3"/>
      <c r="AA14" s="3"/>
      <c r="AB14" s="3"/>
      <c r="AC14" s="3"/>
      <c r="AD14" s="3"/>
      <c r="AE14" s="3"/>
      <c r="AF14" s="3"/>
      <c r="AG14" s="3"/>
    </row>
    <row r="15">
      <c r="A15" s="2">
        <v>2013.0</v>
      </c>
      <c r="B15" s="2"/>
      <c r="D15" s="2" t="s">
        <v>169</v>
      </c>
      <c r="E15" s="5" t="s">
        <v>173</v>
      </c>
      <c r="F15" s="4">
        <v>3558893.0</v>
      </c>
      <c r="G15" s="4">
        <v>4.3483626E7</v>
      </c>
      <c r="H15" s="4">
        <v>625318.0</v>
      </c>
      <c r="I15" s="4">
        <v>1.8456E7</v>
      </c>
      <c r="J15" s="4">
        <v>6949218.0</v>
      </c>
      <c r="K15" s="4">
        <v>7.3073055E7</v>
      </c>
      <c r="L15" s="4">
        <v>6.2535359E7</v>
      </c>
      <c r="N15" s="4">
        <v>1.0537696E7</v>
      </c>
      <c r="P15" s="3"/>
      <c r="Q15" s="3"/>
      <c r="R15" s="3"/>
      <c r="S15" s="3"/>
      <c r="T15" s="3"/>
      <c r="U15" s="3"/>
      <c r="V15" s="3"/>
      <c r="W15" s="3"/>
      <c r="X15" s="3"/>
      <c r="Y15" s="3"/>
      <c r="Z15" s="3"/>
      <c r="AA15" s="3"/>
      <c r="AB15" s="3"/>
      <c r="AC15" s="3"/>
      <c r="AD15" s="3"/>
      <c r="AE15" s="3"/>
      <c r="AF15" s="3"/>
      <c r="AG15" s="3"/>
    </row>
    <row r="16">
      <c r="A16" s="2">
        <v>2013.0</v>
      </c>
      <c r="B16" s="2"/>
      <c r="D16" s="2" t="s">
        <v>169</v>
      </c>
      <c r="E16" s="5" t="s">
        <v>56</v>
      </c>
      <c r="F16" s="4">
        <v>2123000.0</v>
      </c>
      <c r="G16" s="4">
        <v>500000.0</v>
      </c>
      <c r="H16" s="4">
        <v>44190.0</v>
      </c>
      <c r="I16" s="4">
        <v>1500000.0</v>
      </c>
      <c r="J16" s="4">
        <v>0.0</v>
      </c>
      <c r="K16" s="4">
        <v>4167190.0</v>
      </c>
      <c r="L16" s="4">
        <v>3255732.0</v>
      </c>
      <c r="N16" s="4">
        <v>911458.0</v>
      </c>
      <c r="P16" s="3"/>
      <c r="Q16" s="3"/>
      <c r="R16" s="3"/>
      <c r="S16" s="3"/>
      <c r="T16" s="3"/>
      <c r="U16" s="3"/>
      <c r="V16" s="3"/>
      <c r="W16" s="3"/>
      <c r="X16" s="3"/>
      <c r="Y16" s="3"/>
      <c r="Z16" s="3"/>
      <c r="AA16" s="3"/>
      <c r="AB16" s="3"/>
      <c r="AC16" s="3"/>
      <c r="AD16" s="3"/>
      <c r="AE16" s="3"/>
      <c r="AF16" s="3"/>
      <c r="AG16" s="3"/>
    </row>
    <row r="17">
      <c r="A17" s="2">
        <v>2013.0</v>
      </c>
      <c r="B17" s="2"/>
      <c r="D17" s="2" t="s">
        <v>169</v>
      </c>
      <c r="E17" s="5" t="s">
        <v>180</v>
      </c>
      <c r="F17" s="4">
        <v>4.5509425E7</v>
      </c>
      <c r="G17" s="4">
        <v>2.722327E7</v>
      </c>
      <c r="H17" s="4">
        <v>1189832.0</v>
      </c>
      <c r="I17" s="4">
        <v>2.0E7</v>
      </c>
      <c r="J17" s="4">
        <v>1700000.0</v>
      </c>
      <c r="K17" s="4">
        <v>9.5622527E7</v>
      </c>
      <c r="L17" s="4">
        <v>8.6020949E7</v>
      </c>
      <c r="N17" s="4">
        <v>9601578.0</v>
      </c>
      <c r="P17" s="3"/>
      <c r="Q17" s="3"/>
      <c r="R17" s="3"/>
      <c r="S17" s="3"/>
      <c r="T17" s="3"/>
      <c r="U17" s="3"/>
      <c r="V17" s="3"/>
      <c r="W17" s="3"/>
      <c r="X17" s="3"/>
      <c r="Y17" s="3"/>
      <c r="Z17" s="3"/>
      <c r="AA17" s="3"/>
      <c r="AB17" s="3"/>
      <c r="AC17" s="3"/>
      <c r="AD17" s="3"/>
      <c r="AE17" s="3"/>
      <c r="AF17" s="3"/>
      <c r="AG17" s="3"/>
    </row>
    <row r="18">
      <c r="A18" s="2">
        <v>2013.0</v>
      </c>
      <c r="B18" s="2"/>
      <c r="D18" s="2" t="s">
        <v>169</v>
      </c>
      <c r="E18" s="5" t="s">
        <v>183</v>
      </c>
      <c r="F18" s="4">
        <v>1062427.0</v>
      </c>
      <c r="G18" s="4">
        <v>5000000.0</v>
      </c>
      <c r="H18" s="4">
        <v>87371.0</v>
      </c>
      <c r="I18" s="4">
        <v>125000.0</v>
      </c>
      <c r="J18" s="4">
        <v>7181719.0</v>
      </c>
      <c r="K18" s="4">
        <v>1.3456517E7</v>
      </c>
      <c r="L18" s="4">
        <v>1.1969011E7</v>
      </c>
      <c r="N18" s="4">
        <v>1487506.0</v>
      </c>
      <c r="P18" s="3"/>
      <c r="Q18" s="3"/>
      <c r="R18" s="3"/>
      <c r="S18" s="3"/>
      <c r="T18" s="3"/>
      <c r="U18" s="3"/>
      <c r="V18" s="3"/>
      <c r="W18" s="3"/>
      <c r="X18" s="3"/>
      <c r="Y18" s="3"/>
      <c r="Z18" s="3"/>
      <c r="AA18" s="3"/>
      <c r="AB18" s="3"/>
      <c r="AC18" s="3"/>
      <c r="AD18" s="3"/>
      <c r="AE18" s="3"/>
      <c r="AF18" s="3"/>
      <c r="AG18" s="3"/>
    </row>
    <row r="19">
      <c r="A19" s="2">
        <v>2013.0</v>
      </c>
      <c r="B19" s="2"/>
      <c r="D19" s="2" t="s">
        <v>185</v>
      </c>
      <c r="E19" s="2" t="s">
        <v>186</v>
      </c>
      <c r="F19" s="2" t="s">
        <v>188</v>
      </c>
      <c r="G19" s="2"/>
      <c r="H19" s="2"/>
      <c r="J19" s="2" t="s">
        <v>189</v>
      </c>
      <c r="K19" s="2" t="s">
        <v>190</v>
      </c>
      <c r="L19" s="2" t="s">
        <v>191</v>
      </c>
      <c r="N19" s="4">
        <v>81266.0</v>
      </c>
      <c r="P19" s="3"/>
      <c r="Q19" s="3"/>
      <c r="R19" s="3"/>
      <c r="S19" s="3"/>
      <c r="T19" s="3"/>
      <c r="U19" s="3"/>
      <c r="V19" s="3"/>
      <c r="W19" s="3"/>
      <c r="X19" s="3"/>
      <c r="Y19" s="3"/>
      <c r="Z19" s="3"/>
      <c r="AA19" s="3"/>
      <c r="AB19" s="3"/>
      <c r="AC19" s="3"/>
      <c r="AD19" s="3"/>
      <c r="AE19" s="3"/>
      <c r="AF19" s="3"/>
      <c r="AG19" s="3"/>
    </row>
    <row r="20">
      <c r="A20" s="2">
        <v>2013.0</v>
      </c>
      <c r="B20" s="2"/>
      <c r="D20" s="2" t="s">
        <v>185</v>
      </c>
      <c r="E20" s="2" t="s">
        <v>194</v>
      </c>
      <c r="F20" s="4">
        <v>10219.0</v>
      </c>
      <c r="G20" s="2"/>
      <c r="H20" s="4"/>
      <c r="J20" s="2" t="s">
        <v>195</v>
      </c>
      <c r="K20" s="2" t="s">
        <v>196</v>
      </c>
      <c r="L20" s="2" t="s">
        <v>197</v>
      </c>
      <c r="N20" s="2">
        <v>858.0</v>
      </c>
      <c r="P20" s="3"/>
      <c r="Q20" s="3"/>
      <c r="R20" s="3"/>
      <c r="S20" s="3"/>
      <c r="T20" s="3"/>
      <c r="U20" s="3"/>
      <c r="V20" s="3"/>
      <c r="W20" s="3"/>
      <c r="X20" s="3"/>
      <c r="Y20" s="3"/>
      <c r="Z20" s="3"/>
      <c r="AA20" s="3"/>
      <c r="AB20" s="3"/>
      <c r="AC20" s="3"/>
      <c r="AD20" s="3"/>
      <c r="AE20" s="3"/>
      <c r="AF20" s="3"/>
      <c r="AG20" s="3"/>
    </row>
    <row r="21">
      <c r="A21" s="2">
        <v>2013.0</v>
      </c>
      <c r="B21" s="2"/>
      <c r="D21" s="2" t="s">
        <v>185</v>
      </c>
      <c r="E21" s="2" t="s">
        <v>201</v>
      </c>
      <c r="F21" s="2" t="s">
        <v>203</v>
      </c>
      <c r="G21" s="2"/>
      <c r="H21" s="2"/>
      <c r="J21" s="2" t="s">
        <v>204</v>
      </c>
      <c r="K21" s="2" t="s">
        <v>205</v>
      </c>
      <c r="L21" s="2" t="s">
        <v>206</v>
      </c>
      <c r="N21" s="2" t="s">
        <v>207</v>
      </c>
      <c r="P21" s="3"/>
      <c r="Q21" s="3"/>
      <c r="R21" s="3"/>
      <c r="S21" s="3"/>
      <c r="T21" s="3"/>
      <c r="U21" s="3"/>
      <c r="V21" s="3"/>
      <c r="W21" s="3"/>
      <c r="X21" s="3"/>
      <c r="Y21" s="3"/>
      <c r="Z21" s="3"/>
      <c r="AA21" s="3"/>
      <c r="AB21" s="3"/>
      <c r="AC21" s="3"/>
      <c r="AD21" s="3"/>
      <c r="AE21" s="3"/>
      <c r="AF21" s="3"/>
      <c r="AG21" s="3"/>
    </row>
    <row r="22">
      <c r="A22" s="2">
        <v>2013.0</v>
      </c>
      <c r="B22" s="2"/>
      <c r="D22" s="2" t="s">
        <v>185</v>
      </c>
      <c r="E22" s="2" t="s">
        <v>211</v>
      </c>
      <c r="F22" s="2" t="s">
        <v>212</v>
      </c>
      <c r="G22" s="2"/>
      <c r="H22" s="2"/>
      <c r="J22" s="2" t="s">
        <v>214</v>
      </c>
      <c r="K22" s="2" t="s">
        <v>214</v>
      </c>
      <c r="L22" s="2" t="s">
        <v>214</v>
      </c>
      <c r="N22" s="2" t="s">
        <v>212</v>
      </c>
      <c r="P22" s="3"/>
      <c r="Q22" s="3"/>
      <c r="R22" s="3"/>
      <c r="S22" s="3"/>
      <c r="T22" s="3"/>
      <c r="U22" s="3"/>
      <c r="V22" s="3"/>
      <c r="W22" s="3"/>
      <c r="X22" s="3"/>
      <c r="Y22" s="3"/>
      <c r="Z22" s="3"/>
      <c r="AA22" s="3"/>
      <c r="AB22" s="3"/>
      <c r="AC22" s="3"/>
      <c r="AD22" s="3"/>
      <c r="AE22" s="3"/>
      <c r="AF22" s="3"/>
      <c r="AG22" s="3"/>
    </row>
    <row r="23">
      <c r="A23" s="2">
        <v>2014.0</v>
      </c>
      <c r="B23" s="2"/>
      <c r="D23" s="2" t="s">
        <v>216</v>
      </c>
      <c r="F23" s="2">
        <v>45.17</v>
      </c>
      <c r="J23" s="2">
        <v>126.44</v>
      </c>
      <c r="K23" s="2">
        <v>171.61</v>
      </c>
      <c r="L23" s="2">
        <v>140.02</v>
      </c>
      <c r="N23" s="2">
        <v>31.59</v>
      </c>
      <c r="P23" s="3"/>
      <c r="Q23" s="3"/>
      <c r="R23" s="3"/>
      <c r="S23" s="3"/>
      <c r="T23" s="3"/>
      <c r="U23" s="3"/>
      <c r="V23" s="3"/>
      <c r="W23" s="3"/>
      <c r="X23" s="3"/>
      <c r="Y23" s="3"/>
      <c r="Z23" s="3"/>
      <c r="AA23" s="3"/>
      <c r="AB23" s="3"/>
      <c r="AC23" s="3"/>
      <c r="AD23" s="3"/>
      <c r="AE23" s="3"/>
      <c r="AF23" s="3"/>
      <c r="AG23" s="3"/>
    </row>
    <row r="24">
      <c r="A24" s="2">
        <v>2014.0</v>
      </c>
      <c r="B24" s="2"/>
      <c r="D24" s="2" t="s">
        <v>223</v>
      </c>
      <c r="F24" s="2">
        <v>39.79</v>
      </c>
      <c r="J24" s="2">
        <v>64.91</v>
      </c>
      <c r="K24" s="2">
        <v>104.7</v>
      </c>
      <c r="L24" s="2">
        <v>87.34</v>
      </c>
      <c r="N24" s="2">
        <v>17.36</v>
      </c>
      <c r="P24" s="3"/>
      <c r="Q24" s="3"/>
      <c r="R24" s="3"/>
      <c r="S24" s="3"/>
      <c r="T24" s="3"/>
      <c r="U24" s="3"/>
      <c r="V24" s="3"/>
      <c r="W24" s="3"/>
      <c r="X24" s="3"/>
      <c r="Y24" s="3"/>
      <c r="Z24" s="3"/>
      <c r="AA24" s="3"/>
      <c r="AB24" s="3"/>
      <c r="AC24" s="3"/>
      <c r="AD24" s="3"/>
      <c r="AE24" s="3"/>
      <c r="AF24" s="3"/>
      <c r="AG24" s="3"/>
    </row>
    <row r="25">
      <c r="A25" s="2">
        <v>2014.0</v>
      </c>
      <c r="B25" s="2"/>
      <c r="D25" s="2" t="s">
        <v>227</v>
      </c>
      <c r="F25" s="2">
        <v>15.48</v>
      </c>
      <c r="J25" s="2">
        <v>60.77</v>
      </c>
      <c r="K25" s="2">
        <v>76.25</v>
      </c>
      <c r="L25" s="2">
        <v>45.9</v>
      </c>
      <c r="N25" s="2">
        <v>30.35</v>
      </c>
      <c r="P25" s="3"/>
      <c r="Q25" s="3"/>
      <c r="R25" s="3"/>
      <c r="S25" s="3"/>
      <c r="T25" s="3"/>
      <c r="U25" s="3"/>
      <c r="V25" s="3"/>
      <c r="W25" s="3"/>
      <c r="X25" s="3"/>
      <c r="Y25" s="3"/>
      <c r="Z25" s="3"/>
      <c r="AA25" s="3"/>
      <c r="AB25" s="3"/>
      <c r="AC25" s="3"/>
      <c r="AD25" s="3"/>
      <c r="AE25" s="3"/>
      <c r="AF25" s="3"/>
      <c r="AG25" s="3"/>
    </row>
    <row r="26">
      <c r="A26" s="2">
        <v>2014.0</v>
      </c>
      <c r="B26" s="2"/>
      <c r="D26" s="2" t="s">
        <v>234</v>
      </c>
      <c r="F26" s="2">
        <v>827.46</v>
      </c>
      <c r="J26" s="2">
        <v>987.36</v>
      </c>
      <c r="K26" s="2">
        <v>1814.82</v>
      </c>
      <c r="L26" s="2">
        <v>1100.68</v>
      </c>
      <c r="N26" s="2">
        <v>714.14</v>
      </c>
      <c r="P26" s="3"/>
      <c r="Q26" s="3"/>
      <c r="R26" s="3"/>
      <c r="S26" s="3"/>
      <c r="T26" s="3"/>
      <c r="U26" s="3"/>
      <c r="V26" s="3"/>
      <c r="W26" s="3"/>
      <c r="X26" s="3"/>
      <c r="Y26" s="3"/>
      <c r="Z26" s="3"/>
      <c r="AA26" s="3"/>
      <c r="AB26" s="3"/>
      <c r="AC26" s="3"/>
      <c r="AD26" s="3"/>
      <c r="AE26" s="3"/>
      <c r="AF26" s="3"/>
      <c r="AG26" s="3"/>
    </row>
    <row r="27">
      <c r="A27" s="2">
        <v>2014.0</v>
      </c>
      <c r="B27" s="2"/>
      <c r="D27" s="2" t="s">
        <v>236</v>
      </c>
      <c r="F27" s="2">
        <v>499.55</v>
      </c>
      <c r="J27" s="2">
        <v>1112.9</v>
      </c>
      <c r="K27" s="2">
        <v>1612.45</v>
      </c>
      <c r="L27" s="2">
        <v>875.66</v>
      </c>
      <c r="N27" s="2">
        <v>736.79</v>
      </c>
      <c r="P27" s="3"/>
      <c r="Q27" s="3"/>
      <c r="R27" s="3"/>
      <c r="S27" s="3"/>
      <c r="T27" s="3"/>
      <c r="U27" s="3"/>
      <c r="V27" s="3"/>
      <c r="W27" s="3"/>
      <c r="X27" s="3"/>
      <c r="Y27" s="3"/>
      <c r="Z27" s="3"/>
      <c r="AA27" s="3"/>
      <c r="AB27" s="3"/>
      <c r="AC27" s="3"/>
      <c r="AD27" s="3"/>
      <c r="AE27" s="3"/>
      <c r="AF27" s="3"/>
      <c r="AG27" s="3"/>
    </row>
    <row r="28">
      <c r="A28" s="2">
        <v>2014.0</v>
      </c>
      <c r="B28" s="2"/>
      <c r="D28" s="2" t="s">
        <v>241</v>
      </c>
      <c r="F28" s="2">
        <v>16.97</v>
      </c>
      <c r="J28" s="2">
        <v>142.87</v>
      </c>
      <c r="K28" s="2">
        <v>159.84</v>
      </c>
      <c r="L28" s="2">
        <v>146.48</v>
      </c>
      <c r="N28" s="2">
        <v>13.36</v>
      </c>
      <c r="P28" s="3"/>
      <c r="Q28" s="3"/>
      <c r="R28" s="3"/>
      <c r="S28" s="3"/>
      <c r="T28" s="3"/>
      <c r="U28" s="3"/>
      <c r="V28" s="3"/>
      <c r="W28" s="3"/>
      <c r="X28" s="3"/>
      <c r="Y28" s="3"/>
      <c r="Z28" s="3"/>
      <c r="AA28" s="3"/>
      <c r="AB28" s="3"/>
      <c r="AC28" s="3"/>
      <c r="AD28" s="3"/>
      <c r="AE28" s="3"/>
      <c r="AF28" s="3"/>
      <c r="AG28" s="3"/>
    </row>
    <row r="29">
      <c r="A29" s="2">
        <v>2014.0</v>
      </c>
      <c r="B29" s="2"/>
      <c r="D29" s="2" t="s">
        <v>245</v>
      </c>
      <c r="F29" s="2">
        <v>20.98</v>
      </c>
      <c r="J29" s="2">
        <v>461.63</v>
      </c>
      <c r="K29" s="2">
        <v>482.61</v>
      </c>
      <c r="L29" s="2">
        <v>451.27</v>
      </c>
      <c r="N29" s="2">
        <v>31.34</v>
      </c>
      <c r="P29" s="3"/>
      <c r="Q29" s="3"/>
      <c r="R29" s="3"/>
      <c r="S29" s="3"/>
      <c r="T29" s="3"/>
      <c r="U29" s="3"/>
      <c r="V29" s="3"/>
      <c r="W29" s="3"/>
      <c r="X29" s="3"/>
      <c r="Y29" s="3"/>
      <c r="Z29" s="3"/>
      <c r="AA29" s="3"/>
      <c r="AB29" s="3"/>
      <c r="AC29" s="3"/>
      <c r="AD29" s="3"/>
      <c r="AE29" s="3"/>
      <c r="AF29" s="3"/>
      <c r="AG29" s="3"/>
    </row>
    <row r="30">
      <c r="A30" s="2">
        <v>2014.0</v>
      </c>
      <c r="B30" s="2"/>
      <c r="D30" s="2" t="s">
        <v>253</v>
      </c>
      <c r="F30" s="2">
        <v>30.31</v>
      </c>
      <c r="J30" s="2">
        <v>308.29</v>
      </c>
      <c r="K30" s="2">
        <v>338.6</v>
      </c>
      <c r="L30" s="2">
        <v>309.58</v>
      </c>
      <c r="N30" s="2">
        <v>29.02</v>
      </c>
      <c r="P30" s="3"/>
      <c r="Q30" s="3"/>
      <c r="R30" s="3"/>
      <c r="S30" s="3"/>
      <c r="T30" s="3"/>
      <c r="U30" s="3"/>
      <c r="V30" s="3"/>
      <c r="W30" s="3"/>
      <c r="X30" s="3"/>
      <c r="Y30" s="3"/>
      <c r="Z30" s="3"/>
      <c r="AA30" s="3"/>
      <c r="AB30" s="3"/>
      <c r="AC30" s="3"/>
      <c r="AD30" s="3"/>
      <c r="AE30" s="3"/>
      <c r="AF30" s="3"/>
      <c r="AG30" s="3"/>
    </row>
    <row r="31">
      <c r="A31" s="2">
        <v>2014.0</v>
      </c>
      <c r="B31" s="2"/>
      <c r="D31" s="2" t="s">
        <v>256</v>
      </c>
      <c r="F31" s="2">
        <v>15.02</v>
      </c>
      <c r="J31" s="2">
        <v>144.67</v>
      </c>
      <c r="K31" s="2">
        <v>159.69</v>
      </c>
      <c r="L31" s="2">
        <v>144.77</v>
      </c>
      <c r="N31" s="2">
        <v>14.92</v>
      </c>
      <c r="P31" s="3"/>
      <c r="Q31" s="3"/>
      <c r="R31" s="3"/>
      <c r="S31" s="3"/>
      <c r="T31" s="3"/>
      <c r="U31" s="3"/>
      <c r="V31" s="3"/>
      <c r="W31" s="3"/>
      <c r="X31" s="3"/>
      <c r="Y31" s="3"/>
      <c r="Z31" s="3"/>
      <c r="AA31" s="3"/>
      <c r="AB31" s="3"/>
      <c r="AC31" s="3"/>
      <c r="AD31" s="3"/>
      <c r="AE31" s="3"/>
      <c r="AF31" s="3"/>
      <c r="AG31" s="3"/>
    </row>
    <row r="32">
      <c r="A32" s="2">
        <v>2014.0</v>
      </c>
      <c r="B32" s="2"/>
      <c r="D32" s="2" t="s">
        <v>265</v>
      </c>
      <c r="F32" s="2">
        <v>19.76</v>
      </c>
      <c r="J32" s="2">
        <v>211.26</v>
      </c>
      <c r="K32" s="2">
        <v>231.02</v>
      </c>
      <c r="L32" s="2">
        <v>217.18</v>
      </c>
      <c r="N32" s="2">
        <v>13.84</v>
      </c>
      <c r="P32" s="3"/>
      <c r="Q32" s="3"/>
      <c r="R32" s="3"/>
      <c r="S32" s="3"/>
      <c r="T32" s="3"/>
      <c r="U32" s="3"/>
      <c r="V32" s="3"/>
      <c r="W32" s="3"/>
      <c r="X32" s="3"/>
      <c r="Y32" s="3"/>
      <c r="Z32" s="3"/>
      <c r="AA32" s="3"/>
      <c r="AB32" s="3"/>
      <c r="AC32" s="3"/>
      <c r="AD32" s="3"/>
      <c r="AE32" s="3"/>
      <c r="AF32" s="3"/>
      <c r="AG32" s="3"/>
    </row>
    <row r="33">
      <c r="A33" s="2">
        <v>2014.0</v>
      </c>
      <c r="B33" s="2"/>
      <c r="D33" s="2" t="s">
        <v>267</v>
      </c>
      <c r="F33" s="2">
        <v>20.66</v>
      </c>
      <c r="J33" s="2">
        <v>232.54</v>
      </c>
      <c r="K33" s="2">
        <v>253.2</v>
      </c>
      <c r="L33" s="2">
        <v>230.44</v>
      </c>
      <c r="N33" s="2">
        <v>22.76</v>
      </c>
      <c r="P33" s="3"/>
      <c r="Q33" s="3"/>
      <c r="R33" s="3"/>
      <c r="S33" s="3"/>
      <c r="T33" s="3"/>
      <c r="U33" s="3"/>
      <c r="V33" s="3"/>
      <c r="W33" s="3"/>
      <c r="X33" s="3"/>
      <c r="Y33" s="3"/>
      <c r="Z33" s="3"/>
      <c r="AA33" s="3"/>
      <c r="AB33" s="3"/>
      <c r="AC33" s="3"/>
      <c r="AD33" s="3"/>
      <c r="AE33" s="3"/>
      <c r="AF33" s="3"/>
      <c r="AG33" s="3"/>
    </row>
    <row r="34">
      <c r="A34" s="2">
        <v>2014.0</v>
      </c>
      <c r="B34" s="2"/>
      <c r="D34" s="2" t="s">
        <v>271</v>
      </c>
      <c r="F34" s="2">
        <v>5.58</v>
      </c>
      <c r="J34" s="2">
        <v>303.57</v>
      </c>
      <c r="K34" s="2">
        <v>309.15</v>
      </c>
      <c r="L34" s="2">
        <v>293.21</v>
      </c>
      <c r="N34" s="2">
        <v>15.94</v>
      </c>
      <c r="P34" s="3"/>
      <c r="Q34" s="3"/>
      <c r="R34" s="3"/>
      <c r="S34" s="3"/>
      <c r="T34" s="3"/>
      <c r="U34" s="3"/>
      <c r="V34" s="3"/>
      <c r="W34" s="3"/>
      <c r="X34" s="3"/>
      <c r="Y34" s="3"/>
      <c r="Z34" s="3"/>
      <c r="AA34" s="3"/>
      <c r="AB34" s="3"/>
      <c r="AC34" s="3"/>
      <c r="AD34" s="3"/>
      <c r="AE34" s="3"/>
      <c r="AF34" s="3"/>
      <c r="AG34" s="3"/>
    </row>
    <row r="35">
      <c r="A35" s="2">
        <v>2014.0</v>
      </c>
      <c r="B35" s="2"/>
      <c r="D35" s="2" t="s">
        <v>274</v>
      </c>
      <c r="F35" s="2">
        <v>0.02</v>
      </c>
      <c r="J35" s="2">
        <v>5.64</v>
      </c>
      <c r="K35" s="2">
        <v>7.64</v>
      </c>
      <c r="L35" s="2">
        <v>1.19</v>
      </c>
      <c r="N35" s="2">
        <v>6.45</v>
      </c>
      <c r="P35" s="3"/>
      <c r="Q35" s="3"/>
      <c r="R35" s="3"/>
      <c r="S35" s="3"/>
      <c r="T35" s="3"/>
      <c r="U35" s="3"/>
      <c r="V35" s="3"/>
      <c r="W35" s="3"/>
      <c r="X35" s="3"/>
      <c r="Y35" s="3"/>
      <c r="Z35" s="3"/>
      <c r="AA35" s="3"/>
      <c r="AB35" s="3"/>
      <c r="AC35" s="3"/>
      <c r="AD35" s="3"/>
      <c r="AE35" s="3"/>
      <c r="AF35" s="3"/>
      <c r="AG35" s="3"/>
    </row>
    <row r="36">
      <c r="A36" s="2">
        <v>2014.0</v>
      </c>
      <c r="B36" s="2"/>
      <c r="D36" s="2" t="s">
        <v>276</v>
      </c>
      <c r="F36" s="2">
        <v>18.49</v>
      </c>
      <c r="J36" s="2">
        <v>213.89</v>
      </c>
      <c r="K36" s="2">
        <v>232.38</v>
      </c>
      <c r="L36" s="2">
        <v>209.24</v>
      </c>
      <c r="N36" s="2">
        <v>23.14</v>
      </c>
      <c r="P36" s="3"/>
      <c r="Q36" s="3"/>
      <c r="R36" s="3"/>
      <c r="S36" s="3"/>
      <c r="T36" s="3"/>
      <c r="U36" s="3"/>
      <c r="V36" s="3"/>
      <c r="W36" s="3"/>
      <c r="X36" s="3"/>
      <c r="Y36" s="3"/>
      <c r="Z36" s="3"/>
      <c r="AA36" s="3"/>
      <c r="AB36" s="3"/>
      <c r="AC36" s="3"/>
      <c r="AD36" s="3"/>
      <c r="AE36" s="3"/>
      <c r="AF36" s="3"/>
      <c r="AG36" s="3"/>
    </row>
    <row r="37">
      <c r="A37" s="2">
        <v>2014.0</v>
      </c>
      <c r="B37" s="2"/>
      <c r="D37" s="2" t="s">
        <v>280</v>
      </c>
      <c r="F37" s="2">
        <v>38.37</v>
      </c>
      <c r="J37" s="2">
        <v>162.74</v>
      </c>
      <c r="K37" s="2">
        <v>201.11</v>
      </c>
      <c r="L37" s="2">
        <v>171.37</v>
      </c>
      <c r="N37" s="2">
        <v>29.74</v>
      </c>
      <c r="P37" s="3"/>
      <c r="Q37" s="3"/>
      <c r="R37" s="3"/>
      <c r="S37" s="3"/>
      <c r="T37" s="3"/>
      <c r="U37" s="3"/>
      <c r="V37" s="3"/>
      <c r="W37" s="3"/>
      <c r="X37" s="3"/>
      <c r="Y37" s="3"/>
      <c r="Z37" s="3"/>
      <c r="AA37" s="3"/>
      <c r="AB37" s="3"/>
      <c r="AC37" s="3"/>
      <c r="AD37" s="3"/>
      <c r="AE37" s="3"/>
      <c r="AF37" s="3"/>
      <c r="AG37" s="3"/>
    </row>
    <row r="38">
      <c r="A38" s="2">
        <v>2014.0</v>
      </c>
      <c r="B38" s="2"/>
      <c r="D38" s="2" t="s">
        <v>282</v>
      </c>
      <c r="F38" s="2">
        <v>33.18</v>
      </c>
      <c r="J38" s="2">
        <v>194.52</v>
      </c>
      <c r="K38" s="2">
        <v>227.7</v>
      </c>
      <c r="L38" s="2">
        <v>202.28</v>
      </c>
      <c r="N38" s="2">
        <v>25.42</v>
      </c>
      <c r="P38" s="3"/>
      <c r="Q38" s="3"/>
      <c r="R38" s="3"/>
      <c r="S38" s="3"/>
      <c r="T38" s="3"/>
      <c r="U38" s="3"/>
      <c r="V38" s="3"/>
      <c r="W38" s="3"/>
      <c r="X38" s="3"/>
      <c r="Y38" s="3"/>
      <c r="Z38" s="3"/>
      <c r="AA38" s="3"/>
      <c r="AB38" s="3"/>
      <c r="AC38" s="3"/>
      <c r="AD38" s="3"/>
      <c r="AE38" s="3"/>
      <c r="AF38" s="3"/>
      <c r="AG38" s="3"/>
    </row>
    <row r="39">
      <c r="A39" s="2">
        <v>2014.0</v>
      </c>
      <c r="B39" s="2"/>
      <c r="D39" s="2" t="s">
        <v>286</v>
      </c>
      <c r="F39" s="2">
        <v>54.7</v>
      </c>
      <c r="J39" s="2">
        <v>4047.78</v>
      </c>
      <c r="K39" s="2">
        <v>459.48</v>
      </c>
      <c r="L39" s="2">
        <v>425.44</v>
      </c>
      <c r="N39" s="2">
        <v>34.04</v>
      </c>
      <c r="P39" s="3"/>
      <c r="Q39" s="3"/>
      <c r="R39" s="3"/>
      <c r="S39" s="3"/>
      <c r="T39" s="3"/>
      <c r="U39" s="3"/>
      <c r="V39" s="3"/>
      <c r="W39" s="3"/>
      <c r="X39" s="3"/>
      <c r="Y39" s="3"/>
      <c r="Z39" s="3"/>
      <c r="AA39" s="3"/>
      <c r="AB39" s="3"/>
      <c r="AC39" s="3"/>
      <c r="AD39" s="3"/>
      <c r="AE39" s="3"/>
      <c r="AF39" s="3"/>
      <c r="AG39" s="3"/>
    </row>
    <row r="40">
      <c r="A40" s="2">
        <v>2014.0</v>
      </c>
      <c r="B40" s="2"/>
      <c r="D40" s="2" t="s">
        <v>288</v>
      </c>
      <c r="F40" s="2">
        <v>54.7</v>
      </c>
      <c r="J40" s="2">
        <v>404.78</v>
      </c>
      <c r="K40" s="2">
        <v>459.48</v>
      </c>
      <c r="L40" s="2">
        <v>425.44</v>
      </c>
      <c r="N40" s="2">
        <v>34.04</v>
      </c>
      <c r="P40" s="3"/>
      <c r="Q40" s="3"/>
      <c r="R40" s="3"/>
      <c r="S40" s="3"/>
      <c r="T40" s="3"/>
      <c r="U40" s="3"/>
      <c r="V40" s="3"/>
      <c r="W40" s="3"/>
      <c r="X40" s="3"/>
      <c r="Y40" s="3"/>
      <c r="Z40" s="3"/>
      <c r="AA40" s="3"/>
      <c r="AB40" s="3"/>
      <c r="AC40" s="3"/>
      <c r="AD40" s="3"/>
      <c r="AE40" s="3"/>
      <c r="AF40" s="3"/>
      <c r="AG40" s="3"/>
    </row>
    <row r="41">
      <c r="A41" s="2">
        <v>2014.0</v>
      </c>
      <c r="B41" s="2"/>
      <c r="D41" s="2" t="s">
        <v>290</v>
      </c>
      <c r="F41" s="2">
        <v>37.85</v>
      </c>
      <c r="J41" s="2">
        <v>156.92</v>
      </c>
      <c r="K41" s="2">
        <v>194.77</v>
      </c>
      <c r="L41" s="2">
        <v>171.07</v>
      </c>
      <c r="N41" s="2">
        <v>23.7</v>
      </c>
      <c r="P41" s="3"/>
      <c r="Q41" s="3"/>
      <c r="R41" s="3"/>
      <c r="S41" s="3"/>
      <c r="T41" s="3"/>
      <c r="U41" s="3"/>
      <c r="V41" s="3"/>
      <c r="W41" s="3"/>
      <c r="X41" s="3"/>
      <c r="Y41" s="3"/>
      <c r="Z41" s="3"/>
      <c r="AA41" s="3"/>
      <c r="AB41" s="3"/>
      <c r="AC41" s="3"/>
      <c r="AD41" s="3"/>
      <c r="AE41" s="3"/>
      <c r="AF41" s="3"/>
      <c r="AG41" s="3"/>
    </row>
    <row r="42">
      <c r="A42" s="2">
        <v>2014.0</v>
      </c>
      <c r="B42" s="2"/>
      <c r="D42" s="2" t="s">
        <v>292</v>
      </c>
      <c r="F42" s="2">
        <v>27.37</v>
      </c>
      <c r="J42" s="2">
        <v>124.82</v>
      </c>
      <c r="K42" s="2">
        <v>152.19</v>
      </c>
      <c r="L42" s="2">
        <v>91.5</v>
      </c>
      <c r="N42" s="2">
        <v>60.69</v>
      </c>
      <c r="P42" s="3"/>
      <c r="Q42" s="3"/>
      <c r="R42" s="3"/>
      <c r="S42" s="3"/>
      <c r="T42" s="3"/>
      <c r="U42" s="3"/>
      <c r="V42" s="3"/>
      <c r="W42" s="3"/>
      <c r="X42" s="3"/>
      <c r="Y42" s="3"/>
      <c r="Z42" s="3"/>
      <c r="AA42" s="3"/>
      <c r="AB42" s="3"/>
      <c r="AC42" s="3"/>
      <c r="AD42" s="3"/>
      <c r="AE42" s="3"/>
      <c r="AF42" s="3"/>
      <c r="AG42" s="3"/>
    </row>
    <row r="43">
      <c r="A43" s="2">
        <v>2014.0</v>
      </c>
      <c r="B43" s="2"/>
      <c r="D43" s="2" t="s">
        <v>293</v>
      </c>
      <c r="F43" s="2">
        <v>23.82</v>
      </c>
      <c r="J43" s="2">
        <v>117.09</v>
      </c>
      <c r="K43" s="2">
        <v>140.91</v>
      </c>
      <c r="L43" s="2">
        <v>114.79</v>
      </c>
      <c r="N43" s="2">
        <v>26.12</v>
      </c>
      <c r="P43" s="3"/>
      <c r="Q43" s="3"/>
      <c r="R43" s="3"/>
      <c r="S43" s="3"/>
      <c r="T43" s="3"/>
      <c r="U43" s="3"/>
      <c r="V43" s="3"/>
      <c r="W43" s="3"/>
      <c r="X43" s="3"/>
      <c r="Y43" s="3"/>
      <c r="Z43" s="3"/>
      <c r="AA43" s="3"/>
      <c r="AB43" s="3"/>
      <c r="AC43" s="3"/>
      <c r="AD43" s="3"/>
      <c r="AE43" s="3"/>
      <c r="AF43" s="3"/>
      <c r="AG43" s="3"/>
    </row>
    <row r="44">
      <c r="A44" s="2">
        <v>2014.0</v>
      </c>
      <c r="B44" s="2"/>
      <c r="D44" s="2" t="s">
        <v>297</v>
      </c>
      <c r="F44" s="2">
        <v>9.46</v>
      </c>
      <c r="J44" s="2">
        <v>286.23</v>
      </c>
      <c r="K44" s="2">
        <v>295.69</v>
      </c>
      <c r="L44" s="2">
        <v>287.46</v>
      </c>
      <c r="N44" s="2">
        <v>8.23</v>
      </c>
      <c r="P44" s="3"/>
      <c r="Q44" s="3"/>
      <c r="R44" s="3"/>
      <c r="S44" s="3"/>
      <c r="T44" s="3"/>
      <c r="U44" s="3"/>
      <c r="V44" s="3"/>
      <c r="W44" s="3"/>
      <c r="X44" s="3"/>
      <c r="Y44" s="3"/>
      <c r="Z44" s="3"/>
      <c r="AA44" s="3"/>
      <c r="AB44" s="3"/>
      <c r="AC44" s="3"/>
      <c r="AD44" s="3"/>
      <c r="AE44" s="3"/>
      <c r="AF44" s="3"/>
      <c r="AG44" s="3"/>
    </row>
    <row r="45">
      <c r="A45" s="2">
        <v>2014.0</v>
      </c>
      <c r="B45" s="2"/>
      <c r="D45" s="2" t="s">
        <v>301</v>
      </c>
      <c r="F45" s="2">
        <v>13.73</v>
      </c>
      <c r="J45" s="2">
        <v>135.23</v>
      </c>
      <c r="K45" s="2">
        <v>152.13</v>
      </c>
      <c r="L45" s="2">
        <v>127.96</v>
      </c>
      <c r="N45" s="2">
        <v>24.17</v>
      </c>
      <c r="P45" s="3"/>
      <c r="Q45" s="3"/>
      <c r="R45" s="3"/>
      <c r="S45" s="3"/>
      <c r="T45" s="3"/>
      <c r="U45" s="3"/>
      <c r="V45" s="3"/>
      <c r="W45" s="3"/>
      <c r="X45" s="3"/>
      <c r="Y45" s="3"/>
      <c r="Z45" s="3"/>
      <c r="AA45" s="3"/>
      <c r="AB45" s="3"/>
      <c r="AC45" s="3"/>
      <c r="AD45" s="3"/>
      <c r="AE45" s="3"/>
      <c r="AF45" s="3"/>
      <c r="AG45" s="3"/>
    </row>
    <row r="46">
      <c r="A46" s="2">
        <v>2014.0</v>
      </c>
      <c r="B46" s="2"/>
      <c r="D46" s="2" t="s">
        <v>143</v>
      </c>
      <c r="F46" s="2">
        <v>16.49</v>
      </c>
      <c r="J46" s="2">
        <v>135.64</v>
      </c>
      <c r="K46" s="2">
        <v>152.13</v>
      </c>
      <c r="L46" s="2">
        <v>127.96</v>
      </c>
      <c r="N46" s="2">
        <v>24.17</v>
      </c>
      <c r="P46" s="3"/>
      <c r="Q46" s="3"/>
      <c r="R46" s="3"/>
      <c r="S46" s="3"/>
      <c r="T46" s="3"/>
      <c r="U46" s="3"/>
      <c r="V46" s="3"/>
      <c r="W46" s="3"/>
      <c r="X46" s="3"/>
      <c r="Y46" s="3"/>
      <c r="Z46" s="3"/>
      <c r="AA46" s="3"/>
      <c r="AB46" s="3"/>
      <c r="AC46" s="3"/>
      <c r="AD46" s="3"/>
      <c r="AE46" s="3"/>
      <c r="AF46" s="3"/>
      <c r="AG46" s="3"/>
    </row>
    <row r="47">
      <c r="A47" s="2">
        <v>2014.0</v>
      </c>
      <c r="B47" s="2"/>
      <c r="D47" s="2" t="s">
        <v>146</v>
      </c>
      <c r="F47" s="2">
        <v>37.93</v>
      </c>
      <c r="J47" s="2">
        <v>168.25</v>
      </c>
      <c r="K47" s="2">
        <v>206.18</v>
      </c>
      <c r="L47" s="2">
        <v>169.49</v>
      </c>
      <c r="N47" s="2">
        <v>36.69</v>
      </c>
      <c r="P47" s="3"/>
      <c r="Q47" s="3"/>
      <c r="R47" s="3"/>
      <c r="S47" s="3"/>
      <c r="T47" s="3"/>
      <c r="U47" s="3"/>
      <c r="V47" s="3"/>
      <c r="W47" s="3"/>
      <c r="X47" s="3"/>
      <c r="Y47" s="3"/>
      <c r="Z47" s="3"/>
      <c r="AA47" s="3"/>
      <c r="AB47" s="3"/>
      <c r="AC47" s="3"/>
      <c r="AD47" s="3"/>
      <c r="AE47" s="3"/>
      <c r="AF47" s="3"/>
      <c r="AG47" s="3"/>
    </row>
    <row r="48">
      <c r="A48" s="2">
        <v>2014.0</v>
      </c>
      <c r="B48" s="2"/>
      <c r="D48" s="2" t="s">
        <v>304</v>
      </c>
      <c r="F48" s="2">
        <v>28.67</v>
      </c>
      <c r="J48" s="2">
        <v>195.44</v>
      </c>
      <c r="K48" s="2">
        <v>224.11</v>
      </c>
      <c r="L48" s="2">
        <v>192.31</v>
      </c>
      <c r="N48" s="2">
        <v>31.8</v>
      </c>
      <c r="P48" s="3"/>
      <c r="Q48" s="3"/>
      <c r="R48" s="3"/>
      <c r="S48" s="3"/>
      <c r="T48" s="3"/>
      <c r="U48" s="3"/>
      <c r="V48" s="3"/>
      <c r="W48" s="3"/>
      <c r="X48" s="3"/>
      <c r="Y48" s="3"/>
      <c r="Z48" s="3"/>
      <c r="AA48" s="3"/>
      <c r="AB48" s="3"/>
      <c r="AC48" s="3"/>
      <c r="AD48" s="3"/>
      <c r="AE48" s="3"/>
      <c r="AF48" s="3"/>
      <c r="AG48" s="3"/>
    </row>
    <row r="49">
      <c r="A49" s="2">
        <v>2014.0</v>
      </c>
      <c r="B49" s="2"/>
      <c r="D49" s="2" t="s">
        <v>305</v>
      </c>
      <c r="F49" s="2">
        <v>18.16</v>
      </c>
      <c r="J49" s="2">
        <v>145.55</v>
      </c>
      <c r="K49" s="2">
        <v>163.71</v>
      </c>
      <c r="L49" s="2">
        <v>143.46</v>
      </c>
      <c r="N49" s="2">
        <v>20.25</v>
      </c>
      <c r="P49" s="3"/>
      <c r="Q49" s="3"/>
      <c r="R49" s="3"/>
      <c r="S49" s="3"/>
      <c r="T49" s="3"/>
      <c r="U49" s="3"/>
      <c r="V49" s="3"/>
      <c r="W49" s="3"/>
      <c r="X49" s="3"/>
      <c r="Y49" s="3"/>
      <c r="Z49" s="3"/>
      <c r="AA49" s="3"/>
      <c r="AB49" s="3"/>
      <c r="AC49" s="3"/>
      <c r="AD49" s="3"/>
      <c r="AE49" s="3"/>
      <c r="AF49" s="3"/>
      <c r="AG49" s="3"/>
    </row>
    <row r="50">
      <c r="A50" s="2">
        <v>2014.0</v>
      </c>
      <c r="B50" s="2"/>
      <c r="D50" s="2" t="s">
        <v>307</v>
      </c>
      <c r="F50" s="2">
        <v>27.6</v>
      </c>
      <c r="J50" s="2">
        <v>273.45</v>
      </c>
      <c r="K50" s="2">
        <v>301.05</v>
      </c>
      <c r="L50" s="2">
        <v>274.74</v>
      </c>
      <c r="N50" s="2">
        <v>26.31</v>
      </c>
      <c r="P50" s="3"/>
      <c r="Q50" s="3"/>
      <c r="R50" s="3"/>
      <c r="S50" s="3"/>
      <c r="T50" s="3"/>
      <c r="U50" s="3"/>
      <c r="V50" s="3"/>
      <c r="W50" s="3"/>
      <c r="X50" s="3"/>
      <c r="Y50" s="3"/>
      <c r="Z50" s="3"/>
      <c r="AA50" s="3"/>
      <c r="AB50" s="3"/>
      <c r="AC50" s="3"/>
      <c r="AD50" s="3"/>
      <c r="AE50" s="3"/>
      <c r="AF50" s="3"/>
      <c r="AG50" s="3"/>
    </row>
    <row r="51">
      <c r="A51" s="2">
        <v>2014.0</v>
      </c>
      <c r="B51" s="2"/>
      <c r="D51" s="2" t="s">
        <v>310</v>
      </c>
      <c r="F51" s="2">
        <v>29.51</v>
      </c>
      <c r="J51" s="2">
        <v>259.9</v>
      </c>
      <c r="K51" s="2">
        <v>289.41</v>
      </c>
      <c r="L51" s="2">
        <v>239.01</v>
      </c>
      <c r="N51" s="2">
        <v>50.4</v>
      </c>
      <c r="P51" s="3"/>
      <c r="Q51" s="3"/>
      <c r="R51" s="3"/>
      <c r="S51" s="3"/>
      <c r="T51" s="3"/>
      <c r="U51" s="3"/>
      <c r="V51" s="3"/>
      <c r="W51" s="3"/>
      <c r="X51" s="3"/>
      <c r="Y51" s="3"/>
      <c r="Z51" s="3"/>
      <c r="AA51" s="3"/>
      <c r="AB51" s="3"/>
      <c r="AC51" s="3"/>
      <c r="AD51" s="3"/>
      <c r="AE51" s="3"/>
      <c r="AF51" s="3"/>
      <c r="AG51" s="3"/>
    </row>
    <row r="52">
      <c r="A52" s="2">
        <v>2015.0</v>
      </c>
      <c r="B52" s="1" t="s">
        <v>314</v>
      </c>
      <c r="D52" s="2" t="s">
        <v>315</v>
      </c>
      <c r="F52" s="2">
        <v>13.83</v>
      </c>
      <c r="J52" s="2">
        <v>227.52</v>
      </c>
      <c r="K52" s="2">
        <v>241.35</v>
      </c>
      <c r="L52" s="2">
        <v>218.51</v>
      </c>
      <c r="N52" s="2">
        <v>22.84</v>
      </c>
      <c r="P52" s="3"/>
      <c r="Q52" s="3"/>
      <c r="R52" s="3"/>
      <c r="S52" s="3"/>
      <c r="T52" s="3"/>
      <c r="U52" s="3"/>
      <c r="V52" s="3"/>
      <c r="W52" s="3"/>
      <c r="X52" s="3"/>
      <c r="Y52" s="3"/>
      <c r="Z52" s="3"/>
      <c r="AA52" s="3"/>
      <c r="AB52" s="3"/>
      <c r="AC52" s="3"/>
      <c r="AD52" s="3"/>
      <c r="AE52" s="3"/>
      <c r="AF52" s="3"/>
      <c r="AG52" s="3"/>
    </row>
    <row r="53">
      <c r="A53" s="2">
        <v>2015.0</v>
      </c>
      <c r="B53" s="1" t="s">
        <v>314</v>
      </c>
      <c r="D53" s="2" t="s">
        <v>318</v>
      </c>
      <c r="F53" s="2">
        <v>16.27</v>
      </c>
      <c r="J53" s="2">
        <v>244.13</v>
      </c>
      <c r="K53" s="2">
        <v>260.4</v>
      </c>
      <c r="L53" s="2">
        <v>228.98</v>
      </c>
      <c r="N53" s="2">
        <v>31.42</v>
      </c>
      <c r="P53" s="3"/>
      <c r="Q53" s="3"/>
      <c r="R53" s="3"/>
      <c r="S53" s="3"/>
      <c r="T53" s="3"/>
      <c r="U53" s="3"/>
      <c r="V53" s="3"/>
      <c r="W53" s="3"/>
      <c r="X53" s="3"/>
      <c r="Y53" s="3"/>
      <c r="Z53" s="3"/>
      <c r="AA53" s="3"/>
      <c r="AB53" s="3"/>
      <c r="AC53" s="3"/>
      <c r="AD53" s="3"/>
      <c r="AE53" s="3"/>
      <c r="AF53" s="3"/>
      <c r="AG53" s="3"/>
    </row>
    <row r="54">
      <c r="A54" s="2">
        <v>2015.0</v>
      </c>
      <c r="B54" s="1" t="s">
        <v>314</v>
      </c>
      <c r="D54" s="2" t="s">
        <v>320</v>
      </c>
      <c r="F54" s="2">
        <v>12.59</v>
      </c>
      <c r="J54" s="2">
        <v>136.74</v>
      </c>
      <c r="K54" s="2">
        <v>149.33</v>
      </c>
      <c r="L54" s="2">
        <v>137.85</v>
      </c>
      <c r="N54" s="2">
        <v>11.48</v>
      </c>
      <c r="P54" s="3"/>
      <c r="Q54" s="3"/>
      <c r="R54" s="3"/>
      <c r="S54" s="3"/>
      <c r="T54" s="3"/>
      <c r="U54" s="3"/>
      <c r="V54" s="3"/>
      <c r="W54" s="3"/>
      <c r="X54" s="3"/>
      <c r="Y54" s="3"/>
      <c r="Z54" s="3"/>
      <c r="AA54" s="3"/>
      <c r="AB54" s="3"/>
      <c r="AC54" s="3"/>
      <c r="AD54" s="3"/>
      <c r="AE54" s="3"/>
      <c r="AF54" s="3"/>
      <c r="AG54" s="3"/>
    </row>
    <row r="55">
      <c r="A55" s="2">
        <v>2015.0</v>
      </c>
      <c r="B55" s="1" t="s">
        <v>314</v>
      </c>
      <c r="D55" s="2" t="s">
        <v>323</v>
      </c>
      <c r="F55" s="2">
        <v>8.88</v>
      </c>
      <c r="J55" s="2">
        <v>187.42</v>
      </c>
      <c r="K55" s="2">
        <v>196.3</v>
      </c>
      <c r="L55" s="2">
        <v>181.12</v>
      </c>
      <c r="N55" s="2">
        <v>15.18</v>
      </c>
      <c r="P55" s="3"/>
      <c r="Q55" s="3"/>
      <c r="R55" s="3"/>
      <c r="S55" s="3"/>
      <c r="T55" s="3"/>
      <c r="U55" s="3"/>
      <c r="V55" s="3"/>
      <c r="W55" s="3"/>
      <c r="X55" s="3"/>
      <c r="Y55" s="3"/>
      <c r="Z55" s="3"/>
      <c r="AA55" s="3"/>
      <c r="AB55" s="3"/>
      <c r="AC55" s="3"/>
      <c r="AD55" s="3"/>
      <c r="AE55" s="3"/>
      <c r="AF55" s="3"/>
      <c r="AG55" s="3"/>
    </row>
    <row r="56">
      <c r="A56" s="2">
        <v>2015.0</v>
      </c>
      <c r="B56" s="1" t="s">
        <v>314</v>
      </c>
      <c r="D56" s="2" t="s">
        <v>325</v>
      </c>
      <c r="F56" s="2">
        <v>7.82</v>
      </c>
      <c r="J56" s="2">
        <v>97.64</v>
      </c>
      <c r="K56" s="2">
        <v>105.46</v>
      </c>
      <c r="L56" s="2">
        <v>93.94</v>
      </c>
      <c r="N56" s="2">
        <v>11.52</v>
      </c>
      <c r="P56" s="3"/>
      <c r="Q56" s="3"/>
      <c r="R56" s="3"/>
      <c r="S56" s="3"/>
      <c r="T56" s="3"/>
      <c r="U56" s="3"/>
      <c r="V56" s="3"/>
      <c r="W56" s="3"/>
      <c r="X56" s="3"/>
      <c r="Y56" s="3"/>
      <c r="Z56" s="3"/>
      <c r="AA56" s="3"/>
      <c r="AB56" s="3"/>
      <c r="AC56" s="3"/>
      <c r="AD56" s="3"/>
      <c r="AE56" s="3"/>
      <c r="AF56" s="3"/>
      <c r="AG56" s="3"/>
    </row>
    <row r="57">
      <c r="A57" s="2">
        <v>2015.0</v>
      </c>
      <c r="B57" s="1" t="s">
        <v>314</v>
      </c>
      <c r="D57" s="2" t="s">
        <v>327</v>
      </c>
      <c r="F57" s="2">
        <v>9.11</v>
      </c>
      <c r="J57" s="2">
        <v>111.67</v>
      </c>
      <c r="K57" s="2">
        <v>120.78</v>
      </c>
      <c r="L57" s="2">
        <v>104.97</v>
      </c>
      <c r="N57" s="2">
        <v>15.81</v>
      </c>
      <c r="P57" s="3"/>
      <c r="Q57" s="3"/>
      <c r="R57" s="3"/>
      <c r="S57" s="3"/>
      <c r="T57" s="3"/>
      <c r="U57" s="3"/>
      <c r="V57" s="3"/>
      <c r="W57" s="3"/>
      <c r="X57" s="3"/>
      <c r="Y57" s="3"/>
      <c r="Z57" s="3"/>
      <c r="AA57" s="3"/>
      <c r="AB57" s="3"/>
      <c r="AC57" s="3"/>
      <c r="AD57" s="3"/>
      <c r="AE57" s="3"/>
      <c r="AF57" s="3"/>
      <c r="AG57" s="3"/>
    </row>
    <row r="58">
      <c r="A58" s="2">
        <v>2015.0</v>
      </c>
      <c r="B58" s="1" t="s">
        <v>314</v>
      </c>
      <c r="D58" s="2" t="s">
        <v>328</v>
      </c>
      <c r="F58" s="2">
        <v>13.06</v>
      </c>
      <c r="J58" s="2">
        <v>257.77</v>
      </c>
      <c r="K58" s="2">
        <v>270.83</v>
      </c>
      <c r="L58" s="2">
        <v>242.69</v>
      </c>
      <c r="N58" s="2">
        <v>28.14</v>
      </c>
      <c r="P58" s="3"/>
      <c r="Q58" s="3"/>
      <c r="R58" s="3"/>
      <c r="S58" s="3"/>
      <c r="T58" s="3"/>
      <c r="U58" s="3"/>
      <c r="V58" s="3"/>
      <c r="W58" s="3"/>
      <c r="X58" s="3"/>
      <c r="Y58" s="3"/>
      <c r="Z58" s="3"/>
      <c r="AA58" s="3"/>
      <c r="AB58" s="3"/>
      <c r="AC58" s="3"/>
      <c r="AD58" s="3"/>
      <c r="AE58" s="3"/>
      <c r="AF58" s="3"/>
      <c r="AG58" s="3"/>
    </row>
    <row r="59">
      <c r="A59" s="2">
        <v>2015.0</v>
      </c>
      <c r="B59" s="1" t="s">
        <v>314</v>
      </c>
      <c r="D59" s="2" t="s">
        <v>331</v>
      </c>
      <c r="F59" s="2">
        <v>10.5</v>
      </c>
      <c r="J59" s="2">
        <v>345.5</v>
      </c>
      <c r="K59" s="2">
        <v>356.0</v>
      </c>
      <c r="L59" s="2">
        <v>334.7</v>
      </c>
      <c r="N59" s="2">
        <v>21.3</v>
      </c>
      <c r="P59" s="3"/>
      <c r="Q59" s="3"/>
      <c r="R59" s="3"/>
      <c r="S59" s="3"/>
      <c r="T59" s="3"/>
      <c r="U59" s="3"/>
      <c r="V59" s="3"/>
      <c r="W59" s="3"/>
      <c r="X59" s="3"/>
      <c r="Y59" s="3"/>
      <c r="Z59" s="3"/>
      <c r="AA59" s="3"/>
      <c r="AB59" s="3"/>
      <c r="AC59" s="3"/>
      <c r="AD59" s="3"/>
      <c r="AE59" s="3"/>
      <c r="AF59" s="3"/>
      <c r="AG59" s="3"/>
    </row>
    <row r="60">
      <c r="A60" s="2">
        <v>2015.0</v>
      </c>
      <c r="B60" s="1" t="s">
        <v>314</v>
      </c>
      <c r="D60" s="2" t="s">
        <v>333</v>
      </c>
      <c r="F60" s="2">
        <v>14.96</v>
      </c>
      <c r="J60" s="2">
        <v>325.32</v>
      </c>
      <c r="K60" s="2">
        <v>340.28</v>
      </c>
      <c r="L60" s="2">
        <v>326.26</v>
      </c>
      <c r="N60" s="2">
        <v>14.02</v>
      </c>
      <c r="P60" s="3"/>
      <c r="Q60" s="3"/>
      <c r="R60" s="3"/>
      <c r="S60" s="3"/>
      <c r="T60" s="3"/>
      <c r="U60" s="3"/>
      <c r="V60" s="3"/>
      <c r="W60" s="3"/>
      <c r="X60" s="3"/>
      <c r="Y60" s="3"/>
      <c r="Z60" s="3"/>
      <c r="AA60" s="3"/>
      <c r="AB60" s="3"/>
      <c r="AC60" s="3"/>
      <c r="AD60" s="3"/>
      <c r="AE60" s="3"/>
      <c r="AF60" s="3"/>
      <c r="AG60" s="3"/>
    </row>
    <row r="61">
      <c r="A61" s="2">
        <v>2015.0</v>
      </c>
      <c r="B61" s="1" t="s">
        <v>314</v>
      </c>
      <c r="D61" s="2" t="s">
        <v>338</v>
      </c>
      <c r="F61" s="2">
        <v>6.95</v>
      </c>
      <c r="J61" s="2">
        <v>432.73</v>
      </c>
      <c r="K61" s="2">
        <v>439.68</v>
      </c>
      <c r="L61" s="2">
        <v>431.78</v>
      </c>
      <c r="N61" s="2">
        <v>7.9</v>
      </c>
      <c r="P61" s="3"/>
      <c r="Q61" s="3"/>
      <c r="R61" s="3"/>
      <c r="S61" s="3"/>
      <c r="T61" s="3"/>
      <c r="U61" s="3"/>
      <c r="V61" s="3"/>
      <c r="W61" s="3"/>
      <c r="X61" s="3"/>
      <c r="Y61" s="3"/>
      <c r="Z61" s="3"/>
      <c r="AA61" s="3"/>
      <c r="AB61" s="3"/>
      <c r="AC61" s="3"/>
      <c r="AD61" s="3"/>
      <c r="AE61" s="3"/>
      <c r="AF61" s="3"/>
      <c r="AG61" s="3"/>
    </row>
    <row r="62">
      <c r="A62" s="2">
        <v>2015.0</v>
      </c>
      <c r="B62" s="1" t="s">
        <v>314</v>
      </c>
      <c r="D62" s="2" t="s">
        <v>341</v>
      </c>
      <c r="F62" s="2">
        <v>0.98</v>
      </c>
      <c r="J62" s="2">
        <v>12.44</v>
      </c>
      <c r="K62" s="2">
        <v>13.42</v>
      </c>
      <c r="L62" s="2">
        <v>6.93</v>
      </c>
      <c r="N62" s="2">
        <v>6.49</v>
      </c>
      <c r="P62" s="3"/>
      <c r="Q62" s="3"/>
      <c r="R62" s="3"/>
      <c r="S62" s="3"/>
      <c r="T62" s="3"/>
      <c r="U62" s="3"/>
      <c r="V62" s="3"/>
      <c r="W62" s="3"/>
      <c r="X62" s="3"/>
      <c r="Y62" s="3"/>
      <c r="Z62" s="3"/>
      <c r="AA62" s="3"/>
      <c r="AB62" s="3"/>
      <c r="AC62" s="3"/>
      <c r="AD62" s="3"/>
      <c r="AE62" s="3"/>
      <c r="AF62" s="3"/>
      <c r="AG62" s="3"/>
    </row>
    <row r="63">
      <c r="A63" s="2">
        <v>2015.0</v>
      </c>
      <c r="B63" s="1" t="s">
        <v>314</v>
      </c>
      <c r="D63" s="2" t="s">
        <v>344</v>
      </c>
      <c r="F63" s="2">
        <v>51.83</v>
      </c>
      <c r="J63" s="2">
        <v>81.9</v>
      </c>
      <c r="K63" s="2">
        <v>133.73</v>
      </c>
      <c r="L63" s="2">
        <v>77.66</v>
      </c>
      <c r="N63" s="2">
        <v>56.07</v>
      </c>
      <c r="P63" s="3"/>
      <c r="Q63" s="3"/>
      <c r="R63" s="3"/>
      <c r="S63" s="3"/>
      <c r="T63" s="3"/>
      <c r="U63" s="3"/>
      <c r="V63" s="3"/>
      <c r="W63" s="3"/>
      <c r="X63" s="3"/>
      <c r="Y63" s="3"/>
      <c r="Z63" s="3"/>
      <c r="AA63" s="3"/>
      <c r="AB63" s="3"/>
      <c r="AC63" s="3"/>
      <c r="AD63" s="3"/>
      <c r="AE63" s="3"/>
      <c r="AF63" s="3"/>
      <c r="AG63" s="3"/>
    </row>
    <row r="64">
      <c r="A64" s="2">
        <v>2015.0</v>
      </c>
      <c r="B64" s="1" t="s">
        <v>314</v>
      </c>
      <c r="D64" s="2" t="s">
        <v>347</v>
      </c>
      <c r="F64" s="2">
        <v>12.56</v>
      </c>
      <c r="J64" s="2">
        <v>115.01</v>
      </c>
      <c r="K64" s="2">
        <v>127.57</v>
      </c>
      <c r="L64" s="2">
        <v>119.79</v>
      </c>
      <c r="N64" s="2">
        <v>7.78</v>
      </c>
      <c r="P64" s="3"/>
      <c r="Q64" s="3"/>
      <c r="R64" s="3"/>
      <c r="S64" s="3"/>
      <c r="T64" s="3"/>
      <c r="U64" s="3"/>
      <c r="V64" s="3"/>
      <c r="W64" s="3"/>
      <c r="X64" s="3"/>
      <c r="Y64" s="3"/>
      <c r="Z64" s="3"/>
      <c r="AA64" s="3"/>
      <c r="AB64" s="3"/>
      <c r="AC64" s="3"/>
      <c r="AD64" s="3"/>
      <c r="AE64" s="3"/>
      <c r="AF64" s="3"/>
      <c r="AG64" s="3"/>
    </row>
    <row r="65">
      <c r="A65" s="2">
        <v>2015.0</v>
      </c>
      <c r="B65" s="1" t="s">
        <v>314</v>
      </c>
      <c r="D65" s="2" t="s">
        <v>352</v>
      </c>
      <c r="F65" s="2">
        <v>9.26</v>
      </c>
      <c r="J65" s="2">
        <v>211.1</v>
      </c>
      <c r="K65" s="2">
        <v>220.36</v>
      </c>
      <c r="L65" s="2">
        <v>182.74</v>
      </c>
      <c r="N65" s="2">
        <v>37.62</v>
      </c>
      <c r="P65" s="3"/>
      <c r="Q65" s="3"/>
      <c r="R65" s="3"/>
      <c r="S65" s="3"/>
      <c r="T65" s="3"/>
      <c r="U65" s="3"/>
      <c r="V65" s="3"/>
      <c r="W65" s="3"/>
      <c r="X65" s="3"/>
      <c r="Y65" s="3"/>
      <c r="Z65" s="3"/>
      <c r="AA65" s="3"/>
      <c r="AB65" s="3"/>
      <c r="AC65" s="3"/>
      <c r="AD65" s="3"/>
      <c r="AE65" s="3"/>
      <c r="AF65" s="3"/>
      <c r="AG65" s="3"/>
    </row>
    <row r="66">
      <c r="A66" s="2">
        <v>2015.0</v>
      </c>
      <c r="B66" s="1" t="s">
        <v>314</v>
      </c>
      <c r="D66" s="2" t="s">
        <v>354</v>
      </c>
      <c r="F66" s="2">
        <v>4.58</v>
      </c>
      <c r="J66" s="2">
        <v>200.93</v>
      </c>
      <c r="K66" s="2">
        <v>205.51</v>
      </c>
      <c r="L66" s="2">
        <v>201.92</v>
      </c>
      <c r="N66" s="2">
        <v>3.59</v>
      </c>
      <c r="P66" s="3"/>
      <c r="Q66" s="3"/>
      <c r="R66" s="3"/>
      <c r="S66" s="3"/>
      <c r="T66" s="3"/>
      <c r="U66" s="3"/>
      <c r="V66" s="3"/>
      <c r="W66" s="3"/>
      <c r="X66" s="3"/>
      <c r="Y66" s="3"/>
      <c r="Z66" s="3"/>
      <c r="AA66" s="3"/>
      <c r="AB66" s="3"/>
      <c r="AC66" s="3"/>
      <c r="AD66" s="3"/>
      <c r="AE66" s="3"/>
      <c r="AF66" s="3"/>
      <c r="AG66" s="3"/>
    </row>
    <row r="67">
      <c r="A67" s="2">
        <v>2015.0</v>
      </c>
      <c r="B67" s="1" t="s">
        <v>314</v>
      </c>
      <c r="D67" s="2" t="s">
        <v>359</v>
      </c>
      <c r="F67" s="2">
        <v>2.27</v>
      </c>
      <c r="J67" s="2">
        <v>193.56</v>
      </c>
      <c r="K67" s="2">
        <v>195.83</v>
      </c>
      <c r="L67" s="2">
        <v>174.09</v>
      </c>
      <c r="N67" s="2">
        <v>21.74</v>
      </c>
      <c r="P67" s="3"/>
      <c r="Q67" s="3"/>
      <c r="R67" s="3"/>
      <c r="S67" s="3"/>
      <c r="T67" s="3"/>
      <c r="U67" s="3"/>
      <c r="V67" s="3"/>
      <c r="W67" s="3"/>
      <c r="X67" s="3"/>
      <c r="Y67" s="3"/>
      <c r="Z67" s="3"/>
      <c r="AA67" s="3"/>
      <c r="AB67" s="3"/>
      <c r="AC67" s="3"/>
      <c r="AD67" s="3"/>
      <c r="AE67" s="3"/>
      <c r="AF67" s="3"/>
      <c r="AG67" s="3"/>
    </row>
    <row r="68">
      <c r="A68" s="2">
        <v>2015.0</v>
      </c>
      <c r="B68" s="1" t="s">
        <v>314</v>
      </c>
      <c r="D68" s="2" t="s">
        <v>363</v>
      </c>
      <c r="F68" s="2">
        <v>10.06</v>
      </c>
      <c r="J68" s="2">
        <v>181.91</v>
      </c>
      <c r="K68" s="2">
        <v>191.97</v>
      </c>
      <c r="L68" s="2">
        <v>187.09</v>
      </c>
      <c r="N68" s="2">
        <v>4.88</v>
      </c>
      <c r="P68" s="3"/>
      <c r="Q68" s="3"/>
      <c r="R68" s="3"/>
      <c r="S68" s="3"/>
      <c r="T68" s="3"/>
      <c r="U68" s="3"/>
      <c r="V68" s="3"/>
      <c r="W68" s="3"/>
      <c r="X68" s="3"/>
      <c r="Y68" s="3"/>
      <c r="Z68" s="3"/>
      <c r="AA68" s="3"/>
      <c r="AB68" s="3"/>
      <c r="AC68" s="3"/>
      <c r="AD68" s="3"/>
      <c r="AE68" s="3"/>
      <c r="AF68" s="3"/>
      <c r="AG68" s="3"/>
    </row>
    <row r="69">
      <c r="A69" s="2">
        <v>2015.0</v>
      </c>
      <c r="B69" s="1" t="s">
        <v>314</v>
      </c>
      <c r="D69" s="2" t="s">
        <v>366</v>
      </c>
      <c r="F69" s="2">
        <v>16.41</v>
      </c>
      <c r="J69" s="2">
        <v>174.9</v>
      </c>
      <c r="K69" s="2">
        <v>191.31</v>
      </c>
      <c r="L69" s="2">
        <v>164.68</v>
      </c>
      <c r="N69" s="2">
        <v>26.63</v>
      </c>
      <c r="P69" s="3"/>
      <c r="Q69" s="3"/>
      <c r="R69" s="3"/>
      <c r="S69" s="3"/>
      <c r="T69" s="3"/>
      <c r="U69" s="3"/>
      <c r="V69" s="3"/>
      <c r="W69" s="3"/>
      <c r="X69" s="3"/>
      <c r="Y69" s="3"/>
      <c r="Z69" s="3"/>
      <c r="AA69" s="3"/>
      <c r="AB69" s="3"/>
      <c r="AC69" s="3"/>
      <c r="AD69" s="3"/>
      <c r="AE69" s="3"/>
      <c r="AF69" s="3"/>
      <c r="AG69" s="3"/>
    </row>
    <row r="70">
      <c r="A70" s="2">
        <v>2015.0</v>
      </c>
      <c r="B70" s="1" t="s">
        <v>314</v>
      </c>
      <c r="D70" s="2" t="s">
        <v>368</v>
      </c>
      <c r="F70" s="2">
        <v>9.43</v>
      </c>
      <c r="J70" s="2">
        <v>102.41</v>
      </c>
      <c r="K70" s="2">
        <v>111.84</v>
      </c>
      <c r="L70" s="2">
        <v>99.96</v>
      </c>
      <c r="N70" s="2">
        <v>11.88</v>
      </c>
      <c r="P70" s="3"/>
      <c r="Q70" s="3"/>
      <c r="R70" s="3"/>
      <c r="S70" s="3"/>
      <c r="T70" s="3"/>
      <c r="U70" s="3"/>
      <c r="V70" s="3"/>
      <c r="W70" s="3"/>
      <c r="X70" s="3"/>
      <c r="Y70" s="3"/>
      <c r="Z70" s="3"/>
      <c r="AA70" s="3"/>
      <c r="AB70" s="3"/>
      <c r="AC70" s="3"/>
      <c r="AD70" s="3"/>
      <c r="AE70" s="3"/>
      <c r="AF70" s="3"/>
      <c r="AG70" s="3"/>
    </row>
    <row r="71">
      <c r="A71" s="2">
        <v>2015.0</v>
      </c>
      <c r="B71" s="1" t="s">
        <v>314</v>
      </c>
      <c r="D71" s="2" t="s">
        <v>371</v>
      </c>
      <c r="F71" s="2">
        <v>10.37</v>
      </c>
      <c r="J71" s="2">
        <v>140.74</v>
      </c>
      <c r="K71" s="2">
        <v>151.11</v>
      </c>
      <c r="L71" s="2">
        <v>137.43</v>
      </c>
      <c r="N71" s="2">
        <v>13.68</v>
      </c>
      <c r="P71" s="3"/>
      <c r="Q71" s="3"/>
      <c r="R71" s="3"/>
      <c r="S71" s="3"/>
      <c r="T71" s="3"/>
      <c r="U71" s="3"/>
      <c r="V71" s="3"/>
      <c r="W71" s="3"/>
      <c r="X71" s="3"/>
      <c r="Y71" s="3"/>
      <c r="Z71" s="3"/>
      <c r="AA71" s="3"/>
      <c r="AB71" s="3"/>
      <c r="AC71" s="3"/>
      <c r="AD71" s="3"/>
      <c r="AE71" s="3"/>
      <c r="AF71" s="3"/>
      <c r="AG71" s="3"/>
    </row>
    <row r="72">
      <c r="A72" s="2">
        <v>2016.0</v>
      </c>
      <c r="D72" s="2" t="s">
        <v>373</v>
      </c>
      <c r="F72" s="2">
        <v>985836.6</v>
      </c>
      <c r="J72" s="2">
        <v>1316657.0</v>
      </c>
      <c r="K72" s="2">
        <v>30188.0</v>
      </c>
      <c r="L72" s="2">
        <v>2332681.6</v>
      </c>
      <c r="N72" s="2">
        <v>1180202.0</v>
      </c>
      <c r="P72" s="3"/>
      <c r="Q72" s="3"/>
      <c r="R72" s="3"/>
      <c r="S72" s="3"/>
      <c r="T72" s="3"/>
      <c r="U72" s="3"/>
      <c r="V72" s="3"/>
      <c r="W72" s="3"/>
      <c r="X72" s="3"/>
      <c r="Y72" s="3"/>
      <c r="Z72" s="3"/>
      <c r="AA72" s="3"/>
      <c r="AB72" s="3"/>
      <c r="AC72" s="3"/>
      <c r="AD72" s="3"/>
      <c r="AE72" s="3"/>
      <c r="AF72" s="3"/>
      <c r="AG72" s="3"/>
    </row>
    <row r="73">
      <c r="A73" s="2">
        <v>2016.0</v>
      </c>
      <c r="D73" s="2" t="s">
        <v>209</v>
      </c>
      <c r="F73" s="2">
        <v>895227.0</v>
      </c>
      <c r="J73" s="2">
        <v>1800420.0</v>
      </c>
      <c r="K73" s="2">
        <v>37826.0</v>
      </c>
      <c r="L73" s="2">
        <v>2733473.0</v>
      </c>
      <c r="N73" s="2">
        <v>2158922.0</v>
      </c>
      <c r="P73" s="3"/>
      <c r="Q73" s="3"/>
      <c r="R73" s="3"/>
      <c r="S73" s="3"/>
      <c r="T73" s="3"/>
      <c r="U73" s="3"/>
      <c r="V73" s="3"/>
      <c r="W73" s="3"/>
      <c r="X73" s="3"/>
      <c r="Y73" s="3"/>
      <c r="Z73" s="3"/>
      <c r="AA73" s="3"/>
      <c r="AB73" s="3"/>
      <c r="AC73" s="3"/>
      <c r="AD73" s="3"/>
      <c r="AE73" s="3"/>
      <c r="AF73" s="3"/>
      <c r="AG73" s="3"/>
    </row>
    <row r="74">
      <c r="A74" s="2">
        <v>2016.0</v>
      </c>
      <c r="D74" s="2" t="s">
        <v>375</v>
      </c>
      <c r="F74" s="2">
        <v>1726482.0</v>
      </c>
      <c r="J74" s="2">
        <v>8695692.0</v>
      </c>
      <c r="K74" s="2">
        <v>37499.0</v>
      </c>
      <c r="L74" s="2">
        <v>1.0459673E7</v>
      </c>
      <c r="N74" s="2">
        <v>9315913.0</v>
      </c>
      <c r="P74" s="3"/>
      <c r="Q74" s="3"/>
      <c r="R74" s="3"/>
      <c r="S74" s="3"/>
      <c r="T74" s="3"/>
      <c r="U74" s="3"/>
      <c r="V74" s="3"/>
      <c r="W74" s="3"/>
      <c r="X74" s="3"/>
      <c r="Y74" s="3"/>
      <c r="Z74" s="3"/>
      <c r="AA74" s="3"/>
      <c r="AB74" s="3"/>
      <c r="AC74" s="3"/>
      <c r="AD74" s="3"/>
      <c r="AE74" s="3"/>
      <c r="AF74" s="3"/>
      <c r="AG74" s="3"/>
    </row>
    <row r="75">
      <c r="A75" s="2">
        <v>2016.0</v>
      </c>
      <c r="D75" s="2" t="s">
        <v>376</v>
      </c>
      <c r="F75" s="2">
        <v>1957564.0</v>
      </c>
      <c r="J75" s="2">
        <v>1.2230722E7</v>
      </c>
      <c r="K75" s="2">
        <v>34572.0</v>
      </c>
      <c r="L75" s="2">
        <v>1.4222858E7</v>
      </c>
      <c r="N75" s="2">
        <v>1.3328703E7</v>
      </c>
      <c r="P75" s="3"/>
      <c r="Q75" s="3"/>
      <c r="R75" s="3"/>
      <c r="S75" s="3"/>
      <c r="T75" s="3"/>
      <c r="U75" s="3"/>
      <c r="V75" s="3"/>
      <c r="W75" s="3"/>
      <c r="X75" s="3"/>
      <c r="Y75" s="3"/>
      <c r="Z75" s="3"/>
      <c r="AA75" s="3"/>
      <c r="AB75" s="3"/>
      <c r="AC75" s="3"/>
      <c r="AD75" s="3"/>
      <c r="AE75" s="3"/>
      <c r="AF75" s="3"/>
      <c r="AG75" s="3"/>
    </row>
    <row r="76">
      <c r="A76" s="2">
        <v>2016.0</v>
      </c>
      <c r="D76" s="2" t="s">
        <v>378</v>
      </c>
      <c r="F76" s="2">
        <v>1957564.0</v>
      </c>
      <c r="J76" s="2">
        <v>1.2230722E7</v>
      </c>
      <c r="K76" s="2">
        <v>34572.0</v>
      </c>
      <c r="L76" s="2">
        <v>1.4222858E7</v>
      </c>
      <c r="N76" s="2">
        <v>1.3328703E7</v>
      </c>
      <c r="P76" s="3"/>
      <c r="Q76" s="3"/>
      <c r="R76" s="3"/>
      <c r="S76" s="3"/>
      <c r="T76" s="3"/>
      <c r="U76" s="3"/>
      <c r="V76" s="3"/>
      <c r="W76" s="3"/>
      <c r="X76" s="3"/>
      <c r="Y76" s="3"/>
      <c r="Z76" s="3"/>
      <c r="AA76" s="3"/>
      <c r="AB76" s="3"/>
      <c r="AC76" s="3"/>
      <c r="AD76" s="3"/>
      <c r="AE76" s="3"/>
      <c r="AF76" s="3"/>
      <c r="AG76" s="3"/>
    </row>
    <row r="77">
      <c r="A77" s="2">
        <v>2016.0</v>
      </c>
      <c r="D77" s="2" t="s">
        <v>379</v>
      </c>
      <c r="F77" s="2">
        <v>4978223.0</v>
      </c>
      <c r="J77" s="2">
        <v>1994077.0</v>
      </c>
      <c r="K77" s="2">
        <v>52289.0</v>
      </c>
      <c r="L77" s="2">
        <v>6991984.0</v>
      </c>
      <c r="N77" s="2">
        <v>5879492.0</v>
      </c>
      <c r="P77" s="3"/>
      <c r="Q77" s="3"/>
      <c r="R77" s="3"/>
      <c r="S77" s="3"/>
      <c r="T77" s="3"/>
      <c r="U77" s="3"/>
      <c r="V77" s="3"/>
      <c r="W77" s="3"/>
      <c r="X77" s="3"/>
      <c r="Y77" s="3"/>
      <c r="Z77" s="3"/>
      <c r="AA77" s="3"/>
      <c r="AB77" s="3"/>
      <c r="AC77" s="3"/>
      <c r="AD77" s="3"/>
      <c r="AE77" s="3"/>
      <c r="AF77" s="3"/>
      <c r="AG77" s="3"/>
    </row>
    <row r="78">
      <c r="A78" s="2">
        <v>2016.0</v>
      </c>
      <c r="D78" s="2" t="s">
        <v>381</v>
      </c>
      <c r="F78" s="2">
        <v>413963.0</v>
      </c>
      <c r="J78" s="2">
        <v>2143136.0</v>
      </c>
      <c r="K78" s="2">
        <v>21308.0</v>
      </c>
      <c r="L78" s="2">
        <v>1157850.0</v>
      </c>
      <c r="N78" s="2">
        <v>1541822.0</v>
      </c>
      <c r="P78" s="3"/>
      <c r="Q78" s="3"/>
      <c r="R78" s="3"/>
      <c r="S78" s="3"/>
      <c r="T78" s="3"/>
      <c r="U78" s="3"/>
      <c r="V78" s="3"/>
      <c r="W78" s="3"/>
      <c r="X78" s="3"/>
      <c r="Y78" s="3"/>
      <c r="Z78" s="3"/>
      <c r="AA78" s="3"/>
      <c r="AB78" s="3"/>
      <c r="AC78" s="3"/>
      <c r="AD78" s="3"/>
      <c r="AE78" s="3"/>
      <c r="AF78" s="3"/>
      <c r="AG78" s="3"/>
    </row>
    <row r="79">
      <c r="A79" s="2">
        <v>2016.0</v>
      </c>
      <c r="D79" s="2" t="s">
        <v>382</v>
      </c>
      <c r="F79" s="2">
        <v>922370.0</v>
      </c>
      <c r="J79" s="2">
        <v>1910642.0</v>
      </c>
      <c r="K79" s="2">
        <v>39105.0</v>
      </c>
      <c r="L79" s="2">
        <v>2872117.0</v>
      </c>
      <c r="N79" s="2">
        <v>1771818.0</v>
      </c>
      <c r="P79" s="3"/>
      <c r="Q79" s="3"/>
      <c r="R79" s="3"/>
      <c r="S79" s="3"/>
      <c r="T79" s="3"/>
      <c r="U79" s="3"/>
      <c r="V79" s="3"/>
      <c r="W79" s="3"/>
      <c r="X79" s="3"/>
      <c r="Y79" s="3"/>
      <c r="Z79" s="3"/>
      <c r="AA79" s="3"/>
      <c r="AB79" s="3"/>
      <c r="AC79" s="3"/>
      <c r="AD79" s="3"/>
      <c r="AE79" s="3"/>
      <c r="AF79" s="3"/>
      <c r="AG79" s="3"/>
    </row>
    <row r="80">
      <c r="A80" s="2">
        <v>2016.0</v>
      </c>
      <c r="D80" s="2" t="s">
        <v>383</v>
      </c>
      <c r="F80" s="2">
        <v>755248.0</v>
      </c>
      <c r="J80" s="2">
        <v>2108237.0</v>
      </c>
      <c r="K80" s="2">
        <v>20118.0</v>
      </c>
      <c r="L80" s="2">
        <v>2883603.0</v>
      </c>
      <c r="N80" s="2">
        <v>2751680.0</v>
      </c>
      <c r="P80" s="3"/>
      <c r="Q80" s="3"/>
      <c r="R80" s="3"/>
      <c r="S80" s="3"/>
      <c r="T80" s="3"/>
      <c r="U80" s="3"/>
      <c r="V80" s="3"/>
      <c r="W80" s="3"/>
      <c r="X80" s="3"/>
      <c r="Y80" s="3"/>
      <c r="Z80" s="3"/>
      <c r="AA80" s="3"/>
      <c r="AB80" s="3"/>
      <c r="AC80" s="3"/>
      <c r="AD80" s="3"/>
      <c r="AE80" s="3"/>
      <c r="AF80" s="3"/>
      <c r="AG80" s="3"/>
    </row>
    <row r="81">
      <c r="A81" s="2">
        <v>2016.0</v>
      </c>
      <c r="D81" s="2" t="s">
        <v>385</v>
      </c>
      <c r="F81" s="2">
        <v>838856.0</v>
      </c>
      <c r="J81" s="2">
        <v>1019078.0</v>
      </c>
      <c r="K81" s="2">
        <v>20340.0</v>
      </c>
      <c r="L81" s="2">
        <v>1878274.0</v>
      </c>
      <c r="N81" s="2">
        <v>645309.0</v>
      </c>
      <c r="P81" s="3"/>
      <c r="Q81" s="3"/>
      <c r="R81" s="3"/>
      <c r="S81" s="3"/>
      <c r="T81" s="3"/>
      <c r="U81" s="3"/>
      <c r="V81" s="3"/>
      <c r="W81" s="3"/>
      <c r="X81" s="3"/>
      <c r="Y81" s="3"/>
      <c r="Z81" s="3"/>
      <c r="AA81" s="3"/>
      <c r="AB81" s="3"/>
      <c r="AC81" s="3"/>
      <c r="AD81" s="3"/>
      <c r="AE81" s="3"/>
      <c r="AF81" s="3"/>
      <c r="AG81" s="3"/>
    </row>
    <row r="82">
      <c r="A82" s="2">
        <v>2016.0</v>
      </c>
      <c r="D82" s="2" t="s">
        <v>386</v>
      </c>
      <c r="F82" s="2">
        <v>1118854.0</v>
      </c>
      <c r="J82" s="2">
        <v>1554884.0</v>
      </c>
      <c r="K82" s="2">
        <v>31169.0</v>
      </c>
      <c r="L82" s="2">
        <v>2704907.0</v>
      </c>
      <c r="N82" s="2">
        <v>2180985.0</v>
      </c>
      <c r="P82" s="3"/>
      <c r="Q82" s="3"/>
      <c r="R82" s="3"/>
      <c r="S82" s="3"/>
      <c r="T82" s="3"/>
      <c r="U82" s="3"/>
      <c r="V82" s="3"/>
      <c r="W82" s="3"/>
      <c r="X82" s="3"/>
      <c r="Y82" s="3"/>
      <c r="Z82" s="3"/>
      <c r="AA82" s="3"/>
      <c r="AB82" s="3"/>
      <c r="AC82" s="3"/>
      <c r="AD82" s="3"/>
      <c r="AE82" s="3"/>
      <c r="AF82" s="3"/>
      <c r="AG82" s="3"/>
    </row>
    <row r="83">
      <c r="A83" s="2">
        <v>2016.0</v>
      </c>
      <c r="D83" s="2" t="s">
        <v>387</v>
      </c>
      <c r="F83" s="2">
        <v>427189.0</v>
      </c>
      <c r="J83" s="2">
        <v>1657235.0</v>
      </c>
      <c r="K83" s="2">
        <v>21688.0</v>
      </c>
      <c r="L83" s="2">
        <v>2106112.0</v>
      </c>
      <c r="N83" s="2">
        <v>932568.0</v>
      </c>
      <c r="P83" s="3"/>
      <c r="Q83" s="3"/>
      <c r="R83" s="3"/>
      <c r="S83" s="3"/>
      <c r="T83" s="3"/>
      <c r="U83" s="3"/>
      <c r="V83" s="3"/>
      <c r="W83" s="3"/>
      <c r="X83" s="3"/>
      <c r="Y83" s="3"/>
      <c r="Z83" s="3"/>
      <c r="AA83" s="3"/>
      <c r="AB83" s="3"/>
      <c r="AC83" s="3"/>
      <c r="AD83" s="3"/>
      <c r="AE83" s="3"/>
      <c r="AF83" s="3"/>
      <c r="AG83" s="3"/>
    </row>
    <row r="84">
      <c r="A84" s="2">
        <v>2016.0</v>
      </c>
      <c r="D84" s="2" t="s">
        <v>278</v>
      </c>
      <c r="F84" s="2">
        <v>624739.0</v>
      </c>
      <c r="J84" s="2">
        <v>1651467.0</v>
      </c>
      <c r="K84" s="2">
        <v>29974.0</v>
      </c>
      <c r="L84" s="2">
        <v>2034215.0</v>
      </c>
      <c r="N84" s="2">
        <v>1464976.0</v>
      </c>
      <c r="P84" s="3"/>
      <c r="Q84" s="3"/>
      <c r="R84" s="3"/>
      <c r="S84" s="3"/>
      <c r="T84" s="3"/>
      <c r="U84" s="3"/>
      <c r="V84" s="3"/>
      <c r="W84" s="3"/>
      <c r="X84" s="3"/>
      <c r="Y84" s="3"/>
      <c r="Z84" s="3"/>
      <c r="AA84" s="3"/>
      <c r="AB84" s="3"/>
      <c r="AC84" s="3"/>
      <c r="AD84" s="3"/>
      <c r="AE84" s="3"/>
      <c r="AF84" s="3"/>
      <c r="AG84" s="3"/>
    </row>
    <row r="85">
      <c r="A85" s="2">
        <v>2016.0</v>
      </c>
      <c r="D85" s="2" t="s">
        <v>389</v>
      </c>
      <c r="F85" s="2">
        <v>973140.0</v>
      </c>
      <c r="J85" s="2">
        <v>3.025533E7</v>
      </c>
      <c r="K85" s="2">
        <v>105325.0</v>
      </c>
      <c r="L85" s="2">
        <v>3.1333795E7</v>
      </c>
      <c r="N85" s="2">
        <v>2.9133627E7</v>
      </c>
      <c r="P85" s="3"/>
      <c r="Q85" s="3"/>
      <c r="R85" s="3"/>
      <c r="S85" s="3"/>
      <c r="T85" s="3"/>
      <c r="U85" s="3"/>
      <c r="V85" s="3"/>
      <c r="W85" s="3"/>
      <c r="X85" s="3"/>
      <c r="Y85" s="3"/>
      <c r="Z85" s="3"/>
      <c r="AA85" s="3"/>
      <c r="AB85" s="3"/>
      <c r="AC85" s="3"/>
      <c r="AD85" s="3"/>
      <c r="AE85" s="3"/>
      <c r="AF85" s="3"/>
      <c r="AG85" s="3"/>
    </row>
    <row r="86">
      <c r="A86" s="2">
        <v>2016.0</v>
      </c>
      <c r="B86" s="1" t="s">
        <v>391</v>
      </c>
      <c r="D86" s="1" t="s">
        <v>112</v>
      </c>
      <c r="E86" s="2" t="s">
        <v>114</v>
      </c>
      <c r="F86" s="4">
        <v>27604.0</v>
      </c>
      <c r="I86" s="4">
        <v>3684000.0</v>
      </c>
      <c r="J86" s="4">
        <v>14916.0</v>
      </c>
      <c r="K86" s="4">
        <v>3726520.0</v>
      </c>
      <c r="L86" s="4">
        <v>3684000.0</v>
      </c>
      <c r="N86" s="4">
        <v>42520.0</v>
      </c>
      <c r="P86" s="3"/>
      <c r="Q86" s="3"/>
      <c r="R86" s="3"/>
      <c r="S86" s="3"/>
      <c r="T86" s="3"/>
      <c r="U86" s="3"/>
      <c r="V86" s="3"/>
      <c r="W86" s="3"/>
      <c r="X86" s="3"/>
      <c r="Y86" s="3"/>
      <c r="Z86" s="3"/>
      <c r="AA86" s="3"/>
      <c r="AB86" s="3"/>
      <c r="AC86" s="3"/>
      <c r="AD86" s="3"/>
      <c r="AE86" s="3"/>
      <c r="AF86" s="3"/>
      <c r="AG86" s="3"/>
    </row>
    <row r="87">
      <c r="A87" s="2">
        <v>2016.0</v>
      </c>
      <c r="B87" s="1" t="s">
        <v>391</v>
      </c>
      <c r="D87" s="1" t="s">
        <v>112</v>
      </c>
      <c r="E87" s="2" t="s">
        <v>392</v>
      </c>
      <c r="F87" s="4">
        <v>2984456.0</v>
      </c>
      <c r="J87" s="4">
        <v>103841.0</v>
      </c>
      <c r="K87" s="4">
        <v>3088297.0</v>
      </c>
      <c r="L87" s="4">
        <v>644121.0</v>
      </c>
      <c r="N87" s="4">
        <v>2444176.0</v>
      </c>
      <c r="P87" s="3"/>
      <c r="Q87" s="3"/>
      <c r="R87" s="3"/>
      <c r="S87" s="3"/>
      <c r="T87" s="3"/>
      <c r="U87" s="3"/>
      <c r="V87" s="3"/>
      <c r="W87" s="3"/>
      <c r="X87" s="3"/>
      <c r="Y87" s="3"/>
      <c r="Z87" s="3"/>
      <c r="AA87" s="3"/>
      <c r="AB87" s="3"/>
      <c r="AC87" s="3"/>
      <c r="AD87" s="3"/>
      <c r="AE87" s="3"/>
      <c r="AF87" s="3"/>
      <c r="AG87" s="3"/>
    </row>
    <row r="88">
      <c r="A88" s="2">
        <v>2016.0</v>
      </c>
      <c r="B88" s="1" t="s">
        <v>391</v>
      </c>
      <c r="D88" s="1" t="s">
        <v>112</v>
      </c>
      <c r="E88" s="2" t="s">
        <v>395</v>
      </c>
      <c r="F88" s="4">
        <v>3414833.0</v>
      </c>
      <c r="I88" s="4">
        <v>2.1463E7</v>
      </c>
      <c r="J88" s="4">
        <v>84986.0</v>
      </c>
      <c r="K88" s="4">
        <v>2.4962819E7</v>
      </c>
      <c r="L88" s="4">
        <v>2.3711E7</v>
      </c>
      <c r="N88" s="4">
        <v>1251819.0</v>
      </c>
      <c r="P88" s="3"/>
      <c r="Q88" s="3"/>
      <c r="R88" s="3"/>
      <c r="S88" s="3"/>
      <c r="T88" s="3"/>
      <c r="U88" s="3"/>
      <c r="V88" s="3"/>
      <c r="W88" s="3"/>
      <c r="X88" s="3"/>
      <c r="Y88" s="3"/>
      <c r="Z88" s="3"/>
      <c r="AA88" s="3"/>
      <c r="AB88" s="3"/>
      <c r="AC88" s="3"/>
      <c r="AD88" s="3"/>
      <c r="AE88" s="3"/>
      <c r="AF88" s="3"/>
      <c r="AG88" s="3"/>
    </row>
    <row r="89">
      <c r="A89" s="2">
        <v>2016.0</v>
      </c>
      <c r="B89" s="1" t="s">
        <v>391</v>
      </c>
      <c r="D89" s="1" t="s">
        <v>112</v>
      </c>
      <c r="E89" s="2" t="s">
        <v>396</v>
      </c>
      <c r="I89" s="4">
        <v>1742116.0</v>
      </c>
      <c r="J89" s="4">
        <v>7255.0</v>
      </c>
      <c r="K89" s="4">
        <v>1749371.0</v>
      </c>
      <c r="L89" s="4"/>
      <c r="N89" s="4">
        <v>1749371.0</v>
      </c>
      <c r="P89" s="3"/>
      <c r="Q89" s="3"/>
      <c r="R89" s="3"/>
      <c r="S89" s="3"/>
      <c r="T89" s="3"/>
      <c r="U89" s="3"/>
      <c r="V89" s="3"/>
      <c r="W89" s="3"/>
      <c r="X89" s="3"/>
      <c r="Y89" s="3"/>
      <c r="Z89" s="3"/>
      <c r="AA89" s="3"/>
      <c r="AB89" s="3"/>
      <c r="AC89" s="3"/>
      <c r="AD89" s="3"/>
      <c r="AE89" s="3"/>
      <c r="AF89" s="3"/>
      <c r="AG89" s="3"/>
    </row>
    <row r="90">
      <c r="A90" s="2">
        <v>2016.0</v>
      </c>
      <c r="B90" s="1" t="s">
        <v>391</v>
      </c>
      <c r="D90" s="1" t="s">
        <v>112</v>
      </c>
      <c r="E90" s="2" t="s">
        <v>397</v>
      </c>
      <c r="F90" s="4">
        <v>731200.0</v>
      </c>
      <c r="J90" s="4">
        <v>24510.0</v>
      </c>
      <c r="K90" s="4">
        <v>755710.0</v>
      </c>
      <c r="L90" s="4">
        <v>175000.0</v>
      </c>
      <c r="N90" s="4">
        <v>580710.0</v>
      </c>
      <c r="P90" s="3"/>
      <c r="Q90" s="3"/>
      <c r="R90" s="3"/>
      <c r="S90" s="3"/>
      <c r="T90" s="3"/>
      <c r="U90" s="3"/>
      <c r="V90" s="3"/>
      <c r="W90" s="3"/>
      <c r="X90" s="3"/>
      <c r="Y90" s="3"/>
      <c r="Z90" s="3"/>
      <c r="AA90" s="3"/>
      <c r="AB90" s="3"/>
      <c r="AC90" s="3"/>
      <c r="AD90" s="3"/>
      <c r="AE90" s="3"/>
      <c r="AF90" s="3"/>
      <c r="AG90" s="3"/>
    </row>
    <row r="91">
      <c r="A91" s="2">
        <v>2016.0</v>
      </c>
      <c r="B91" s="1" t="s">
        <v>391</v>
      </c>
      <c r="D91" s="1" t="s">
        <v>112</v>
      </c>
      <c r="E91" s="2" t="s">
        <v>313</v>
      </c>
      <c r="F91" s="4">
        <v>8152243.0</v>
      </c>
      <c r="I91" s="4">
        <v>3.686002E7</v>
      </c>
      <c r="J91" s="4">
        <v>3088529.0</v>
      </c>
      <c r="K91" s="4">
        <v>4.8100792E7</v>
      </c>
      <c r="L91" s="4">
        <v>2.7118259E7</v>
      </c>
      <c r="N91" s="4">
        <v>2.0982533E7</v>
      </c>
      <c r="P91" s="3"/>
      <c r="Q91" s="3"/>
      <c r="R91" s="3"/>
      <c r="S91" s="3"/>
      <c r="T91" s="3"/>
      <c r="U91" s="3"/>
      <c r="V91" s="3"/>
      <c r="W91" s="3"/>
      <c r="X91" s="3"/>
      <c r="Y91" s="3"/>
      <c r="Z91" s="3"/>
      <c r="AA91" s="3"/>
      <c r="AB91" s="3"/>
      <c r="AC91" s="3"/>
      <c r="AD91" s="3"/>
      <c r="AE91" s="3"/>
      <c r="AF91" s="3"/>
      <c r="AG91" s="3"/>
    </row>
    <row r="92">
      <c r="A92" s="2">
        <v>2016.0</v>
      </c>
      <c r="B92" s="1" t="s">
        <v>391</v>
      </c>
      <c r="D92" s="1" t="s">
        <v>112</v>
      </c>
      <c r="E92" s="2" t="s">
        <v>399</v>
      </c>
      <c r="I92" s="4">
        <v>1.6869719E7</v>
      </c>
      <c r="J92" s="4"/>
      <c r="K92" s="4">
        <v>1.6869719E7</v>
      </c>
      <c r="L92" s="4">
        <v>1.6869719E7</v>
      </c>
      <c r="N92" s="4" t="s">
        <v>401</v>
      </c>
      <c r="P92" s="3"/>
      <c r="Q92" s="3"/>
      <c r="R92" s="3"/>
      <c r="S92" s="3"/>
      <c r="T92" s="3"/>
      <c r="U92" s="3"/>
      <c r="V92" s="3"/>
      <c r="W92" s="3"/>
      <c r="X92" s="3"/>
      <c r="Y92" s="3"/>
      <c r="Z92" s="3"/>
      <c r="AA92" s="3"/>
      <c r="AB92" s="3"/>
      <c r="AC92" s="3"/>
      <c r="AD92" s="3"/>
      <c r="AE92" s="3"/>
      <c r="AF92" s="3"/>
      <c r="AG92" s="3"/>
    </row>
    <row r="93">
      <c r="A93" s="2">
        <v>2016.0</v>
      </c>
      <c r="B93" s="1" t="s">
        <v>314</v>
      </c>
      <c r="D93" s="1" t="s">
        <v>112</v>
      </c>
      <c r="E93" s="2" t="s">
        <v>114</v>
      </c>
      <c r="F93" s="4">
        <v>42520.0</v>
      </c>
      <c r="J93" s="4">
        <v>1726.0</v>
      </c>
      <c r="K93" s="4">
        <v>44246.0</v>
      </c>
      <c r="N93" s="4">
        <v>44246.0</v>
      </c>
      <c r="P93" s="3"/>
      <c r="Q93" s="3"/>
      <c r="R93" s="3"/>
      <c r="S93" s="3"/>
      <c r="T93" s="3"/>
      <c r="U93" s="3"/>
      <c r="V93" s="3"/>
      <c r="W93" s="3"/>
      <c r="X93" s="3"/>
      <c r="Y93" s="3"/>
      <c r="Z93" s="3"/>
      <c r="AA93" s="3"/>
      <c r="AB93" s="3"/>
      <c r="AC93" s="3"/>
      <c r="AD93" s="3"/>
      <c r="AE93" s="3"/>
      <c r="AF93" s="3"/>
      <c r="AG93" s="3"/>
    </row>
    <row r="94">
      <c r="A94" s="2">
        <v>2016.0</v>
      </c>
      <c r="B94" s="1" t="s">
        <v>314</v>
      </c>
      <c r="D94" s="1" t="s">
        <v>112</v>
      </c>
      <c r="E94" s="2" t="s">
        <v>392</v>
      </c>
      <c r="F94" s="4">
        <v>2444176.0</v>
      </c>
      <c r="J94" s="4">
        <v>94151.0</v>
      </c>
      <c r="K94" s="4">
        <v>2538327.0</v>
      </c>
      <c r="L94" s="4">
        <v>368300.0</v>
      </c>
      <c r="N94" s="4">
        <v>2170027.0</v>
      </c>
      <c r="P94" s="3"/>
      <c r="Q94" s="3"/>
      <c r="R94" s="3"/>
      <c r="S94" s="3"/>
      <c r="T94" s="3"/>
      <c r="U94" s="3"/>
      <c r="V94" s="3"/>
      <c r="W94" s="3"/>
      <c r="X94" s="3"/>
      <c r="Y94" s="3"/>
      <c r="Z94" s="3"/>
      <c r="AA94" s="3"/>
      <c r="AB94" s="3"/>
      <c r="AC94" s="3"/>
      <c r="AD94" s="3"/>
      <c r="AE94" s="3"/>
      <c r="AF94" s="3"/>
      <c r="AG94" s="3"/>
    </row>
    <row r="95">
      <c r="A95" s="2">
        <v>2016.0</v>
      </c>
      <c r="B95" s="1" t="s">
        <v>314</v>
      </c>
      <c r="D95" s="1" t="s">
        <v>112</v>
      </c>
      <c r="E95" s="2" t="s">
        <v>395</v>
      </c>
      <c r="F95" s="4">
        <v>1251819.0</v>
      </c>
      <c r="J95" s="4">
        <v>7519.0</v>
      </c>
      <c r="K95" s="4">
        <v>1259338.0</v>
      </c>
      <c r="L95" s="4">
        <v>1251000.0</v>
      </c>
      <c r="N95" s="4">
        <v>8338.0</v>
      </c>
      <c r="P95" s="3"/>
      <c r="Q95" s="3"/>
      <c r="R95" s="3"/>
      <c r="S95" s="3"/>
      <c r="T95" s="3"/>
      <c r="U95" s="3"/>
      <c r="V95" s="3"/>
      <c r="W95" s="3"/>
      <c r="X95" s="3"/>
      <c r="Y95" s="3"/>
      <c r="Z95" s="3"/>
      <c r="AA95" s="3"/>
      <c r="AB95" s="3"/>
      <c r="AC95" s="3"/>
      <c r="AD95" s="3"/>
      <c r="AE95" s="3"/>
      <c r="AF95" s="3"/>
      <c r="AG95" s="3"/>
    </row>
    <row r="96">
      <c r="A96" s="2">
        <v>2016.0</v>
      </c>
      <c r="B96" s="1" t="s">
        <v>314</v>
      </c>
      <c r="D96" s="1" t="s">
        <v>112</v>
      </c>
      <c r="E96" s="2" t="s">
        <v>396</v>
      </c>
      <c r="F96" s="4">
        <v>1749371.0</v>
      </c>
      <c r="I96" s="4">
        <v>4859000.0</v>
      </c>
      <c r="J96" s="4">
        <v>185921.0</v>
      </c>
      <c r="K96" s="4">
        <v>6794292.0</v>
      </c>
      <c r="L96" s="4">
        <v>4105466.0</v>
      </c>
      <c r="N96" s="4">
        <v>2688826.0</v>
      </c>
      <c r="P96" s="3"/>
      <c r="Q96" s="3"/>
      <c r="R96" s="3"/>
      <c r="S96" s="3"/>
      <c r="T96" s="3"/>
      <c r="U96" s="3"/>
      <c r="V96" s="3"/>
      <c r="W96" s="3"/>
      <c r="X96" s="3"/>
      <c r="Y96" s="3"/>
      <c r="Z96" s="3"/>
      <c r="AA96" s="3"/>
      <c r="AB96" s="3"/>
      <c r="AC96" s="3"/>
      <c r="AD96" s="3"/>
      <c r="AE96" s="3"/>
      <c r="AF96" s="3"/>
      <c r="AG96" s="3"/>
    </row>
    <row r="97">
      <c r="A97" s="2">
        <v>2016.0</v>
      </c>
      <c r="B97" s="1" t="s">
        <v>314</v>
      </c>
      <c r="D97" s="1" t="s">
        <v>112</v>
      </c>
      <c r="E97" s="2" t="s">
        <v>397</v>
      </c>
      <c r="F97" s="4">
        <v>580710.0</v>
      </c>
      <c r="I97" s="4">
        <v>800000.0</v>
      </c>
      <c r="J97" s="4">
        <v>35245.0</v>
      </c>
      <c r="K97" s="4">
        <v>1415955.0</v>
      </c>
      <c r="L97" s="4">
        <v>282278.0</v>
      </c>
      <c r="N97" s="4">
        <v>1133677.0</v>
      </c>
      <c r="P97" s="3"/>
      <c r="Q97" s="3"/>
      <c r="R97" s="3"/>
      <c r="S97" s="3"/>
      <c r="T97" s="3"/>
      <c r="U97" s="3"/>
      <c r="V97" s="3"/>
      <c r="W97" s="3"/>
      <c r="X97" s="3"/>
      <c r="Y97" s="3"/>
      <c r="Z97" s="3"/>
      <c r="AA97" s="3"/>
      <c r="AB97" s="3"/>
      <c r="AC97" s="3"/>
      <c r="AD97" s="3"/>
      <c r="AE97" s="3"/>
      <c r="AF97" s="3"/>
      <c r="AG97" s="3"/>
    </row>
    <row r="98">
      <c r="A98" s="2">
        <v>2016.0</v>
      </c>
      <c r="B98" s="1" t="s">
        <v>314</v>
      </c>
      <c r="D98" s="1" t="s">
        <v>112</v>
      </c>
      <c r="E98" s="2" t="s">
        <v>173</v>
      </c>
      <c r="I98" s="4">
        <v>184205.0</v>
      </c>
      <c r="J98" s="4">
        <v>9536.0</v>
      </c>
      <c r="K98" s="4">
        <v>193741.0</v>
      </c>
      <c r="N98" s="4">
        <v>193741.0</v>
      </c>
      <c r="P98" s="3"/>
      <c r="Q98" s="3"/>
      <c r="R98" s="3"/>
      <c r="S98" s="3"/>
      <c r="T98" s="3"/>
      <c r="U98" s="3"/>
      <c r="V98" s="3"/>
      <c r="W98" s="3"/>
      <c r="X98" s="3"/>
      <c r="Y98" s="3"/>
      <c r="Z98" s="3"/>
      <c r="AA98" s="3"/>
      <c r="AB98" s="3"/>
      <c r="AC98" s="3"/>
      <c r="AD98" s="3"/>
      <c r="AE98" s="3"/>
      <c r="AF98" s="3"/>
      <c r="AG98" s="3"/>
    </row>
    <row r="99">
      <c r="A99" s="2">
        <v>2016.0</v>
      </c>
      <c r="B99" s="1" t="s">
        <v>314</v>
      </c>
      <c r="D99" s="1" t="s">
        <v>112</v>
      </c>
      <c r="E99" s="2" t="s">
        <v>313</v>
      </c>
      <c r="F99" s="4">
        <v>132030.0</v>
      </c>
      <c r="I99" s="4">
        <v>3.0157185E7</v>
      </c>
      <c r="J99" s="4">
        <v>3497819.0</v>
      </c>
      <c r="K99" s="4">
        <v>3.3787034E7</v>
      </c>
      <c r="L99" s="4">
        <v>2.991885E7</v>
      </c>
      <c r="N99" s="4">
        <v>3868184.0</v>
      </c>
      <c r="P99" s="3"/>
      <c r="Q99" s="3"/>
      <c r="R99" s="3"/>
      <c r="S99" s="3"/>
      <c r="T99" s="3"/>
      <c r="U99" s="3"/>
      <c r="V99" s="3"/>
      <c r="W99" s="3"/>
      <c r="X99" s="3"/>
      <c r="Y99" s="3"/>
      <c r="Z99" s="3"/>
      <c r="AA99" s="3"/>
      <c r="AB99" s="3"/>
      <c r="AC99" s="3"/>
      <c r="AD99" s="3"/>
      <c r="AE99" s="3"/>
      <c r="AF99" s="3"/>
      <c r="AG99" s="3"/>
    </row>
    <row r="100">
      <c r="A100" s="2">
        <v>2016.0</v>
      </c>
      <c r="B100" s="1" t="s">
        <v>314</v>
      </c>
      <c r="D100" s="1" t="s">
        <v>112</v>
      </c>
      <c r="E100" s="2" t="s">
        <v>399</v>
      </c>
      <c r="I100" s="4">
        <v>1.9608143E7</v>
      </c>
      <c r="K100" s="4">
        <v>1.9608143E7</v>
      </c>
      <c r="L100" s="4">
        <v>1.9608143E7</v>
      </c>
      <c r="P100" s="3"/>
      <c r="Q100" s="3"/>
      <c r="R100" s="3"/>
      <c r="S100" s="3"/>
      <c r="T100" s="3"/>
      <c r="U100" s="3"/>
      <c r="V100" s="3"/>
      <c r="W100" s="3"/>
      <c r="X100" s="3"/>
      <c r="Y100" s="3"/>
      <c r="Z100" s="3"/>
      <c r="AA100" s="3"/>
      <c r="AB100" s="3"/>
      <c r="AC100" s="3"/>
      <c r="AD100" s="3"/>
      <c r="AE100" s="3"/>
      <c r="AF100" s="3"/>
      <c r="AG100" s="3"/>
    </row>
    <row r="101">
      <c r="A101" s="2">
        <v>2016.0</v>
      </c>
      <c r="B101" s="6">
        <v>40878.0</v>
      </c>
      <c r="C101" s="6"/>
      <c r="D101" s="2" t="s">
        <v>409</v>
      </c>
      <c r="F101" s="2">
        <v>12.95</v>
      </c>
      <c r="H101" s="2">
        <v>37.31</v>
      </c>
      <c r="I101" s="2">
        <v>9.65</v>
      </c>
      <c r="J101" s="2">
        <v>0.89</v>
      </c>
      <c r="K101" s="2">
        <v>60.8</v>
      </c>
      <c r="L101" s="2">
        <v>28.3</v>
      </c>
      <c r="N101" s="2">
        <v>32.5</v>
      </c>
      <c r="P101" s="3"/>
      <c r="Q101" s="3"/>
      <c r="R101" s="3"/>
      <c r="S101" s="3"/>
      <c r="T101" s="3"/>
      <c r="U101" s="3"/>
      <c r="V101" s="3"/>
      <c r="W101" s="3"/>
      <c r="X101" s="3"/>
      <c r="Y101" s="3"/>
      <c r="Z101" s="3"/>
      <c r="AA101" s="3"/>
      <c r="AB101" s="3"/>
      <c r="AC101" s="3"/>
      <c r="AD101" s="3"/>
      <c r="AE101" s="3"/>
      <c r="AF101" s="3"/>
      <c r="AG101" s="3"/>
    </row>
    <row r="102">
      <c r="A102" s="2">
        <v>2016.0</v>
      </c>
      <c r="B102" s="6">
        <v>40879.0</v>
      </c>
      <c r="D102" s="2" t="s">
        <v>413</v>
      </c>
      <c r="F102" s="2">
        <v>41.52</v>
      </c>
      <c r="H102" s="2">
        <v>35.41</v>
      </c>
      <c r="I102" s="2">
        <v>47.89</v>
      </c>
      <c r="J102" s="2">
        <v>1.87</v>
      </c>
      <c r="K102" s="2">
        <v>125.59</v>
      </c>
      <c r="L102" s="2">
        <v>44.26</v>
      </c>
      <c r="N102" s="2">
        <v>81.33</v>
      </c>
      <c r="P102" s="3"/>
      <c r="Q102" s="3"/>
      <c r="R102" s="3"/>
      <c r="S102" s="3"/>
      <c r="T102" s="3"/>
      <c r="U102" s="3"/>
      <c r="V102" s="3"/>
      <c r="W102" s="3"/>
      <c r="X102" s="3"/>
      <c r="Y102" s="3"/>
      <c r="Z102" s="3"/>
      <c r="AA102" s="3"/>
      <c r="AB102" s="3"/>
      <c r="AC102" s="3"/>
      <c r="AD102" s="3"/>
      <c r="AE102" s="3"/>
      <c r="AF102" s="3"/>
      <c r="AG102" s="3"/>
    </row>
    <row r="103">
      <c r="A103" s="2">
        <v>2016.0</v>
      </c>
      <c r="B103" s="6">
        <v>40880.0</v>
      </c>
      <c r="D103" s="2" t="s">
        <v>414</v>
      </c>
      <c r="F103" s="2">
        <v>47.82</v>
      </c>
      <c r="H103" s="2">
        <v>96.0</v>
      </c>
      <c r="I103" s="2">
        <v>0.0</v>
      </c>
      <c r="J103" s="2">
        <v>0.0</v>
      </c>
      <c r="K103" s="2">
        <v>143.82</v>
      </c>
      <c r="L103" s="2">
        <v>88.32</v>
      </c>
      <c r="N103" s="2">
        <v>55.5</v>
      </c>
      <c r="P103" s="3"/>
      <c r="Q103" s="3"/>
      <c r="R103" s="3"/>
      <c r="S103" s="3"/>
      <c r="T103" s="3"/>
      <c r="U103" s="3"/>
      <c r="V103" s="3"/>
      <c r="W103" s="3"/>
      <c r="X103" s="3"/>
      <c r="Y103" s="3"/>
      <c r="Z103" s="3"/>
      <c r="AA103" s="3"/>
      <c r="AB103" s="3"/>
      <c r="AC103" s="3"/>
      <c r="AD103" s="3"/>
      <c r="AE103" s="3"/>
      <c r="AF103" s="3"/>
      <c r="AG103" s="3"/>
    </row>
    <row r="104">
      <c r="A104" s="2">
        <v>2016.0</v>
      </c>
      <c r="B104" s="2" t="s">
        <v>391</v>
      </c>
      <c r="D104" s="2" t="s">
        <v>409</v>
      </c>
      <c r="F104" s="2">
        <v>32.5</v>
      </c>
      <c r="H104" s="2">
        <v>51.57</v>
      </c>
      <c r="I104" s="2">
        <v>18.02</v>
      </c>
      <c r="J104" s="2">
        <v>1.97</v>
      </c>
      <c r="K104" s="2">
        <v>104.06</v>
      </c>
      <c r="L104" s="2">
        <v>44.19</v>
      </c>
      <c r="N104" s="2">
        <v>59.87</v>
      </c>
      <c r="P104" s="3"/>
      <c r="Q104" s="3"/>
      <c r="R104" s="3"/>
      <c r="S104" s="3"/>
      <c r="T104" s="3"/>
      <c r="U104" s="3"/>
      <c r="V104" s="3"/>
      <c r="W104" s="3"/>
      <c r="X104" s="3"/>
      <c r="Y104" s="3"/>
      <c r="Z104" s="3"/>
      <c r="AA104" s="3"/>
      <c r="AB104" s="3"/>
      <c r="AC104" s="3"/>
      <c r="AD104" s="3"/>
      <c r="AE104" s="3"/>
      <c r="AF104" s="3"/>
      <c r="AG104" s="3"/>
    </row>
    <row r="105">
      <c r="A105" s="2">
        <v>2016.0</v>
      </c>
      <c r="B105" s="2" t="s">
        <v>416</v>
      </c>
      <c r="D105" s="2" t="s">
        <v>413</v>
      </c>
      <c r="F105" s="2">
        <v>81.33</v>
      </c>
      <c r="H105" s="2">
        <v>59.58</v>
      </c>
      <c r="I105" s="2">
        <v>64.23</v>
      </c>
      <c r="J105" s="2">
        <v>4.53</v>
      </c>
      <c r="K105" s="2">
        <v>208.11</v>
      </c>
      <c r="L105" s="2">
        <v>72.64</v>
      </c>
      <c r="N105" s="2">
        <v>135.47</v>
      </c>
      <c r="P105" s="3"/>
      <c r="Q105" s="3"/>
      <c r="R105" s="3"/>
      <c r="S105" s="3"/>
      <c r="T105" s="3"/>
      <c r="U105" s="3"/>
      <c r="V105" s="3"/>
      <c r="W105" s="3"/>
      <c r="X105" s="3"/>
      <c r="Y105" s="3"/>
      <c r="Z105" s="3"/>
      <c r="AA105" s="3"/>
      <c r="AB105" s="3"/>
      <c r="AC105" s="3"/>
      <c r="AD105" s="3"/>
      <c r="AE105" s="3"/>
      <c r="AF105" s="3"/>
      <c r="AG105" s="3"/>
    </row>
    <row r="106">
      <c r="A106" s="2">
        <v>2016.0</v>
      </c>
      <c r="B106" s="2" t="s">
        <v>419</v>
      </c>
      <c r="D106" s="2" t="s">
        <v>414</v>
      </c>
      <c r="F106" s="2">
        <v>26.37</v>
      </c>
      <c r="H106" s="2">
        <v>134.58</v>
      </c>
      <c r="I106" s="2">
        <v>0.0</v>
      </c>
      <c r="J106" s="2">
        <v>0.98</v>
      </c>
      <c r="K106" s="2">
        <v>161.92</v>
      </c>
      <c r="L106" s="2">
        <v>111.15</v>
      </c>
      <c r="N106" s="2">
        <v>50.78</v>
      </c>
      <c r="P106" s="3"/>
      <c r="Q106" s="3"/>
      <c r="R106" s="3"/>
      <c r="S106" s="3"/>
      <c r="T106" s="3"/>
      <c r="U106" s="3"/>
      <c r="V106" s="3"/>
      <c r="W106" s="3"/>
      <c r="X106" s="3"/>
      <c r="Y106" s="3"/>
      <c r="Z106" s="3"/>
      <c r="AA106" s="3"/>
      <c r="AB106" s="3"/>
      <c r="AC106" s="3"/>
      <c r="AD106" s="3"/>
      <c r="AE106" s="3"/>
      <c r="AF106" s="3"/>
      <c r="AG106" s="3"/>
    </row>
    <row r="107">
      <c r="A107" s="2">
        <v>2016.0</v>
      </c>
      <c r="B107" s="1" t="s">
        <v>314</v>
      </c>
      <c r="D107" s="2" t="s">
        <v>421</v>
      </c>
      <c r="F107" s="2">
        <v>3035144.0</v>
      </c>
      <c r="H107" s="2">
        <v>3491952.0</v>
      </c>
      <c r="K107" s="2">
        <v>6527096.0</v>
      </c>
      <c r="L107" s="2">
        <v>6243323.0</v>
      </c>
      <c r="N107" s="2">
        <v>283773.0</v>
      </c>
      <c r="P107" s="3"/>
      <c r="Q107" s="3"/>
      <c r="R107" s="3"/>
      <c r="S107" s="3"/>
      <c r="T107" s="3"/>
      <c r="U107" s="3"/>
      <c r="V107" s="3"/>
      <c r="W107" s="3"/>
      <c r="X107" s="3"/>
      <c r="Y107" s="3"/>
      <c r="Z107" s="3"/>
      <c r="AA107" s="3"/>
      <c r="AB107" s="3"/>
      <c r="AC107" s="3"/>
      <c r="AD107" s="3"/>
      <c r="AE107" s="3"/>
      <c r="AF107" s="3"/>
      <c r="AG107" s="3"/>
    </row>
    <row r="108">
      <c r="A108" s="2">
        <v>2016.0</v>
      </c>
      <c r="B108" s="1" t="s">
        <v>314</v>
      </c>
      <c r="D108" s="2" t="s">
        <v>423</v>
      </c>
      <c r="F108" s="2">
        <v>3035144.0</v>
      </c>
      <c r="H108" s="2">
        <v>3491952.0</v>
      </c>
      <c r="K108" s="2">
        <v>6527096.0</v>
      </c>
      <c r="L108" s="2">
        <v>6243323.0</v>
      </c>
      <c r="N108" s="2">
        <v>283773.0</v>
      </c>
      <c r="P108" s="3"/>
      <c r="Q108" s="3"/>
      <c r="R108" s="3"/>
      <c r="S108" s="3"/>
      <c r="T108" s="3"/>
      <c r="U108" s="3"/>
      <c r="V108" s="3"/>
      <c r="W108" s="3"/>
      <c r="X108" s="3"/>
      <c r="Y108" s="3"/>
      <c r="Z108" s="3"/>
      <c r="AA108" s="3"/>
      <c r="AB108" s="3"/>
      <c r="AC108" s="3"/>
      <c r="AD108" s="3"/>
      <c r="AE108" s="3"/>
      <c r="AF108" s="3"/>
      <c r="AG108" s="3"/>
    </row>
    <row r="109">
      <c r="A109" s="2">
        <v>2016.0</v>
      </c>
      <c r="B109" s="1" t="s">
        <v>314</v>
      </c>
      <c r="D109" s="2" t="s">
        <v>409</v>
      </c>
      <c r="F109" s="2">
        <v>5986510.0</v>
      </c>
      <c r="H109" s="2">
        <v>2825040.0</v>
      </c>
      <c r="I109" s="2">
        <v>2848186.0</v>
      </c>
      <c r="J109" s="2">
        <v>172592.0</v>
      </c>
      <c r="K109" s="2">
        <v>1.1832328E7</v>
      </c>
      <c r="L109" s="2">
        <v>9393855.0</v>
      </c>
      <c r="N109" s="2">
        <v>2438473.0</v>
      </c>
      <c r="P109" s="3"/>
      <c r="Q109" s="3"/>
      <c r="R109" s="3"/>
      <c r="S109" s="3"/>
      <c r="T109" s="3"/>
      <c r="U109" s="3"/>
      <c r="V109" s="3"/>
      <c r="W109" s="3"/>
      <c r="X109" s="3"/>
      <c r="Y109" s="3"/>
      <c r="Z109" s="3"/>
      <c r="AA109" s="3"/>
      <c r="AB109" s="3"/>
      <c r="AC109" s="3"/>
      <c r="AD109" s="3"/>
      <c r="AE109" s="3"/>
      <c r="AF109" s="3"/>
      <c r="AG109" s="3"/>
    </row>
    <row r="110">
      <c r="A110" s="2">
        <v>2016.0</v>
      </c>
      <c r="B110" s="1" t="s">
        <v>314</v>
      </c>
      <c r="D110" s="2" t="s">
        <v>425</v>
      </c>
      <c r="F110" s="2">
        <v>3165160.0</v>
      </c>
      <c r="H110" s="2">
        <v>1.3471962E7</v>
      </c>
      <c r="K110" s="2">
        <v>1.6637122E7</v>
      </c>
      <c r="L110" s="2">
        <v>1.5582281E7</v>
      </c>
      <c r="N110" s="2">
        <v>1054841.0</v>
      </c>
      <c r="P110" s="3"/>
      <c r="Q110" s="3"/>
      <c r="R110" s="3"/>
      <c r="S110" s="3"/>
      <c r="T110" s="3"/>
      <c r="U110" s="3"/>
      <c r="V110" s="3"/>
      <c r="W110" s="3"/>
      <c r="X110" s="3"/>
      <c r="Y110" s="3"/>
      <c r="Z110" s="3"/>
      <c r="AA110" s="3"/>
      <c r="AB110" s="3"/>
      <c r="AC110" s="3"/>
      <c r="AD110" s="3"/>
      <c r="AE110" s="3"/>
      <c r="AF110" s="3"/>
      <c r="AG110" s="3"/>
    </row>
    <row r="111">
      <c r="A111" s="2">
        <v>2016.0</v>
      </c>
      <c r="B111" s="1" t="s">
        <v>314</v>
      </c>
      <c r="D111" s="2" t="s">
        <v>413</v>
      </c>
      <c r="F111" s="2">
        <v>1.3547229E7</v>
      </c>
      <c r="H111" s="2">
        <v>6105641.0</v>
      </c>
      <c r="I111" s="2">
        <v>4376080.0</v>
      </c>
      <c r="J111" s="2">
        <v>287622.0</v>
      </c>
      <c r="K111" s="2">
        <v>2.4287431E7</v>
      </c>
      <c r="L111" s="2">
        <v>8861506.0</v>
      </c>
      <c r="N111" s="2">
        <v>1.5425925E7</v>
      </c>
      <c r="P111" s="3"/>
      <c r="Q111" s="3"/>
      <c r="R111" s="3"/>
      <c r="S111" s="3"/>
      <c r="T111" s="3"/>
      <c r="U111" s="3"/>
      <c r="V111" s="3"/>
      <c r="W111" s="3"/>
      <c r="X111" s="3"/>
      <c r="Y111" s="3"/>
      <c r="Z111" s="3"/>
      <c r="AA111" s="3"/>
      <c r="AB111" s="3"/>
      <c r="AC111" s="3"/>
      <c r="AD111" s="3"/>
      <c r="AE111" s="3"/>
      <c r="AF111" s="3"/>
      <c r="AG111" s="3"/>
    </row>
    <row r="112">
      <c r="A112" s="2">
        <v>2016.0</v>
      </c>
      <c r="B112" s="1" t="s">
        <v>314</v>
      </c>
      <c r="D112" s="2" t="s">
        <v>414</v>
      </c>
      <c r="F112" s="2">
        <v>6752420.0</v>
      </c>
      <c r="H112" s="2">
        <v>1.1292639E7</v>
      </c>
      <c r="J112" s="2">
        <v>4181645.0</v>
      </c>
      <c r="K112" s="2">
        <v>2.2226704E7</v>
      </c>
      <c r="L112" s="2">
        <v>1.7593237E7</v>
      </c>
      <c r="N112" s="2">
        <v>4633467.0</v>
      </c>
      <c r="P112" s="3"/>
      <c r="Q112" s="3"/>
      <c r="R112" s="3"/>
      <c r="S112" s="3"/>
      <c r="T112" s="3"/>
      <c r="U112" s="3"/>
      <c r="V112" s="3"/>
      <c r="W112" s="3"/>
      <c r="X112" s="3"/>
      <c r="Y112" s="3"/>
      <c r="Z112" s="3"/>
      <c r="AA112" s="3"/>
      <c r="AB112" s="3"/>
      <c r="AC112" s="3"/>
      <c r="AD112" s="3"/>
      <c r="AE112" s="3"/>
      <c r="AF112" s="3"/>
      <c r="AG112" s="3"/>
    </row>
    <row r="113">
      <c r="A113" s="2">
        <v>2017.0</v>
      </c>
      <c r="B113" s="1" t="s">
        <v>26</v>
      </c>
      <c r="D113" s="2" t="s">
        <v>429</v>
      </c>
      <c r="E113" s="2" t="s">
        <v>430</v>
      </c>
      <c r="F113" s="2">
        <v>189307.0</v>
      </c>
      <c r="J113" s="2">
        <v>106314.0</v>
      </c>
      <c r="K113" s="2">
        <v>295621.0</v>
      </c>
      <c r="L113" s="2">
        <v>0.0</v>
      </c>
      <c r="N113" s="2">
        <v>295621.0</v>
      </c>
      <c r="P113" s="3"/>
      <c r="Q113" s="3"/>
      <c r="R113" s="3"/>
      <c r="S113" s="3"/>
      <c r="T113" s="3"/>
      <c r="U113" s="3"/>
      <c r="V113" s="3"/>
      <c r="W113" s="3"/>
      <c r="X113" s="3"/>
      <c r="Y113" s="3"/>
      <c r="Z113" s="3"/>
      <c r="AA113" s="3"/>
      <c r="AB113" s="3"/>
      <c r="AC113" s="3"/>
      <c r="AD113" s="3"/>
      <c r="AE113" s="3"/>
      <c r="AF113" s="3"/>
      <c r="AG113" s="3"/>
    </row>
    <row r="114">
      <c r="A114" s="2">
        <v>2017.0</v>
      </c>
      <c r="B114" s="1" t="s">
        <v>26</v>
      </c>
      <c r="D114" s="2" t="s">
        <v>431</v>
      </c>
      <c r="E114" s="2" t="s">
        <v>432</v>
      </c>
      <c r="F114" s="4">
        <v>700144.0</v>
      </c>
      <c r="J114" s="4">
        <v>118700.0</v>
      </c>
      <c r="K114" s="4">
        <v>818844.0</v>
      </c>
      <c r="L114" s="4">
        <v>200000.0</v>
      </c>
      <c r="N114" s="4">
        <v>618844.0</v>
      </c>
      <c r="P114" s="3"/>
      <c r="Q114" s="3"/>
      <c r="R114" s="3"/>
      <c r="S114" s="3"/>
      <c r="T114" s="3"/>
      <c r="U114" s="3"/>
      <c r="V114" s="3"/>
      <c r="W114" s="3"/>
      <c r="X114" s="3"/>
      <c r="Y114" s="3"/>
      <c r="Z114" s="3"/>
      <c r="AA114" s="3"/>
      <c r="AB114" s="3"/>
      <c r="AC114" s="3"/>
      <c r="AD114" s="3"/>
      <c r="AE114" s="3"/>
      <c r="AF114" s="3"/>
      <c r="AG114" s="3"/>
    </row>
    <row r="115">
      <c r="A115" s="2">
        <v>2017.0</v>
      </c>
      <c r="B115" s="1" t="s">
        <v>213</v>
      </c>
      <c r="D115" s="2" t="s">
        <v>433</v>
      </c>
      <c r="E115" s="2" t="s">
        <v>432</v>
      </c>
      <c r="F115" s="2">
        <v>618844.0</v>
      </c>
      <c r="J115" s="4">
        <v>169448.0</v>
      </c>
      <c r="K115" s="4">
        <v>788292.0</v>
      </c>
      <c r="L115" s="4">
        <v>401582.0</v>
      </c>
      <c r="N115" s="4">
        <v>386710.0</v>
      </c>
      <c r="P115" s="3"/>
      <c r="Q115" s="3"/>
      <c r="R115" s="3"/>
      <c r="S115" s="3"/>
      <c r="T115" s="3"/>
      <c r="U115" s="3"/>
      <c r="V115" s="3"/>
      <c r="W115" s="3"/>
      <c r="X115" s="3"/>
      <c r="Y115" s="3"/>
      <c r="Z115" s="3"/>
      <c r="AA115" s="3"/>
      <c r="AB115" s="3"/>
      <c r="AC115" s="3"/>
      <c r="AD115" s="3"/>
      <c r="AE115" s="3"/>
      <c r="AF115" s="3"/>
      <c r="AG115" s="3"/>
    </row>
    <row r="116">
      <c r="A116" s="2">
        <v>2017.0</v>
      </c>
      <c r="B116" s="1" t="s">
        <v>26</v>
      </c>
      <c r="C116" s="2" t="s">
        <v>434</v>
      </c>
      <c r="K116" s="2">
        <v>2752359.0</v>
      </c>
      <c r="L116" s="2">
        <v>1405730.0</v>
      </c>
      <c r="P116" s="3"/>
      <c r="Q116" s="3"/>
      <c r="R116" s="3"/>
      <c r="S116" s="3"/>
      <c r="T116" s="3"/>
      <c r="U116" s="3"/>
      <c r="V116" s="3"/>
      <c r="W116" s="3"/>
      <c r="X116" s="3"/>
      <c r="Y116" s="3"/>
      <c r="Z116" s="3"/>
      <c r="AA116" s="3"/>
      <c r="AB116" s="3"/>
      <c r="AC116" s="3"/>
      <c r="AD116" s="3"/>
      <c r="AE116" s="3"/>
      <c r="AF116" s="3"/>
      <c r="AG116" s="3"/>
    </row>
    <row r="117">
      <c r="A117" s="2">
        <v>2017.0</v>
      </c>
      <c r="B117" s="1" t="s">
        <v>26</v>
      </c>
      <c r="C117" s="2" t="s">
        <v>438</v>
      </c>
      <c r="K117" s="2">
        <v>8996558.0</v>
      </c>
      <c r="L117" s="2">
        <v>5572244.0</v>
      </c>
      <c r="P117" s="3"/>
      <c r="Q117" s="3"/>
      <c r="R117" s="3"/>
      <c r="S117" s="3"/>
      <c r="T117" s="3"/>
      <c r="U117" s="3"/>
      <c r="V117" s="3"/>
      <c r="W117" s="3"/>
      <c r="X117" s="3"/>
      <c r="Y117" s="3"/>
      <c r="Z117" s="3"/>
      <c r="AA117" s="3"/>
      <c r="AB117" s="3"/>
      <c r="AC117" s="3"/>
      <c r="AD117" s="3"/>
      <c r="AE117" s="3"/>
      <c r="AF117" s="3"/>
      <c r="AG117" s="3"/>
    </row>
    <row r="118">
      <c r="A118" s="2">
        <v>2017.0</v>
      </c>
      <c r="B118" s="1" t="s">
        <v>26</v>
      </c>
      <c r="C118" s="2" t="s">
        <v>439</v>
      </c>
      <c r="K118" s="2">
        <v>3.270848221E7</v>
      </c>
      <c r="L118" s="2">
        <v>2.6793743E7</v>
      </c>
      <c r="P118" s="3"/>
      <c r="Q118" s="3"/>
      <c r="R118" s="3"/>
      <c r="S118" s="3"/>
      <c r="T118" s="3"/>
      <c r="U118" s="3"/>
      <c r="V118" s="3"/>
      <c r="W118" s="3"/>
      <c r="X118" s="3"/>
      <c r="Y118" s="3"/>
      <c r="Z118" s="3"/>
      <c r="AA118" s="3"/>
      <c r="AB118" s="3"/>
      <c r="AC118" s="3"/>
      <c r="AD118" s="3"/>
      <c r="AE118" s="3"/>
      <c r="AF118" s="3"/>
      <c r="AG118" s="3"/>
    </row>
    <row r="119">
      <c r="A119" s="2">
        <v>2017.0</v>
      </c>
      <c r="B119" s="1" t="s">
        <v>26</v>
      </c>
      <c r="C119" s="2" t="s">
        <v>440</v>
      </c>
      <c r="K119" s="2">
        <v>1.9414763E7</v>
      </c>
      <c r="L119" s="2">
        <v>1.3925035E7</v>
      </c>
      <c r="P119" s="3"/>
      <c r="Q119" s="3"/>
      <c r="R119" s="3"/>
      <c r="S119" s="3"/>
      <c r="T119" s="3"/>
      <c r="U119" s="3"/>
      <c r="V119" s="3"/>
      <c r="W119" s="3"/>
      <c r="X119" s="3"/>
      <c r="Y119" s="3"/>
      <c r="Z119" s="3"/>
      <c r="AA119" s="3"/>
      <c r="AB119" s="3"/>
      <c r="AC119" s="3"/>
      <c r="AD119" s="3"/>
      <c r="AE119" s="3"/>
      <c r="AF119" s="3"/>
      <c r="AG119" s="3"/>
    </row>
    <row r="120">
      <c r="A120" s="2">
        <v>2017.0</v>
      </c>
      <c r="B120" s="1" t="s">
        <v>26</v>
      </c>
      <c r="C120" s="2" t="s">
        <v>441</v>
      </c>
      <c r="K120" s="2">
        <v>3779322.0</v>
      </c>
      <c r="L120" s="2">
        <v>2409168.0</v>
      </c>
      <c r="P120" s="3"/>
      <c r="Q120" s="3"/>
      <c r="R120" s="3"/>
      <c r="S120" s="3"/>
      <c r="T120" s="3"/>
      <c r="U120" s="3"/>
      <c r="V120" s="3"/>
      <c r="W120" s="3"/>
      <c r="X120" s="3"/>
      <c r="Y120" s="3"/>
      <c r="Z120" s="3"/>
      <c r="AA120" s="3"/>
      <c r="AB120" s="3"/>
      <c r="AC120" s="3"/>
      <c r="AD120" s="3"/>
      <c r="AE120" s="3"/>
      <c r="AF120" s="3"/>
      <c r="AG120" s="3"/>
    </row>
    <row r="121">
      <c r="A121" s="2">
        <v>2017.0</v>
      </c>
      <c r="B121" s="1" t="s">
        <v>26</v>
      </c>
      <c r="C121" s="2" t="s">
        <v>97</v>
      </c>
      <c r="K121" s="2">
        <v>5731195.0</v>
      </c>
      <c r="L121" s="2">
        <v>4333290.0</v>
      </c>
      <c r="P121" s="3"/>
      <c r="Q121" s="3"/>
      <c r="R121" s="3"/>
      <c r="S121" s="3"/>
      <c r="T121" s="3"/>
      <c r="U121" s="3"/>
      <c r="V121" s="3"/>
      <c r="W121" s="3"/>
      <c r="X121" s="3"/>
      <c r="Y121" s="3"/>
      <c r="Z121" s="3"/>
      <c r="AA121" s="3"/>
      <c r="AB121" s="3"/>
      <c r="AC121" s="3"/>
      <c r="AD121" s="3"/>
      <c r="AE121" s="3"/>
      <c r="AF121" s="3"/>
      <c r="AG121" s="3"/>
    </row>
    <row r="122">
      <c r="A122" s="2">
        <v>2017.0</v>
      </c>
      <c r="B122" s="1" t="s">
        <v>26</v>
      </c>
      <c r="C122" s="2" t="s">
        <v>160</v>
      </c>
      <c r="K122" s="2">
        <v>7807701.0</v>
      </c>
      <c r="L122" s="2">
        <v>3768474.0</v>
      </c>
      <c r="P122" s="3"/>
      <c r="Q122" s="3"/>
      <c r="R122" s="3"/>
      <c r="S122" s="3"/>
      <c r="T122" s="3"/>
      <c r="U122" s="3"/>
      <c r="V122" s="3"/>
      <c r="W122" s="3"/>
      <c r="X122" s="3"/>
      <c r="Y122" s="3"/>
      <c r="Z122" s="3"/>
      <c r="AA122" s="3"/>
      <c r="AB122" s="3"/>
      <c r="AC122" s="3"/>
      <c r="AD122" s="3"/>
      <c r="AE122" s="3"/>
      <c r="AF122" s="3"/>
      <c r="AG122" s="3"/>
    </row>
    <row r="123">
      <c r="A123" s="2">
        <v>2017.0</v>
      </c>
      <c r="B123" s="1" t="s">
        <v>26</v>
      </c>
      <c r="C123" s="2" t="s">
        <v>294</v>
      </c>
      <c r="K123" s="2">
        <v>3.1820448E7</v>
      </c>
      <c r="L123" s="2">
        <v>2.7183831E7</v>
      </c>
      <c r="P123" s="3"/>
      <c r="Q123" s="3"/>
      <c r="R123" s="3"/>
      <c r="S123" s="3"/>
      <c r="T123" s="3"/>
      <c r="U123" s="3"/>
      <c r="V123" s="3"/>
      <c r="W123" s="3"/>
      <c r="X123" s="3"/>
      <c r="Y123" s="3"/>
      <c r="Z123" s="3"/>
      <c r="AA123" s="3"/>
      <c r="AB123" s="3"/>
      <c r="AC123" s="3"/>
      <c r="AD123" s="3"/>
      <c r="AE123" s="3"/>
      <c r="AF123" s="3"/>
      <c r="AG123" s="3"/>
    </row>
    <row r="124">
      <c r="A124" s="2">
        <v>2017.0</v>
      </c>
      <c r="B124" s="1" t="s">
        <v>26</v>
      </c>
      <c r="C124" s="2" t="s">
        <v>330</v>
      </c>
      <c r="K124" s="2">
        <v>8148316.0</v>
      </c>
      <c r="L124" s="2">
        <v>5569108.0</v>
      </c>
      <c r="P124" s="3"/>
      <c r="Q124" s="3"/>
      <c r="R124" s="3"/>
      <c r="S124" s="3"/>
      <c r="T124" s="3"/>
      <c r="U124" s="3"/>
      <c r="V124" s="3"/>
      <c r="W124" s="3"/>
      <c r="X124" s="3"/>
      <c r="Y124" s="3"/>
      <c r="Z124" s="3"/>
      <c r="AA124" s="3"/>
      <c r="AB124" s="3"/>
      <c r="AC124" s="3"/>
      <c r="AD124" s="3"/>
      <c r="AE124" s="3"/>
      <c r="AF124" s="3"/>
      <c r="AG124" s="3"/>
    </row>
    <row r="125">
      <c r="A125" s="2">
        <v>2017.0</v>
      </c>
      <c r="B125" s="1" t="s">
        <v>26</v>
      </c>
      <c r="C125" s="2" t="s">
        <v>358</v>
      </c>
      <c r="K125" s="2">
        <v>2.3143271E7</v>
      </c>
      <c r="L125" s="2">
        <v>1.9288687E7</v>
      </c>
      <c r="P125" s="3"/>
      <c r="Q125" s="3"/>
      <c r="R125" s="3"/>
      <c r="S125" s="3"/>
      <c r="T125" s="3"/>
      <c r="U125" s="3"/>
      <c r="V125" s="3"/>
      <c r="W125" s="3"/>
      <c r="X125" s="3"/>
      <c r="Y125" s="3"/>
      <c r="Z125" s="3"/>
      <c r="AA125" s="3"/>
      <c r="AB125" s="3"/>
      <c r="AC125" s="3"/>
      <c r="AD125" s="3"/>
      <c r="AE125" s="3"/>
      <c r="AF125" s="3"/>
      <c r="AG125" s="3"/>
    </row>
    <row r="126">
      <c r="A126" s="2">
        <v>2017.0</v>
      </c>
      <c r="B126" s="1" t="s">
        <v>26</v>
      </c>
      <c r="C126" s="2" t="s">
        <v>444</v>
      </c>
      <c r="K126" s="2">
        <v>6.025047E7</v>
      </c>
      <c r="L126" s="2">
        <v>3.4533757E7</v>
      </c>
      <c r="P126" s="3"/>
      <c r="Q126" s="3"/>
      <c r="R126" s="3"/>
      <c r="S126" s="3"/>
      <c r="T126" s="3"/>
      <c r="U126" s="3"/>
      <c r="V126" s="3"/>
      <c r="W126" s="3"/>
      <c r="X126" s="3"/>
      <c r="Y126" s="3"/>
      <c r="Z126" s="3"/>
      <c r="AA126" s="3"/>
      <c r="AB126" s="3"/>
      <c r="AC126" s="3"/>
      <c r="AD126" s="3"/>
      <c r="AE126" s="3"/>
      <c r="AF126" s="3"/>
      <c r="AG126" s="3"/>
    </row>
    <row r="127">
      <c r="A127" s="2">
        <v>2017.0</v>
      </c>
      <c r="B127" s="1" t="s">
        <v>26</v>
      </c>
      <c r="D127" s="1" t="s">
        <v>169</v>
      </c>
      <c r="E127" s="2" t="s">
        <v>445</v>
      </c>
      <c r="K127" s="2">
        <v>583.75</v>
      </c>
      <c r="L127" s="2">
        <v>433.26</v>
      </c>
      <c r="N127" s="2">
        <v>150.48</v>
      </c>
      <c r="P127" s="3"/>
      <c r="Q127" s="3"/>
      <c r="R127" s="3"/>
      <c r="S127" s="3"/>
      <c r="T127" s="3"/>
      <c r="U127" s="3"/>
      <c r="V127" s="3"/>
      <c r="W127" s="3"/>
      <c r="X127" s="3"/>
      <c r="Y127" s="3"/>
      <c r="Z127" s="3"/>
      <c r="AA127" s="3"/>
      <c r="AB127" s="3"/>
      <c r="AC127" s="3"/>
      <c r="AD127" s="3"/>
      <c r="AE127" s="3"/>
      <c r="AF127" s="3"/>
      <c r="AG127" s="3"/>
    </row>
    <row r="128">
      <c r="A128" s="2">
        <v>2017.0</v>
      </c>
      <c r="B128" s="1" t="s">
        <v>26</v>
      </c>
      <c r="D128" s="1" t="s">
        <v>169</v>
      </c>
      <c r="E128" s="2" t="s">
        <v>447</v>
      </c>
      <c r="K128" s="2">
        <v>23.22</v>
      </c>
      <c r="L128" s="2">
        <v>23.14</v>
      </c>
      <c r="N128" s="2">
        <v>0.08</v>
      </c>
      <c r="P128" s="3"/>
      <c r="Q128" s="3"/>
      <c r="R128" s="3"/>
      <c r="S128" s="3"/>
      <c r="T128" s="3"/>
      <c r="U128" s="3"/>
      <c r="V128" s="3"/>
      <c r="W128" s="3"/>
      <c r="X128" s="3"/>
      <c r="Y128" s="3"/>
      <c r="Z128" s="3"/>
      <c r="AA128" s="3"/>
      <c r="AB128" s="3"/>
      <c r="AC128" s="3"/>
      <c r="AD128" s="3"/>
      <c r="AE128" s="3"/>
      <c r="AF128" s="3"/>
      <c r="AG128" s="3"/>
    </row>
    <row r="129">
      <c r="A129" s="2">
        <v>2017.0</v>
      </c>
      <c r="B129" s="1" t="s">
        <v>26</v>
      </c>
      <c r="D129" s="1" t="s">
        <v>169</v>
      </c>
      <c r="E129" s="2" t="s">
        <v>114</v>
      </c>
      <c r="K129" s="2">
        <v>221.57</v>
      </c>
      <c r="L129" s="2">
        <v>199.22</v>
      </c>
      <c r="N129" s="2">
        <v>22.35</v>
      </c>
      <c r="P129" s="3"/>
      <c r="Q129" s="3"/>
      <c r="R129" s="3"/>
      <c r="S129" s="3"/>
      <c r="T129" s="3"/>
      <c r="U129" s="3"/>
      <c r="V129" s="3"/>
      <c r="W129" s="3"/>
      <c r="X129" s="3"/>
      <c r="Y129" s="3"/>
      <c r="Z129" s="3"/>
      <c r="AA129" s="3"/>
      <c r="AB129" s="3"/>
      <c r="AC129" s="3"/>
      <c r="AD129" s="3"/>
      <c r="AE129" s="3"/>
      <c r="AF129" s="3"/>
      <c r="AG129" s="3"/>
    </row>
    <row r="130">
      <c r="A130" s="2">
        <v>2017.0</v>
      </c>
      <c r="B130" s="1" t="s">
        <v>26</v>
      </c>
      <c r="D130" s="1" t="s">
        <v>169</v>
      </c>
      <c r="E130" s="2" t="s">
        <v>448</v>
      </c>
      <c r="K130" s="2">
        <v>209.24</v>
      </c>
      <c r="L130" s="2">
        <v>183.99</v>
      </c>
      <c r="N130" s="2">
        <v>25.26</v>
      </c>
      <c r="P130" s="3"/>
      <c r="Q130" s="3"/>
      <c r="R130" s="3"/>
      <c r="S130" s="3"/>
      <c r="T130" s="3"/>
      <c r="U130" s="3"/>
      <c r="V130" s="3"/>
      <c r="W130" s="3"/>
      <c r="X130" s="3"/>
      <c r="Y130" s="3"/>
      <c r="Z130" s="3"/>
      <c r="AA130" s="3"/>
      <c r="AB130" s="3"/>
      <c r="AC130" s="3"/>
      <c r="AD130" s="3"/>
      <c r="AE130" s="3"/>
      <c r="AF130" s="3"/>
      <c r="AG130" s="3"/>
    </row>
    <row r="131">
      <c r="A131" s="2">
        <v>2017.0</v>
      </c>
      <c r="B131" s="1" t="s">
        <v>26</v>
      </c>
      <c r="D131" s="1" t="s">
        <v>169</v>
      </c>
      <c r="E131" s="2" t="s">
        <v>451</v>
      </c>
      <c r="P131" s="3"/>
      <c r="Q131" s="3"/>
      <c r="R131" s="3"/>
      <c r="S131" s="3"/>
      <c r="T131" s="3"/>
      <c r="U131" s="3"/>
      <c r="V131" s="3"/>
      <c r="W131" s="3"/>
      <c r="X131" s="3"/>
      <c r="Y131" s="3"/>
      <c r="Z131" s="3"/>
      <c r="AA131" s="3"/>
      <c r="AB131" s="3"/>
      <c r="AC131" s="3"/>
      <c r="AD131" s="3"/>
      <c r="AE131" s="3"/>
      <c r="AF131" s="3"/>
      <c r="AG131" s="3"/>
    </row>
    <row r="132">
      <c r="A132" s="2">
        <v>2017.0</v>
      </c>
      <c r="B132" s="1" t="s">
        <v>26</v>
      </c>
      <c r="D132" s="1" t="s">
        <v>169</v>
      </c>
      <c r="E132" s="2" t="s">
        <v>453</v>
      </c>
      <c r="K132" s="2">
        <v>622.66</v>
      </c>
      <c r="L132" s="2">
        <v>587.96</v>
      </c>
      <c r="N132" s="2">
        <v>34.7</v>
      </c>
      <c r="P132" s="3"/>
      <c r="Q132" s="3"/>
      <c r="R132" s="3"/>
      <c r="S132" s="3"/>
      <c r="T132" s="3"/>
      <c r="U132" s="3"/>
      <c r="V132" s="3"/>
      <c r="W132" s="3"/>
      <c r="X132" s="3"/>
      <c r="Y132" s="3"/>
      <c r="Z132" s="3"/>
      <c r="AA132" s="3"/>
      <c r="AB132" s="3"/>
      <c r="AC132" s="3"/>
      <c r="AD132" s="3"/>
      <c r="AE132" s="3"/>
      <c r="AF132" s="3"/>
      <c r="AG132" s="3"/>
    </row>
    <row r="133">
      <c r="A133" s="2">
        <v>2017.0</v>
      </c>
      <c r="B133" s="1" t="s">
        <v>26</v>
      </c>
      <c r="D133" s="1" t="s">
        <v>169</v>
      </c>
      <c r="E133" s="2" t="s">
        <v>454</v>
      </c>
      <c r="P133" s="3"/>
      <c r="Q133" s="3"/>
      <c r="R133" s="3"/>
      <c r="S133" s="3"/>
      <c r="T133" s="3"/>
      <c r="U133" s="3"/>
      <c r="V133" s="3"/>
      <c r="W133" s="3"/>
      <c r="X133" s="3"/>
      <c r="Y133" s="3"/>
      <c r="Z133" s="3"/>
      <c r="AA133" s="3"/>
      <c r="AB133" s="3"/>
      <c r="AC133" s="3"/>
      <c r="AD133" s="3"/>
      <c r="AE133" s="3"/>
      <c r="AF133" s="3"/>
      <c r="AG133" s="3"/>
    </row>
    <row r="134">
      <c r="A134" s="2">
        <v>2017.0</v>
      </c>
      <c r="B134" s="1" t="s">
        <v>26</v>
      </c>
      <c r="D134" s="1" t="s">
        <v>169</v>
      </c>
      <c r="E134" s="2" t="s">
        <v>445</v>
      </c>
      <c r="K134" s="2">
        <v>289.23</v>
      </c>
      <c r="L134" s="2">
        <v>111.46</v>
      </c>
      <c r="N134" s="2">
        <v>177.77</v>
      </c>
      <c r="P134" s="3"/>
      <c r="Q134" s="3"/>
      <c r="R134" s="3"/>
      <c r="S134" s="3"/>
      <c r="T134" s="3"/>
      <c r="U134" s="3"/>
      <c r="V134" s="3"/>
      <c r="W134" s="3"/>
      <c r="X134" s="3"/>
      <c r="Y134" s="3"/>
      <c r="Z134" s="3"/>
      <c r="AA134" s="3"/>
      <c r="AB134" s="3"/>
      <c r="AC134" s="3"/>
      <c r="AD134" s="3"/>
      <c r="AE134" s="3"/>
      <c r="AF134" s="3"/>
      <c r="AG134" s="3"/>
    </row>
    <row r="135">
      <c r="A135" s="2">
        <v>2017.0</v>
      </c>
      <c r="B135" s="1" t="s">
        <v>26</v>
      </c>
      <c r="D135" s="1" t="s">
        <v>169</v>
      </c>
      <c r="E135" s="2" t="s">
        <v>447</v>
      </c>
      <c r="K135" s="2">
        <v>5.76</v>
      </c>
      <c r="L135" s="2">
        <v>5.76</v>
      </c>
      <c r="N135" s="2">
        <v>0.0</v>
      </c>
      <c r="P135" s="3"/>
      <c r="Q135" s="3"/>
      <c r="R135" s="3"/>
      <c r="S135" s="3"/>
      <c r="T135" s="3"/>
      <c r="U135" s="3"/>
      <c r="V135" s="3"/>
      <c r="W135" s="3"/>
      <c r="X135" s="3"/>
      <c r="Y135" s="3"/>
      <c r="Z135" s="3"/>
      <c r="AA135" s="3"/>
      <c r="AB135" s="3"/>
      <c r="AC135" s="3"/>
      <c r="AD135" s="3"/>
      <c r="AE135" s="3"/>
      <c r="AF135" s="3"/>
      <c r="AG135" s="3"/>
    </row>
    <row r="136">
      <c r="A136" s="2">
        <v>2017.0</v>
      </c>
      <c r="B136" s="1" t="s">
        <v>26</v>
      </c>
      <c r="D136" s="1" t="s">
        <v>169</v>
      </c>
      <c r="E136" s="2" t="s">
        <v>114</v>
      </c>
      <c r="K136" s="2">
        <v>214.83</v>
      </c>
      <c r="L136" s="2">
        <v>136.55</v>
      </c>
      <c r="N136" s="2">
        <v>78.28</v>
      </c>
      <c r="P136" s="3"/>
      <c r="Q136" s="3"/>
      <c r="R136" s="3"/>
      <c r="S136" s="3"/>
      <c r="T136" s="3"/>
      <c r="U136" s="3"/>
      <c r="V136" s="3"/>
      <c r="W136" s="3"/>
      <c r="X136" s="3"/>
      <c r="Y136" s="3"/>
      <c r="Z136" s="3"/>
      <c r="AA136" s="3"/>
      <c r="AB136" s="3"/>
      <c r="AC136" s="3"/>
      <c r="AD136" s="3"/>
      <c r="AE136" s="3"/>
      <c r="AF136" s="3"/>
      <c r="AG136" s="3"/>
    </row>
    <row r="137">
      <c r="A137" s="2">
        <v>2017.0</v>
      </c>
      <c r="B137" s="1" t="s">
        <v>26</v>
      </c>
      <c r="D137" s="1" t="s">
        <v>169</v>
      </c>
      <c r="E137" s="2" t="s">
        <v>448</v>
      </c>
      <c r="P137" s="3"/>
      <c r="Q137" s="3"/>
      <c r="R137" s="3"/>
      <c r="S137" s="3"/>
      <c r="T137" s="3"/>
      <c r="U137" s="3"/>
      <c r="V137" s="3"/>
      <c r="W137" s="3"/>
      <c r="X137" s="3"/>
      <c r="Y137" s="3"/>
      <c r="Z137" s="3"/>
      <c r="AA137" s="3"/>
      <c r="AB137" s="3"/>
      <c r="AC137" s="3"/>
      <c r="AD137" s="3"/>
      <c r="AE137" s="3"/>
      <c r="AF137" s="3"/>
      <c r="AG137" s="3"/>
    </row>
    <row r="138">
      <c r="A138" s="2">
        <v>2017.0</v>
      </c>
      <c r="B138" s="1" t="s">
        <v>26</v>
      </c>
      <c r="D138" s="1" t="s">
        <v>169</v>
      </c>
      <c r="E138" s="2" t="s">
        <v>451</v>
      </c>
      <c r="K138" s="2">
        <v>58.95</v>
      </c>
      <c r="L138" s="2">
        <v>25.91</v>
      </c>
      <c r="N138" s="2">
        <v>33.04</v>
      </c>
      <c r="P138" s="3"/>
      <c r="Q138" s="3"/>
      <c r="R138" s="3"/>
      <c r="S138" s="3"/>
      <c r="T138" s="3"/>
      <c r="U138" s="3"/>
      <c r="V138" s="3"/>
      <c r="W138" s="3"/>
      <c r="X138" s="3"/>
      <c r="Y138" s="3"/>
      <c r="Z138" s="3"/>
      <c r="AA138" s="3"/>
      <c r="AB138" s="3"/>
      <c r="AC138" s="3"/>
      <c r="AD138" s="3"/>
      <c r="AE138" s="3"/>
      <c r="AF138" s="3"/>
      <c r="AG138" s="3"/>
    </row>
    <row r="139">
      <c r="A139" s="2">
        <v>2017.0</v>
      </c>
      <c r="B139" s="1" t="s">
        <v>26</v>
      </c>
      <c r="D139" s="1" t="s">
        <v>169</v>
      </c>
      <c r="E139" s="2" t="s">
        <v>453</v>
      </c>
      <c r="P139" s="3"/>
      <c r="Q139" s="3"/>
      <c r="R139" s="3"/>
      <c r="S139" s="3"/>
      <c r="T139" s="3"/>
      <c r="U139" s="3"/>
      <c r="V139" s="3"/>
      <c r="W139" s="3"/>
      <c r="X139" s="3"/>
      <c r="Y139" s="3"/>
      <c r="Z139" s="3"/>
      <c r="AA139" s="3"/>
      <c r="AB139" s="3"/>
      <c r="AC139" s="3"/>
      <c r="AD139" s="3"/>
      <c r="AE139" s="3"/>
      <c r="AF139" s="3"/>
      <c r="AG139" s="3"/>
    </row>
    <row r="140">
      <c r="A140" s="2">
        <v>2017.0</v>
      </c>
      <c r="B140" s="1" t="s">
        <v>26</v>
      </c>
      <c r="D140" s="1" t="s">
        <v>169</v>
      </c>
      <c r="E140" s="2" t="s">
        <v>454</v>
      </c>
      <c r="K140" s="2">
        <v>126.63</v>
      </c>
      <c r="L140" s="2">
        <v>82.48</v>
      </c>
      <c r="N140" s="2">
        <v>44.15</v>
      </c>
      <c r="P140" s="3"/>
      <c r="Q140" s="3"/>
      <c r="R140" s="3"/>
      <c r="S140" s="3"/>
      <c r="T140" s="3"/>
      <c r="U140" s="3"/>
      <c r="V140" s="3"/>
      <c r="W140" s="3"/>
      <c r="X140" s="3"/>
      <c r="Y140" s="3"/>
      <c r="Z140" s="3"/>
      <c r="AA140" s="3"/>
      <c r="AB140" s="3"/>
      <c r="AC140" s="3"/>
      <c r="AD140" s="3"/>
      <c r="AE140" s="3"/>
      <c r="AF140" s="3"/>
      <c r="AG140" s="3"/>
    </row>
    <row r="141">
      <c r="A141" s="2">
        <v>2017.0</v>
      </c>
      <c r="B141" s="1" t="s">
        <v>26</v>
      </c>
      <c r="D141" s="1" t="s">
        <v>462</v>
      </c>
      <c r="E141" s="2" t="s">
        <v>445</v>
      </c>
      <c r="K141" s="2">
        <v>639.73</v>
      </c>
      <c r="L141" s="2">
        <v>241.81</v>
      </c>
      <c r="N141" s="2">
        <v>397.92</v>
      </c>
      <c r="P141" s="3"/>
      <c r="Q141" s="3"/>
      <c r="R141" s="3"/>
      <c r="S141" s="3"/>
      <c r="T141" s="3"/>
      <c r="U141" s="3"/>
      <c r="V141" s="3"/>
      <c r="W141" s="3"/>
      <c r="X141" s="3"/>
      <c r="Y141" s="3"/>
      <c r="Z141" s="3"/>
      <c r="AA141" s="3"/>
      <c r="AB141" s="3"/>
      <c r="AC141" s="3"/>
      <c r="AD141" s="3"/>
      <c r="AE141" s="3"/>
      <c r="AF141" s="3"/>
      <c r="AG141" s="3"/>
    </row>
    <row r="142">
      <c r="A142" s="2">
        <v>2017.0</v>
      </c>
      <c r="B142" s="1" t="s">
        <v>26</v>
      </c>
      <c r="D142" s="1" t="s">
        <v>462</v>
      </c>
      <c r="E142" s="2" t="s">
        <v>447</v>
      </c>
      <c r="K142" s="2">
        <v>78.24</v>
      </c>
      <c r="L142" s="2">
        <v>75.47</v>
      </c>
      <c r="N142" s="2">
        <v>2.77</v>
      </c>
      <c r="P142" s="3"/>
      <c r="Q142" s="3"/>
      <c r="R142" s="3"/>
      <c r="S142" s="3"/>
      <c r="T142" s="3"/>
      <c r="U142" s="3"/>
      <c r="V142" s="3"/>
      <c r="W142" s="3"/>
      <c r="X142" s="3"/>
      <c r="Y142" s="3"/>
      <c r="Z142" s="3"/>
      <c r="AA142" s="3"/>
      <c r="AB142" s="3"/>
      <c r="AC142" s="3"/>
      <c r="AD142" s="3"/>
      <c r="AE142" s="3"/>
      <c r="AF142" s="3"/>
      <c r="AG142" s="3"/>
    </row>
    <row r="143">
      <c r="A143" s="2">
        <v>2017.0</v>
      </c>
      <c r="B143" s="1" t="s">
        <v>26</v>
      </c>
      <c r="D143" s="1" t="s">
        <v>462</v>
      </c>
      <c r="E143" s="2" t="s">
        <v>114</v>
      </c>
      <c r="K143" s="2">
        <v>82.27</v>
      </c>
      <c r="L143" s="2">
        <v>82.27</v>
      </c>
      <c r="N143" s="2">
        <v>0.0</v>
      </c>
      <c r="P143" s="3"/>
      <c r="Q143" s="3"/>
      <c r="R143" s="3"/>
      <c r="S143" s="3"/>
      <c r="T143" s="3"/>
      <c r="U143" s="3"/>
      <c r="V143" s="3"/>
      <c r="W143" s="3"/>
      <c r="X143" s="3"/>
      <c r="Y143" s="3"/>
      <c r="Z143" s="3"/>
      <c r="AA143" s="3"/>
      <c r="AB143" s="3"/>
      <c r="AC143" s="3"/>
      <c r="AD143" s="3"/>
      <c r="AE143" s="3"/>
      <c r="AF143" s="3"/>
      <c r="AG143" s="3"/>
    </row>
    <row r="144">
      <c r="A144" s="2">
        <v>2017.0</v>
      </c>
      <c r="B144" s="1" t="s">
        <v>26</v>
      </c>
      <c r="D144" s="1" t="s">
        <v>462</v>
      </c>
      <c r="E144" s="2" t="s">
        <v>448</v>
      </c>
      <c r="P144" s="3"/>
      <c r="Q144" s="3"/>
      <c r="R144" s="3"/>
      <c r="S144" s="3"/>
      <c r="T144" s="3"/>
      <c r="U144" s="3"/>
      <c r="V144" s="3"/>
      <c r="W144" s="3"/>
      <c r="X144" s="3"/>
      <c r="Y144" s="3"/>
      <c r="Z144" s="3"/>
      <c r="AA144" s="3"/>
      <c r="AB144" s="3"/>
      <c r="AC144" s="3"/>
      <c r="AD144" s="3"/>
      <c r="AE144" s="3"/>
      <c r="AF144" s="3"/>
      <c r="AG144" s="3"/>
    </row>
    <row r="145">
      <c r="A145" s="2">
        <v>2017.0</v>
      </c>
      <c r="B145" s="1" t="s">
        <v>26</v>
      </c>
      <c r="D145" s="1" t="s">
        <v>462</v>
      </c>
      <c r="E145" s="2" t="s">
        <v>451</v>
      </c>
      <c r="K145" s="2">
        <v>97.81</v>
      </c>
      <c r="L145" s="2">
        <v>47.56</v>
      </c>
      <c r="N145" s="2">
        <v>50.25</v>
      </c>
      <c r="P145" s="3"/>
      <c r="Q145" s="3"/>
      <c r="R145" s="3"/>
      <c r="S145" s="3"/>
      <c r="T145" s="3"/>
      <c r="U145" s="3"/>
      <c r="V145" s="3"/>
      <c r="W145" s="3"/>
      <c r="X145" s="3"/>
      <c r="Y145" s="3"/>
      <c r="Z145" s="3"/>
      <c r="AA145" s="3"/>
      <c r="AB145" s="3"/>
      <c r="AC145" s="3"/>
      <c r="AD145" s="3"/>
      <c r="AE145" s="3"/>
      <c r="AF145" s="3"/>
      <c r="AG145" s="3"/>
    </row>
    <row r="146">
      <c r="A146" s="2">
        <v>2017.0</v>
      </c>
      <c r="B146" s="1" t="s">
        <v>26</v>
      </c>
      <c r="D146" s="1" t="s">
        <v>462</v>
      </c>
      <c r="E146" s="2" t="s">
        <v>453</v>
      </c>
      <c r="P146" s="3"/>
      <c r="Q146" s="3"/>
      <c r="R146" s="3"/>
      <c r="S146" s="3"/>
      <c r="T146" s="3"/>
      <c r="U146" s="3"/>
      <c r="V146" s="3"/>
      <c r="W146" s="3"/>
      <c r="X146" s="3"/>
      <c r="Y146" s="3"/>
      <c r="Z146" s="3"/>
      <c r="AA146" s="3"/>
      <c r="AB146" s="3"/>
      <c r="AC146" s="3"/>
      <c r="AD146" s="3"/>
      <c r="AE146" s="3"/>
      <c r="AF146" s="3"/>
      <c r="AG146" s="3"/>
    </row>
    <row r="147">
      <c r="A147" s="2">
        <v>2017.0</v>
      </c>
      <c r="B147" s="1" t="s">
        <v>26</v>
      </c>
      <c r="D147" s="1" t="s">
        <v>462</v>
      </c>
      <c r="E147" s="2" t="s">
        <v>454</v>
      </c>
      <c r="K147" s="2">
        <v>54.11</v>
      </c>
      <c r="L147" s="2">
        <v>47.41</v>
      </c>
      <c r="N147" s="2">
        <v>6.7</v>
      </c>
      <c r="P147" s="3"/>
      <c r="Q147" s="3"/>
      <c r="R147" s="3"/>
      <c r="S147" s="3"/>
      <c r="T147" s="3"/>
      <c r="U147" s="3"/>
      <c r="V147" s="3"/>
      <c r="W147" s="3"/>
      <c r="X147" s="3"/>
      <c r="Y147" s="3"/>
      <c r="Z147" s="3"/>
      <c r="AA147" s="3"/>
      <c r="AB147" s="3"/>
      <c r="AC147" s="3"/>
      <c r="AD147" s="3"/>
      <c r="AE147" s="3"/>
      <c r="AF147" s="3"/>
      <c r="AG147" s="3"/>
    </row>
    <row r="148">
      <c r="A148" s="2">
        <v>2018.0</v>
      </c>
      <c r="B148" s="2" t="s">
        <v>314</v>
      </c>
      <c r="D148" s="2" t="s">
        <v>466</v>
      </c>
      <c r="E148" s="2" t="s">
        <v>460</v>
      </c>
      <c r="F148" s="2">
        <v>11215.0</v>
      </c>
      <c r="I148" s="2">
        <v>100000.0</v>
      </c>
      <c r="J148" s="2">
        <v>953.0</v>
      </c>
      <c r="K148" s="2">
        <v>112168.0</v>
      </c>
      <c r="L148" s="2">
        <v>100000.0</v>
      </c>
      <c r="N148" s="2">
        <v>12168.0</v>
      </c>
      <c r="P148" s="3"/>
      <c r="Q148" s="3"/>
      <c r="R148" s="3"/>
      <c r="S148" s="3"/>
      <c r="T148" s="3"/>
      <c r="U148" s="3"/>
      <c r="V148" s="3"/>
      <c r="W148" s="3"/>
      <c r="X148" s="3"/>
      <c r="Y148" s="3"/>
      <c r="Z148" s="3"/>
      <c r="AA148" s="3"/>
      <c r="AB148" s="3"/>
      <c r="AC148" s="3"/>
      <c r="AD148" s="3"/>
      <c r="AE148" s="3"/>
      <c r="AF148" s="3"/>
      <c r="AG148" s="3"/>
    </row>
    <row r="149">
      <c r="A149" s="2">
        <v>2018.0</v>
      </c>
      <c r="B149" s="2" t="s">
        <v>314</v>
      </c>
      <c r="D149" s="2" t="s">
        <v>466</v>
      </c>
      <c r="E149" s="2" t="s">
        <v>32</v>
      </c>
      <c r="F149" s="2">
        <v>500.0</v>
      </c>
      <c r="I149" s="2">
        <v>61540.0</v>
      </c>
      <c r="J149" s="2">
        <v>67.0</v>
      </c>
      <c r="K149" s="2">
        <v>62107.0</v>
      </c>
      <c r="L149" s="2">
        <v>53028.0</v>
      </c>
      <c r="N149" s="2">
        <v>9079.0</v>
      </c>
      <c r="P149" s="3"/>
      <c r="Q149" s="3"/>
      <c r="R149" s="3"/>
      <c r="S149" s="3"/>
      <c r="T149" s="3"/>
      <c r="U149" s="3"/>
      <c r="V149" s="3"/>
      <c r="W149" s="3"/>
      <c r="X149" s="3"/>
      <c r="Y149" s="3"/>
      <c r="Z149" s="3"/>
      <c r="AA149" s="3"/>
      <c r="AB149" s="3"/>
      <c r="AC149" s="3"/>
      <c r="AD149" s="3"/>
      <c r="AE149" s="3"/>
      <c r="AF149" s="3"/>
      <c r="AG149" s="3"/>
    </row>
    <row r="150">
      <c r="A150" s="2">
        <v>2018.0</v>
      </c>
      <c r="B150" s="2" t="s">
        <v>314</v>
      </c>
      <c r="D150" s="2" t="s">
        <v>466</v>
      </c>
      <c r="E150" s="2" t="s">
        <v>173</v>
      </c>
      <c r="F150" s="2">
        <v>666669.0</v>
      </c>
      <c r="I150" s="2">
        <v>515592.0</v>
      </c>
      <c r="J150" s="2">
        <v>25143.0</v>
      </c>
      <c r="K150" s="2">
        <v>1207404.0</v>
      </c>
      <c r="L150" s="2">
        <v>1026116.0</v>
      </c>
      <c r="N150" s="2">
        <v>181288.0</v>
      </c>
      <c r="P150" s="3"/>
      <c r="Q150" s="3"/>
      <c r="R150" s="3"/>
      <c r="S150" s="3"/>
      <c r="T150" s="3"/>
      <c r="U150" s="3"/>
      <c r="V150" s="3"/>
      <c r="W150" s="3"/>
      <c r="X150" s="3"/>
      <c r="Y150" s="3"/>
      <c r="Z150" s="3"/>
      <c r="AA150" s="3"/>
      <c r="AB150" s="3"/>
      <c r="AC150" s="3"/>
      <c r="AD150" s="3"/>
      <c r="AE150" s="3"/>
      <c r="AF150" s="3"/>
      <c r="AG150" s="3"/>
    </row>
    <row r="151">
      <c r="A151" s="2">
        <v>2018.0</v>
      </c>
      <c r="B151" s="2" t="s">
        <v>314</v>
      </c>
      <c r="D151" s="2" t="s">
        <v>466</v>
      </c>
      <c r="E151" s="2" t="s">
        <v>114</v>
      </c>
      <c r="F151" s="2">
        <v>73417.0</v>
      </c>
      <c r="I151" s="2">
        <v>308890.0</v>
      </c>
      <c r="J151" s="2">
        <v>4447.0</v>
      </c>
      <c r="K151" s="2">
        <v>386754.0</v>
      </c>
      <c r="L151" s="2">
        <v>300000.0</v>
      </c>
      <c r="N151" s="2">
        <v>86754.0</v>
      </c>
      <c r="P151" s="3"/>
      <c r="Q151" s="3"/>
      <c r="R151" s="3"/>
      <c r="S151" s="3"/>
      <c r="T151" s="3"/>
      <c r="U151" s="3"/>
      <c r="V151" s="3"/>
      <c r="W151" s="3"/>
      <c r="X151" s="3"/>
      <c r="Y151" s="3"/>
      <c r="Z151" s="3"/>
      <c r="AA151" s="3"/>
      <c r="AB151" s="3"/>
      <c r="AC151" s="3"/>
      <c r="AD151" s="3"/>
      <c r="AE151" s="3"/>
      <c r="AF151" s="3"/>
      <c r="AG151" s="3"/>
    </row>
    <row r="152">
      <c r="A152" s="2">
        <v>2018.0</v>
      </c>
      <c r="B152" s="2" t="s">
        <v>314</v>
      </c>
      <c r="D152" s="2" t="s">
        <v>468</v>
      </c>
      <c r="E152" s="2" t="s">
        <v>114</v>
      </c>
      <c r="F152" s="2">
        <v>58584.0</v>
      </c>
      <c r="I152" s="2">
        <v>308890.0</v>
      </c>
      <c r="J152" s="2">
        <v>5429.0</v>
      </c>
      <c r="K152" s="2">
        <v>372903.0</v>
      </c>
      <c r="L152" s="2">
        <v>255028.0</v>
      </c>
      <c r="N152" s="2">
        <v>117875.0</v>
      </c>
      <c r="P152" s="3"/>
      <c r="Q152" s="3"/>
      <c r="R152" s="3"/>
      <c r="S152" s="3"/>
      <c r="T152" s="3"/>
      <c r="U152" s="3"/>
      <c r="V152" s="3"/>
      <c r="W152" s="3"/>
      <c r="X152" s="3"/>
      <c r="Y152" s="3"/>
      <c r="Z152" s="3"/>
      <c r="AA152" s="3"/>
      <c r="AB152" s="3"/>
      <c r="AC152" s="3"/>
      <c r="AD152" s="3"/>
      <c r="AE152" s="3"/>
      <c r="AF152" s="3"/>
      <c r="AG152" s="3"/>
    </row>
    <row r="153">
      <c r="A153" s="2">
        <v>2018.0</v>
      </c>
      <c r="B153" s="2" t="s">
        <v>314</v>
      </c>
      <c r="D153" s="2" t="s">
        <v>468</v>
      </c>
      <c r="E153" s="2" t="s">
        <v>469</v>
      </c>
      <c r="F153" s="2">
        <v>421497.0</v>
      </c>
      <c r="I153" s="2">
        <v>600730.0</v>
      </c>
      <c r="J153" s="2">
        <v>5991.0</v>
      </c>
      <c r="K153" s="2">
        <v>1028218.0</v>
      </c>
      <c r="L153" s="2">
        <v>897270.0</v>
      </c>
      <c r="N153" s="2">
        <v>130948.0</v>
      </c>
      <c r="P153" s="3"/>
      <c r="Q153" s="3"/>
      <c r="R153" s="3"/>
      <c r="S153" s="3"/>
      <c r="T153" s="3"/>
      <c r="U153" s="3"/>
      <c r="V153" s="3"/>
      <c r="W153" s="3"/>
      <c r="X153" s="3"/>
      <c r="Y153" s="3"/>
      <c r="Z153" s="3"/>
      <c r="AA153" s="3"/>
      <c r="AB153" s="3"/>
      <c r="AC153" s="3"/>
      <c r="AD153" s="3"/>
      <c r="AE153" s="3"/>
      <c r="AF153" s="3"/>
      <c r="AG153" s="3"/>
    </row>
    <row r="154">
      <c r="A154" s="2">
        <v>2018.0</v>
      </c>
      <c r="B154" s="2" t="s">
        <v>314</v>
      </c>
      <c r="D154" s="2" t="s">
        <v>468</v>
      </c>
      <c r="E154" s="2" t="s">
        <v>460</v>
      </c>
      <c r="F154" s="2">
        <v>11269.0</v>
      </c>
      <c r="I154" s="2">
        <v>100000.0</v>
      </c>
      <c r="J154" s="2">
        <v>677.0</v>
      </c>
      <c r="K154" s="2">
        <v>111946.0</v>
      </c>
      <c r="L154" s="2">
        <v>111005.0</v>
      </c>
      <c r="N154" s="2">
        <v>941.0</v>
      </c>
      <c r="P154" s="3"/>
      <c r="Q154" s="3"/>
      <c r="R154" s="3"/>
      <c r="S154" s="3"/>
      <c r="T154" s="3"/>
      <c r="U154" s="3"/>
      <c r="V154" s="3"/>
      <c r="W154" s="3"/>
      <c r="X154" s="3"/>
      <c r="Y154" s="3"/>
      <c r="Z154" s="3"/>
      <c r="AA154" s="3"/>
      <c r="AB154" s="3"/>
      <c r="AC154" s="3"/>
      <c r="AD154" s="3"/>
      <c r="AE154" s="3"/>
      <c r="AF154" s="3"/>
      <c r="AG154" s="3"/>
    </row>
    <row r="155">
      <c r="A155" s="2">
        <v>2018.0</v>
      </c>
      <c r="B155" s="2" t="s">
        <v>314</v>
      </c>
      <c r="D155" s="2" t="s">
        <v>472</v>
      </c>
      <c r="E155" s="2" t="s">
        <v>114</v>
      </c>
      <c r="F155" s="2">
        <v>343232.0</v>
      </c>
      <c r="I155" s="2">
        <v>308890.0</v>
      </c>
      <c r="J155" s="2">
        <v>7106.0</v>
      </c>
      <c r="K155" s="2">
        <v>659228.0</v>
      </c>
      <c r="L155" s="2">
        <v>575482.0</v>
      </c>
      <c r="N155" s="2">
        <v>83746.0</v>
      </c>
      <c r="P155" s="3"/>
      <c r="Q155" s="3"/>
      <c r="R155" s="3"/>
      <c r="S155" s="3"/>
      <c r="T155" s="3"/>
      <c r="U155" s="3"/>
      <c r="V155" s="3"/>
      <c r="W155" s="3"/>
      <c r="X155" s="3"/>
      <c r="Y155" s="3"/>
      <c r="Z155" s="3"/>
      <c r="AA155" s="3"/>
      <c r="AB155" s="3"/>
      <c r="AC155" s="3"/>
      <c r="AD155" s="3"/>
      <c r="AE155" s="3"/>
      <c r="AF155" s="3"/>
      <c r="AG155" s="3"/>
    </row>
    <row r="156">
      <c r="A156" s="2">
        <v>2018.0</v>
      </c>
      <c r="B156" s="2" t="s">
        <v>314</v>
      </c>
      <c r="D156" s="2" t="s">
        <v>472</v>
      </c>
      <c r="E156" s="2" t="s">
        <v>460</v>
      </c>
      <c r="F156" s="2">
        <v>500.0</v>
      </c>
      <c r="I156" s="2">
        <v>100000.0</v>
      </c>
      <c r="J156" s="2">
        <v>36.0</v>
      </c>
      <c r="K156" s="2">
        <v>10536.0</v>
      </c>
      <c r="L156" s="2">
        <v>90662.0</v>
      </c>
      <c r="N156" s="2">
        <v>9874.0</v>
      </c>
      <c r="P156" s="3"/>
      <c r="Q156" s="3"/>
      <c r="R156" s="3"/>
      <c r="S156" s="3"/>
      <c r="T156" s="3"/>
      <c r="U156" s="3"/>
      <c r="V156" s="3"/>
      <c r="W156" s="3"/>
      <c r="X156" s="3"/>
      <c r="Y156" s="3"/>
      <c r="Z156" s="3"/>
      <c r="AA156" s="3"/>
      <c r="AB156" s="3"/>
      <c r="AC156" s="3"/>
      <c r="AD156" s="3"/>
      <c r="AE156" s="3"/>
      <c r="AF156" s="3"/>
      <c r="AG156" s="3"/>
    </row>
    <row r="157">
      <c r="A157" s="2">
        <v>2018.0</v>
      </c>
      <c r="B157" s="2" t="s">
        <v>314</v>
      </c>
      <c r="D157" s="2" t="s">
        <v>472</v>
      </c>
      <c r="E157" s="2" t="s">
        <v>173</v>
      </c>
      <c r="F157" s="2">
        <v>638361.0</v>
      </c>
      <c r="I157" s="2">
        <v>537730.0</v>
      </c>
      <c r="J157" s="2">
        <v>18956.0</v>
      </c>
      <c r="K157" s="2">
        <v>1195047.0</v>
      </c>
      <c r="L157" s="2">
        <v>827034.0</v>
      </c>
      <c r="N157" s="2">
        <v>368013.0</v>
      </c>
      <c r="P157" s="3"/>
      <c r="Q157" s="3"/>
      <c r="R157" s="3"/>
      <c r="S157" s="3"/>
      <c r="T157" s="3"/>
      <c r="U157" s="3"/>
      <c r="V157" s="3"/>
      <c r="W157" s="3"/>
      <c r="X157" s="3"/>
      <c r="Y157" s="3"/>
      <c r="Z157" s="3"/>
      <c r="AA157" s="3"/>
      <c r="AB157" s="3"/>
      <c r="AC157" s="3"/>
      <c r="AD157" s="3"/>
      <c r="AE157" s="3"/>
      <c r="AF157" s="3"/>
      <c r="AG157" s="3"/>
    </row>
    <row r="158">
      <c r="A158" s="2">
        <v>2018.0</v>
      </c>
      <c r="B158" s="2" t="s">
        <v>314</v>
      </c>
      <c r="D158" s="2" t="s">
        <v>472</v>
      </c>
      <c r="E158" s="2" t="s">
        <v>32</v>
      </c>
      <c r="F158" s="2">
        <v>1023.0</v>
      </c>
      <c r="I158" s="2">
        <v>14980.0</v>
      </c>
      <c r="J158" s="2">
        <v>63.0</v>
      </c>
      <c r="K158" s="2">
        <v>16066.0</v>
      </c>
      <c r="L158" s="2">
        <v>0.0</v>
      </c>
      <c r="N158" s="2">
        <v>16066.0</v>
      </c>
      <c r="P158" s="3"/>
      <c r="Q158" s="3"/>
      <c r="R158" s="3"/>
      <c r="S158" s="3"/>
      <c r="T158" s="3"/>
      <c r="U158" s="3"/>
      <c r="V158" s="3"/>
      <c r="W158" s="3"/>
      <c r="X158" s="3"/>
      <c r="Y158" s="3"/>
      <c r="Z158" s="3"/>
      <c r="AA158" s="3"/>
      <c r="AB158" s="3"/>
      <c r="AC158" s="3"/>
      <c r="AD158" s="3"/>
      <c r="AE158" s="3"/>
      <c r="AF158" s="3"/>
      <c r="AG158" s="3"/>
    </row>
    <row r="159">
      <c r="A159" s="2">
        <v>2018.0</v>
      </c>
      <c r="B159" s="2" t="s">
        <v>314</v>
      </c>
      <c r="D159" s="2" t="s">
        <v>474</v>
      </c>
      <c r="E159" s="2" t="s">
        <v>173</v>
      </c>
      <c r="F159" s="2">
        <v>500.0</v>
      </c>
      <c r="I159" s="2">
        <v>566067.0</v>
      </c>
      <c r="J159" s="2">
        <v>1359.0</v>
      </c>
      <c r="K159" s="2">
        <v>567926.0</v>
      </c>
      <c r="L159" s="2">
        <v>445190.0</v>
      </c>
      <c r="N159" s="2">
        <v>122736.0</v>
      </c>
      <c r="P159" s="3"/>
      <c r="Q159" s="3"/>
      <c r="R159" s="3"/>
      <c r="S159" s="3"/>
      <c r="T159" s="3"/>
      <c r="U159" s="3"/>
      <c r="V159" s="3"/>
      <c r="W159" s="3"/>
      <c r="X159" s="3"/>
      <c r="Y159" s="3"/>
      <c r="Z159" s="3"/>
      <c r="AA159" s="3"/>
      <c r="AB159" s="3"/>
      <c r="AC159" s="3"/>
      <c r="AD159" s="3"/>
      <c r="AE159" s="3"/>
      <c r="AF159" s="3"/>
      <c r="AG159" s="3"/>
    </row>
    <row r="160">
      <c r="A160" s="2">
        <v>2018.0</v>
      </c>
      <c r="B160" s="2" t="s">
        <v>314</v>
      </c>
      <c r="D160" s="2" t="s">
        <v>474</v>
      </c>
      <c r="E160" s="2" t="s">
        <v>32</v>
      </c>
      <c r="F160" s="2">
        <v>1000.0</v>
      </c>
      <c r="I160" s="2">
        <v>6570.0</v>
      </c>
      <c r="J160" s="2">
        <v>47.0</v>
      </c>
      <c r="K160" s="2">
        <v>7617.0</v>
      </c>
      <c r="L160" s="2">
        <v>0.0</v>
      </c>
      <c r="N160" s="2">
        <v>4589.0</v>
      </c>
      <c r="P160" s="3"/>
      <c r="Q160" s="3"/>
      <c r="R160" s="3"/>
      <c r="S160" s="3"/>
      <c r="T160" s="3"/>
      <c r="U160" s="3"/>
      <c r="V160" s="3"/>
      <c r="W160" s="3"/>
      <c r="X160" s="3"/>
      <c r="Y160" s="3"/>
      <c r="Z160" s="3"/>
      <c r="AA160" s="3"/>
      <c r="AB160" s="3"/>
      <c r="AC160" s="3"/>
      <c r="AD160" s="3"/>
      <c r="AE160" s="3"/>
      <c r="AF160" s="3"/>
      <c r="AG160" s="3"/>
    </row>
    <row r="161">
      <c r="A161" s="2">
        <v>2018.0</v>
      </c>
      <c r="B161" s="2" t="s">
        <v>314</v>
      </c>
      <c r="D161" s="2" t="s">
        <v>474</v>
      </c>
      <c r="E161" s="2" t="s">
        <v>460</v>
      </c>
      <c r="F161" s="2">
        <v>1000.0</v>
      </c>
      <c r="I161" s="2">
        <v>100000.0</v>
      </c>
      <c r="J161" s="2">
        <v>192.0</v>
      </c>
      <c r="K161" s="2">
        <v>101192.0</v>
      </c>
      <c r="L161" s="2">
        <v>100225.0</v>
      </c>
      <c r="N161" s="2">
        <v>755.0</v>
      </c>
      <c r="P161" s="3"/>
      <c r="Q161" s="3"/>
      <c r="R161" s="3"/>
      <c r="S161" s="3"/>
      <c r="T161" s="3"/>
      <c r="U161" s="3"/>
      <c r="V161" s="3"/>
      <c r="W161" s="3"/>
      <c r="X161" s="3"/>
      <c r="Y161" s="3"/>
      <c r="Z161" s="3"/>
      <c r="AA161" s="3"/>
      <c r="AB161" s="3"/>
      <c r="AC161" s="3"/>
      <c r="AD161" s="3"/>
      <c r="AE161" s="3"/>
      <c r="AF161" s="3"/>
      <c r="AG161" s="3"/>
    </row>
    <row r="162">
      <c r="A162" s="2">
        <v>2018.0</v>
      </c>
      <c r="B162" s="2" t="s">
        <v>314</v>
      </c>
      <c r="D162" s="2" t="s">
        <v>475</v>
      </c>
      <c r="E162" s="2" t="s">
        <v>173</v>
      </c>
      <c r="F162" s="2">
        <v>1876171.0</v>
      </c>
      <c r="I162" s="2">
        <v>834830.0</v>
      </c>
      <c r="J162" s="2">
        <v>68554.0</v>
      </c>
      <c r="K162" s="2">
        <v>2779555.0</v>
      </c>
      <c r="L162" s="2">
        <v>1291170.0</v>
      </c>
      <c r="N162" s="2">
        <v>1488385.0</v>
      </c>
      <c r="P162" s="3"/>
      <c r="Q162" s="3"/>
      <c r="R162" s="3"/>
      <c r="S162" s="3"/>
      <c r="T162" s="3"/>
      <c r="U162" s="3"/>
      <c r="V162" s="3"/>
      <c r="W162" s="3"/>
      <c r="X162" s="3"/>
      <c r="Y162" s="3"/>
      <c r="Z162" s="3"/>
      <c r="AA162" s="3"/>
      <c r="AB162" s="3"/>
      <c r="AC162" s="3"/>
      <c r="AD162" s="3"/>
      <c r="AE162" s="3"/>
      <c r="AF162" s="3"/>
      <c r="AG162" s="3"/>
    </row>
    <row r="163">
      <c r="A163" s="2">
        <v>2018.0</v>
      </c>
      <c r="B163" s="2" t="s">
        <v>314</v>
      </c>
      <c r="D163" s="2" t="s">
        <v>475</v>
      </c>
      <c r="E163" s="2" t="s">
        <v>114</v>
      </c>
      <c r="F163" s="2">
        <v>359970.0</v>
      </c>
      <c r="I163" s="2">
        <v>308890.0</v>
      </c>
      <c r="J163" s="2">
        <v>19355.0</v>
      </c>
      <c r="K163" s="2">
        <v>688215.0</v>
      </c>
      <c r="L163" s="2">
        <v>12549.0</v>
      </c>
      <c r="N163" s="2">
        <v>675666.0</v>
      </c>
      <c r="P163" s="3"/>
      <c r="Q163" s="3"/>
      <c r="R163" s="3"/>
      <c r="S163" s="3"/>
      <c r="T163" s="3"/>
      <c r="U163" s="3"/>
      <c r="V163" s="3"/>
      <c r="W163" s="3"/>
      <c r="X163" s="3"/>
      <c r="Y163" s="3"/>
      <c r="Z163" s="3"/>
      <c r="AA163" s="3"/>
      <c r="AB163" s="3"/>
      <c r="AC163" s="3"/>
      <c r="AD163" s="3"/>
      <c r="AE163" s="3"/>
      <c r="AF163" s="3"/>
      <c r="AG163" s="3"/>
    </row>
    <row r="164">
      <c r="A164" s="2">
        <v>2018.0</v>
      </c>
      <c r="B164" s="2" t="s">
        <v>314</v>
      </c>
      <c r="D164" s="2" t="s">
        <v>480</v>
      </c>
      <c r="E164" s="2" t="s">
        <v>114</v>
      </c>
      <c r="F164" s="2">
        <v>500.0</v>
      </c>
      <c r="I164" s="2">
        <v>308890.0</v>
      </c>
      <c r="J164" s="2">
        <v>4506.0</v>
      </c>
      <c r="K164" s="2">
        <v>313896.0</v>
      </c>
      <c r="L164" s="2">
        <v>191452.0</v>
      </c>
      <c r="N164" s="2">
        <v>122444.0</v>
      </c>
      <c r="P164" s="3"/>
      <c r="Q164" s="3"/>
      <c r="R164" s="3"/>
      <c r="S164" s="3"/>
      <c r="T164" s="3"/>
      <c r="U164" s="3"/>
      <c r="V164" s="3"/>
      <c r="W164" s="3"/>
      <c r="X164" s="3"/>
      <c r="Y164" s="3"/>
      <c r="Z164" s="3"/>
      <c r="AA164" s="3"/>
      <c r="AB164" s="3"/>
      <c r="AC164" s="3"/>
      <c r="AD164" s="3"/>
      <c r="AE164" s="3"/>
      <c r="AF164" s="3"/>
      <c r="AG164" s="3"/>
    </row>
    <row r="165">
      <c r="A165" s="2">
        <v>2018.0</v>
      </c>
      <c r="B165" s="2" t="s">
        <v>483</v>
      </c>
      <c r="D165" s="2" t="s">
        <v>484</v>
      </c>
      <c r="E165" s="2" t="s">
        <v>485</v>
      </c>
      <c r="F165" s="2">
        <v>603596.0</v>
      </c>
      <c r="I165" s="2">
        <v>745430.0</v>
      </c>
      <c r="J165" s="2">
        <v>15334.0</v>
      </c>
      <c r="K165" s="2">
        <v>1364360.0</v>
      </c>
      <c r="L165" s="2">
        <v>908831.0</v>
      </c>
      <c r="N165" s="2">
        <v>455529.0</v>
      </c>
      <c r="P165" s="3"/>
      <c r="Q165" s="3"/>
      <c r="R165" s="3"/>
      <c r="S165" s="3"/>
      <c r="T165" s="3"/>
      <c r="U165" s="3"/>
      <c r="V165" s="3"/>
      <c r="W165" s="3"/>
      <c r="X165" s="3"/>
      <c r="Y165" s="3"/>
      <c r="Z165" s="3"/>
      <c r="AA165" s="3"/>
      <c r="AB165" s="3"/>
      <c r="AC165" s="3"/>
      <c r="AD165" s="3"/>
      <c r="AE165" s="3"/>
      <c r="AF165" s="3"/>
      <c r="AG165" s="3"/>
    </row>
    <row r="166">
      <c r="A166" s="2">
        <v>2018.0</v>
      </c>
      <c r="B166" s="2" t="s">
        <v>483</v>
      </c>
      <c r="D166" s="2" t="s">
        <v>484</v>
      </c>
      <c r="E166" s="2" t="s">
        <v>485</v>
      </c>
      <c r="F166" s="2">
        <v>264686.0</v>
      </c>
      <c r="I166" s="2">
        <v>100000.0</v>
      </c>
      <c r="J166" s="2">
        <v>10693.0</v>
      </c>
      <c r="K166" s="2">
        <v>375379.0</v>
      </c>
      <c r="L166" s="2">
        <v>105044.0</v>
      </c>
      <c r="N166" s="2">
        <v>270335.0</v>
      </c>
      <c r="P166" s="3"/>
      <c r="Q166" s="3"/>
      <c r="R166" s="3"/>
      <c r="S166" s="3"/>
      <c r="T166" s="3"/>
      <c r="U166" s="3"/>
      <c r="V166" s="3"/>
      <c r="W166" s="3"/>
      <c r="X166" s="3"/>
      <c r="Y166" s="3"/>
      <c r="Z166" s="3"/>
      <c r="AA166" s="3"/>
      <c r="AB166" s="3"/>
      <c r="AC166" s="3"/>
      <c r="AD166" s="3"/>
      <c r="AE166" s="3"/>
      <c r="AF166" s="3"/>
      <c r="AG166" s="3"/>
    </row>
    <row r="167">
      <c r="A167" s="2">
        <v>2018.0</v>
      </c>
      <c r="B167" s="2" t="s">
        <v>483</v>
      </c>
      <c r="D167" s="2" t="s">
        <v>484</v>
      </c>
      <c r="E167" s="2" t="s">
        <v>114</v>
      </c>
      <c r="F167" s="2">
        <v>379075.0</v>
      </c>
      <c r="J167" s="2">
        <v>4924.0</v>
      </c>
      <c r="K167" s="2">
        <v>383999.0</v>
      </c>
      <c r="L167" s="2">
        <v>379075.0</v>
      </c>
      <c r="N167" s="2">
        <v>4924.0</v>
      </c>
      <c r="P167" s="3"/>
      <c r="Q167" s="3"/>
      <c r="R167" s="3"/>
      <c r="S167" s="3"/>
      <c r="T167" s="3"/>
      <c r="U167" s="3"/>
      <c r="V167" s="3"/>
      <c r="W167" s="3"/>
      <c r="X167" s="3"/>
      <c r="Y167" s="3"/>
      <c r="Z167" s="3"/>
      <c r="AA167" s="3"/>
      <c r="AB167" s="3"/>
      <c r="AC167" s="3"/>
      <c r="AD167" s="3"/>
      <c r="AE167" s="3"/>
      <c r="AF167" s="3"/>
      <c r="AG167" s="3"/>
    </row>
    <row r="168">
      <c r="A168" s="2">
        <v>2018.0</v>
      </c>
      <c r="B168" s="2" t="s">
        <v>483</v>
      </c>
      <c r="D168" s="2" t="s">
        <v>484</v>
      </c>
      <c r="E168" s="2" t="s">
        <v>114</v>
      </c>
      <c r="F168" s="2">
        <v>0.0</v>
      </c>
      <c r="I168" s="2">
        <v>308890.0</v>
      </c>
      <c r="J168" s="2">
        <v>3891.0</v>
      </c>
      <c r="K168" s="2">
        <v>312781.0</v>
      </c>
      <c r="L168" s="2">
        <v>325.0</v>
      </c>
      <c r="N168" s="2">
        <v>312456.0</v>
      </c>
      <c r="P168" s="3"/>
      <c r="Q168" s="3"/>
      <c r="R168" s="3"/>
      <c r="S168" s="3"/>
      <c r="T168" s="3"/>
      <c r="U168" s="3"/>
      <c r="V168" s="3"/>
      <c r="W168" s="3"/>
      <c r="X168" s="3"/>
      <c r="Y168" s="3"/>
      <c r="Z168" s="3"/>
      <c r="AA168" s="3"/>
      <c r="AB168" s="3"/>
      <c r="AC168" s="3"/>
      <c r="AD168" s="3"/>
      <c r="AE168" s="3"/>
      <c r="AF168" s="3"/>
      <c r="AG168" s="3"/>
    </row>
    <row r="169">
      <c r="A169" s="2">
        <v>2018.0</v>
      </c>
      <c r="B169" s="2" t="s">
        <v>483</v>
      </c>
      <c r="D169" s="2" t="s">
        <v>484</v>
      </c>
      <c r="E169" s="2" t="s">
        <v>460</v>
      </c>
      <c r="F169" s="2">
        <v>0.0</v>
      </c>
      <c r="I169" s="2">
        <v>100000.0</v>
      </c>
      <c r="J169" s="2">
        <v>396.0</v>
      </c>
      <c r="K169" s="2">
        <v>100396.0</v>
      </c>
      <c r="L169" s="2">
        <v>12090.0</v>
      </c>
      <c r="N169" s="2">
        <v>88306.0</v>
      </c>
      <c r="P169" s="3"/>
      <c r="Q169" s="3"/>
      <c r="R169" s="3"/>
      <c r="S169" s="3"/>
      <c r="T169" s="3"/>
      <c r="U169" s="3"/>
      <c r="V169" s="3"/>
      <c r="W169" s="3"/>
      <c r="X169" s="3"/>
      <c r="Y169" s="3"/>
      <c r="Z169" s="3"/>
      <c r="AA169" s="3"/>
      <c r="AB169" s="3"/>
      <c r="AC169" s="3"/>
      <c r="AD169" s="3"/>
      <c r="AE169" s="3"/>
      <c r="AF169" s="3"/>
      <c r="AG169" s="3"/>
    </row>
    <row r="170">
      <c r="A170" s="2">
        <v>2018.0</v>
      </c>
      <c r="B170" s="2" t="s">
        <v>483</v>
      </c>
      <c r="D170" s="2" t="s">
        <v>484</v>
      </c>
      <c r="E170" s="2" t="s">
        <v>32</v>
      </c>
      <c r="F170" s="2">
        <v>18841.0</v>
      </c>
      <c r="I170" s="2">
        <v>65591.0</v>
      </c>
      <c r="J170" s="2">
        <v>718.0</v>
      </c>
      <c r="K170" s="2">
        <v>85150.0</v>
      </c>
      <c r="L170" s="2">
        <v>718.0</v>
      </c>
      <c r="N170" s="2">
        <v>84432.0</v>
      </c>
      <c r="P170" s="3"/>
      <c r="Q170" s="3"/>
      <c r="R170" s="3"/>
      <c r="S170" s="3"/>
      <c r="T170" s="3"/>
      <c r="U170" s="3"/>
      <c r="V170" s="3"/>
      <c r="W170" s="3"/>
      <c r="X170" s="3"/>
      <c r="Y170" s="3"/>
      <c r="Z170" s="3"/>
      <c r="AA170" s="3"/>
      <c r="AB170" s="3"/>
      <c r="AC170" s="3"/>
      <c r="AD170" s="3"/>
      <c r="AE170" s="3"/>
      <c r="AF170" s="3"/>
      <c r="AG170" s="3"/>
    </row>
    <row r="171">
      <c r="A171" s="2">
        <v>2018.0</v>
      </c>
      <c r="B171" s="2" t="s">
        <v>483</v>
      </c>
      <c r="D171" s="2" t="s">
        <v>487</v>
      </c>
      <c r="E171" s="2" t="s">
        <v>460</v>
      </c>
      <c r="F171" s="2">
        <v>50577.0</v>
      </c>
      <c r="I171" s="2">
        <v>50000.0</v>
      </c>
      <c r="J171" s="2">
        <v>524.0</v>
      </c>
      <c r="K171" s="2">
        <v>101101.0</v>
      </c>
      <c r="L171" s="2">
        <v>48150.0</v>
      </c>
      <c r="N171" s="2">
        <v>52951.0</v>
      </c>
      <c r="P171" s="3"/>
      <c r="Q171" s="3"/>
      <c r="R171" s="3"/>
      <c r="S171" s="3"/>
      <c r="T171" s="3"/>
      <c r="U171" s="3"/>
      <c r="V171" s="3"/>
      <c r="W171" s="3"/>
      <c r="X171" s="3"/>
      <c r="Y171" s="3"/>
      <c r="Z171" s="3"/>
      <c r="AA171" s="3"/>
      <c r="AB171" s="3"/>
      <c r="AC171" s="3"/>
      <c r="AD171" s="3"/>
      <c r="AE171" s="3"/>
      <c r="AF171" s="3"/>
      <c r="AG171" s="3"/>
    </row>
    <row r="172">
      <c r="A172" s="2">
        <v>2018.0</v>
      </c>
      <c r="B172" s="2" t="s">
        <v>483</v>
      </c>
      <c r="D172" s="2" t="s">
        <v>489</v>
      </c>
      <c r="E172" s="2" t="s">
        <v>32</v>
      </c>
      <c r="F172" s="2">
        <v>4590.0</v>
      </c>
      <c r="I172" s="2">
        <v>10015.0</v>
      </c>
      <c r="J172" s="2">
        <v>0.0</v>
      </c>
      <c r="K172" s="2">
        <v>14605.0</v>
      </c>
      <c r="L172" s="2">
        <v>0.0</v>
      </c>
      <c r="N172" s="2">
        <v>14605.0</v>
      </c>
      <c r="P172" s="3"/>
      <c r="Q172" s="3"/>
      <c r="R172" s="3"/>
      <c r="S172" s="3"/>
      <c r="T172" s="3"/>
      <c r="U172" s="3"/>
      <c r="V172" s="3"/>
      <c r="W172" s="3"/>
      <c r="X172" s="3"/>
      <c r="Y172" s="3"/>
      <c r="Z172" s="3"/>
      <c r="AA172" s="3"/>
      <c r="AB172" s="3"/>
      <c r="AC172" s="3"/>
      <c r="AD172" s="3"/>
      <c r="AE172" s="3"/>
      <c r="AF172" s="3"/>
      <c r="AG172" s="3"/>
    </row>
    <row r="173">
      <c r="A173" s="2">
        <v>2018.0</v>
      </c>
      <c r="B173" s="2" t="s">
        <v>314</v>
      </c>
      <c r="D173" s="2" t="s">
        <v>489</v>
      </c>
      <c r="E173" s="2" t="s">
        <v>485</v>
      </c>
      <c r="F173" s="2">
        <v>770172.0</v>
      </c>
      <c r="I173" s="2">
        <v>575730.0</v>
      </c>
      <c r="J173" s="2">
        <v>11270.0</v>
      </c>
      <c r="K173" s="2">
        <v>1357172.0</v>
      </c>
      <c r="L173" s="2">
        <v>1207532.0</v>
      </c>
      <c r="N173" s="2">
        <v>149640.0</v>
      </c>
      <c r="P173" s="3"/>
      <c r="Q173" s="3"/>
      <c r="R173" s="3"/>
      <c r="S173" s="3"/>
      <c r="T173" s="3"/>
      <c r="U173" s="3"/>
      <c r="V173" s="3"/>
      <c r="W173" s="3"/>
      <c r="X173" s="3"/>
      <c r="Y173" s="3"/>
      <c r="Z173" s="3"/>
      <c r="AA173" s="3"/>
      <c r="AB173" s="3"/>
      <c r="AC173" s="3"/>
      <c r="AD173" s="3"/>
      <c r="AE173" s="3"/>
      <c r="AF173" s="3"/>
      <c r="AG173" s="3"/>
    </row>
    <row r="174">
      <c r="A174" s="2">
        <v>2018.0</v>
      </c>
      <c r="B174" s="2" t="s">
        <v>483</v>
      </c>
      <c r="D174" s="2" t="s">
        <v>489</v>
      </c>
      <c r="E174" s="2" t="s">
        <v>114</v>
      </c>
      <c r="F174" s="2">
        <v>11149.0</v>
      </c>
      <c r="I174" s="2">
        <v>636702.0</v>
      </c>
      <c r="J174" s="2">
        <v>3664.0</v>
      </c>
      <c r="K174" s="2">
        <v>651515.0</v>
      </c>
      <c r="L174" s="2">
        <v>309040.0</v>
      </c>
      <c r="N174" s="2">
        <v>342475.0</v>
      </c>
      <c r="P174" s="3"/>
      <c r="Q174" s="3"/>
      <c r="R174" s="3"/>
      <c r="S174" s="3"/>
      <c r="T174" s="3"/>
      <c r="U174" s="3"/>
      <c r="V174" s="3"/>
      <c r="W174" s="3"/>
      <c r="X174" s="3"/>
      <c r="Y174" s="3"/>
      <c r="Z174" s="3"/>
      <c r="AA174" s="3"/>
      <c r="AB174" s="3"/>
      <c r="AC174" s="3"/>
      <c r="AD174" s="3"/>
      <c r="AE174" s="3"/>
      <c r="AF174" s="3"/>
      <c r="AG174" s="3"/>
    </row>
    <row r="175">
      <c r="A175" s="2">
        <v>2018.0</v>
      </c>
      <c r="B175" s="2" t="s">
        <v>483</v>
      </c>
      <c r="D175" s="2" t="s">
        <v>489</v>
      </c>
      <c r="E175" s="2" t="s">
        <v>460</v>
      </c>
      <c r="F175" s="2">
        <v>566.0</v>
      </c>
      <c r="I175" s="2">
        <v>496054.0</v>
      </c>
      <c r="J175" s="2">
        <v>407.0</v>
      </c>
      <c r="K175" s="2">
        <v>497027.0</v>
      </c>
      <c r="L175" s="2">
        <v>443099.0</v>
      </c>
      <c r="N175" s="2">
        <v>53928.0</v>
      </c>
      <c r="P175" s="3"/>
      <c r="Q175" s="3"/>
      <c r="R175" s="3"/>
      <c r="S175" s="3"/>
      <c r="T175" s="3"/>
      <c r="U175" s="3"/>
      <c r="V175" s="3"/>
      <c r="W175" s="3"/>
      <c r="X175" s="3"/>
      <c r="Y175" s="3"/>
      <c r="Z175" s="3"/>
      <c r="AA175" s="3"/>
      <c r="AB175" s="3"/>
      <c r="AC175" s="3"/>
      <c r="AD175" s="3"/>
      <c r="AE175" s="3"/>
      <c r="AF175" s="3"/>
      <c r="AG175" s="3"/>
    </row>
    <row r="176">
      <c r="A176" s="2">
        <v>2018.0</v>
      </c>
      <c r="B176" s="2" t="s">
        <v>483</v>
      </c>
      <c r="D176" s="2" t="s">
        <v>493</v>
      </c>
      <c r="E176" s="2" t="s">
        <v>32</v>
      </c>
      <c r="F176" s="2">
        <v>161203.0</v>
      </c>
      <c r="I176" s="2">
        <v>183659.0</v>
      </c>
      <c r="J176" s="2">
        <v>0.0</v>
      </c>
      <c r="K176" s="2">
        <v>344862.0</v>
      </c>
      <c r="L176" s="2">
        <v>175000.0</v>
      </c>
      <c r="N176" s="2">
        <v>169862.0</v>
      </c>
      <c r="P176" s="3"/>
      <c r="Q176" s="3"/>
      <c r="R176" s="3"/>
      <c r="S176" s="3"/>
      <c r="T176" s="3"/>
      <c r="U176" s="3"/>
      <c r="V176" s="3"/>
      <c r="W176" s="3"/>
      <c r="X176" s="3"/>
      <c r="Y176" s="3"/>
      <c r="Z176" s="3"/>
      <c r="AA176" s="3"/>
      <c r="AB176" s="3"/>
      <c r="AC176" s="3"/>
      <c r="AD176" s="3"/>
      <c r="AE176" s="3"/>
      <c r="AF176" s="3"/>
      <c r="AG176" s="3"/>
    </row>
    <row r="177">
      <c r="A177" s="2">
        <v>2018.0</v>
      </c>
      <c r="B177" s="2" t="s">
        <v>314</v>
      </c>
      <c r="D177" s="2" t="s">
        <v>493</v>
      </c>
      <c r="E177" s="2" t="s">
        <v>485</v>
      </c>
      <c r="F177" s="2">
        <v>591771.0</v>
      </c>
      <c r="I177" s="2">
        <v>486130.0</v>
      </c>
      <c r="J177" s="2">
        <v>10923.0</v>
      </c>
      <c r="K177" s="2">
        <v>1088824.0</v>
      </c>
      <c r="L177" s="2">
        <v>709390.0</v>
      </c>
      <c r="N177" s="2">
        <v>379434.0</v>
      </c>
      <c r="P177" s="3"/>
      <c r="Q177" s="3"/>
      <c r="R177" s="3"/>
      <c r="S177" s="3"/>
      <c r="T177" s="3"/>
      <c r="U177" s="3"/>
      <c r="V177" s="3"/>
      <c r="W177" s="3"/>
      <c r="X177" s="3"/>
      <c r="Y177" s="3"/>
      <c r="Z177" s="3"/>
      <c r="AA177" s="3"/>
      <c r="AB177" s="3"/>
      <c r="AC177" s="3"/>
      <c r="AD177" s="3"/>
      <c r="AE177" s="3"/>
      <c r="AF177" s="3"/>
      <c r="AG177" s="3"/>
    </row>
    <row r="178">
      <c r="A178" s="2">
        <v>2018.0</v>
      </c>
      <c r="B178" s="2" t="s">
        <v>483</v>
      </c>
      <c r="D178" s="2" t="s">
        <v>493</v>
      </c>
      <c r="E178" s="2" t="s">
        <v>114</v>
      </c>
      <c r="F178" s="2">
        <v>342660.0</v>
      </c>
      <c r="I178" s="2">
        <v>308890.0</v>
      </c>
      <c r="J178" s="2">
        <v>9338.0</v>
      </c>
      <c r="K178" s="2">
        <v>660888.0</v>
      </c>
      <c r="L178" s="2">
        <v>642113.0</v>
      </c>
      <c r="N178" s="2">
        <v>18775.0</v>
      </c>
      <c r="P178" s="3"/>
      <c r="Q178" s="3"/>
      <c r="R178" s="3"/>
      <c r="S178" s="3"/>
      <c r="T178" s="3"/>
      <c r="U178" s="3"/>
      <c r="V178" s="3"/>
      <c r="W178" s="3"/>
      <c r="X178" s="3"/>
      <c r="Y178" s="3"/>
      <c r="Z178" s="3"/>
      <c r="AA178" s="3"/>
      <c r="AB178" s="3"/>
      <c r="AC178" s="3"/>
      <c r="AD178" s="3"/>
      <c r="AE178" s="3"/>
      <c r="AF178" s="3"/>
      <c r="AG178" s="3"/>
    </row>
    <row r="179">
      <c r="A179" s="2">
        <v>2018.0</v>
      </c>
      <c r="B179" s="2" t="s">
        <v>483</v>
      </c>
      <c r="D179" s="2" t="s">
        <v>493</v>
      </c>
      <c r="E179" s="2" t="s">
        <v>460</v>
      </c>
      <c r="F179" s="2">
        <v>566.0</v>
      </c>
      <c r="I179" s="2">
        <v>103900.0</v>
      </c>
      <c r="J179" s="2">
        <v>1074.0</v>
      </c>
      <c r="K179" s="2">
        <v>105540.0</v>
      </c>
      <c r="L179" s="2">
        <v>29028.0</v>
      </c>
      <c r="N179" s="2">
        <v>76512.0</v>
      </c>
      <c r="P179" s="3"/>
      <c r="Q179" s="3"/>
      <c r="R179" s="3"/>
      <c r="S179" s="3"/>
      <c r="T179" s="3"/>
      <c r="U179" s="3"/>
      <c r="V179" s="3"/>
      <c r="W179" s="3"/>
      <c r="X179" s="3"/>
      <c r="Y179" s="3"/>
      <c r="Z179" s="3"/>
      <c r="AA179" s="3"/>
      <c r="AB179" s="3"/>
      <c r="AC179" s="3"/>
      <c r="AD179" s="3"/>
      <c r="AE179" s="3"/>
      <c r="AF179" s="3"/>
      <c r="AG179" s="3"/>
    </row>
    <row r="180">
      <c r="A180" s="2">
        <v>2018.0</v>
      </c>
      <c r="B180" s="2" t="s">
        <v>483</v>
      </c>
      <c r="D180" s="2" t="s">
        <v>496</v>
      </c>
      <c r="E180" s="2" t="s">
        <v>32</v>
      </c>
      <c r="F180" s="2">
        <v>2113.0</v>
      </c>
      <c r="I180" s="2">
        <v>65140.0</v>
      </c>
      <c r="J180" s="2">
        <v>1213.0</v>
      </c>
      <c r="K180" s="2">
        <v>68466.0</v>
      </c>
      <c r="L180" s="2">
        <v>0.0</v>
      </c>
      <c r="N180" s="2">
        <v>68466.0</v>
      </c>
      <c r="P180" s="3"/>
      <c r="Q180" s="3"/>
      <c r="R180" s="3"/>
      <c r="S180" s="3"/>
      <c r="T180" s="3"/>
      <c r="U180" s="3"/>
      <c r="V180" s="3"/>
      <c r="W180" s="3"/>
      <c r="X180" s="3"/>
      <c r="Y180" s="3"/>
      <c r="Z180" s="3"/>
      <c r="AA180" s="3"/>
      <c r="AB180" s="3"/>
      <c r="AC180" s="3"/>
      <c r="AD180" s="3"/>
      <c r="AE180" s="3"/>
      <c r="AF180" s="3"/>
      <c r="AG180" s="3"/>
    </row>
    <row r="181">
      <c r="A181" s="2">
        <v>2018.0</v>
      </c>
      <c r="B181" s="2" t="s">
        <v>483</v>
      </c>
      <c r="D181" s="2" t="s">
        <v>496</v>
      </c>
      <c r="E181" s="2" t="s">
        <v>485</v>
      </c>
      <c r="F181" s="2">
        <v>444782.0</v>
      </c>
      <c r="I181" s="2">
        <v>601330.0</v>
      </c>
      <c r="J181" s="2">
        <v>9813.0</v>
      </c>
      <c r="K181" s="2">
        <v>1055925.0</v>
      </c>
      <c r="L181" s="2">
        <v>737026.0</v>
      </c>
      <c r="N181" s="2">
        <v>318899.0</v>
      </c>
      <c r="P181" s="3"/>
      <c r="Q181" s="3"/>
      <c r="R181" s="3"/>
      <c r="S181" s="3"/>
      <c r="T181" s="3"/>
      <c r="U181" s="3"/>
      <c r="V181" s="3"/>
      <c r="W181" s="3"/>
      <c r="X181" s="3"/>
      <c r="Y181" s="3"/>
      <c r="Z181" s="3"/>
      <c r="AA181" s="3"/>
      <c r="AB181" s="3"/>
      <c r="AC181" s="3"/>
      <c r="AD181" s="3"/>
      <c r="AE181" s="3"/>
      <c r="AF181" s="3"/>
      <c r="AG181" s="3"/>
    </row>
    <row r="182">
      <c r="A182" s="2">
        <v>2018.0</v>
      </c>
      <c r="B182" s="2" t="s">
        <v>483</v>
      </c>
      <c r="D182" s="2" t="s">
        <v>496</v>
      </c>
      <c r="E182" s="2" t="s">
        <v>114</v>
      </c>
      <c r="F182" s="2">
        <v>1000.0</v>
      </c>
      <c r="I182" s="2">
        <v>154445.0</v>
      </c>
      <c r="J182" s="2">
        <v>327.0</v>
      </c>
      <c r="K182" s="2">
        <v>155772.0</v>
      </c>
      <c r="L182" s="2">
        <v>154000.0</v>
      </c>
      <c r="N182" s="2">
        <v>1772.0</v>
      </c>
      <c r="P182" s="3"/>
      <c r="Q182" s="3"/>
      <c r="R182" s="3"/>
      <c r="S182" s="3"/>
      <c r="T182" s="3"/>
      <c r="U182" s="3"/>
      <c r="V182" s="3"/>
      <c r="W182" s="3"/>
      <c r="X182" s="3"/>
      <c r="Y182" s="3"/>
      <c r="Z182" s="3"/>
      <c r="AA182" s="3"/>
      <c r="AB182" s="3"/>
      <c r="AC182" s="3"/>
      <c r="AD182" s="3"/>
      <c r="AE182" s="3"/>
      <c r="AF182" s="3"/>
      <c r="AG182" s="3"/>
    </row>
    <row r="183">
      <c r="A183" s="2">
        <v>2018.0</v>
      </c>
      <c r="B183" s="2" t="s">
        <v>483</v>
      </c>
      <c r="D183" s="2" t="s">
        <v>496</v>
      </c>
      <c r="E183" s="2" t="s">
        <v>460</v>
      </c>
      <c r="F183" s="2">
        <v>1000.0</v>
      </c>
      <c r="I183" s="2">
        <v>102500.0</v>
      </c>
      <c r="J183" s="2">
        <v>126.0</v>
      </c>
      <c r="K183" s="2">
        <v>103626.0</v>
      </c>
      <c r="L183" s="2">
        <v>81400.0</v>
      </c>
      <c r="N183" s="2">
        <v>22226.0</v>
      </c>
      <c r="P183" s="3"/>
      <c r="Q183" s="3"/>
      <c r="R183" s="3"/>
      <c r="S183" s="3"/>
      <c r="T183" s="3"/>
      <c r="U183" s="3"/>
      <c r="V183" s="3"/>
      <c r="W183" s="3"/>
      <c r="X183" s="3"/>
      <c r="Y183" s="3"/>
      <c r="Z183" s="3"/>
      <c r="AA183" s="3"/>
      <c r="AB183" s="3"/>
      <c r="AC183" s="3"/>
      <c r="AD183" s="3"/>
      <c r="AE183" s="3"/>
      <c r="AF183" s="3"/>
      <c r="AG183" s="3"/>
    </row>
    <row r="184">
      <c r="A184" s="2">
        <v>2018.0</v>
      </c>
      <c r="B184" s="2" t="s">
        <v>483</v>
      </c>
      <c r="D184" s="2" t="s">
        <v>499</v>
      </c>
      <c r="E184" s="2" t="s">
        <v>32</v>
      </c>
      <c r="F184" s="2">
        <v>27018.0</v>
      </c>
      <c r="I184" s="2">
        <v>79209.0</v>
      </c>
      <c r="J184" s="2">
        <v>1106.0</v>
      </c>
      <c r="K184" s="2">
        <v>107333.0</v>
      </c>
      <c r="L184" s="2">
        <v>43113.0</v>
      </c>
      <c r="N184" s="2">
        <v>64220.0</v>
      </c>
      <c r="P184" s="3"/>
      <c r="Q184" s="3"/>
      <c r="R184" s="3"/>
      <c r="S184" s="3"/>
      <c r="T184" s="3"/>
      <c r="U184" s="3"/>
      <c r="V184" s="3"/>
      <c r="W184" s="3"/>
      <c r="X184" s="3"/>
      <c r="Y184" s="3"/>
      <c r="Z184" s="3"/>
      <c r="AA184" s="3"/>
      <c r="AB184" s="3"/>
      <c r="AC184" s="3"/>
      <c r="AD184" s="3"/>
      <c r="AE184" s="3"/>
      <c r="AF184" s="3"/>
      <c r="AG184" s="3"/>
    </row>
    <row r="185">
      <c r="A185" s="2">
        <v>2018.0</v>
      </c>
      <c r="B185" s="2" t="s">
        <v>483</v>
      </c>
      <c r="D185" s="2" t="s">
        <v>499</v>
      </c>
      <c r="E185" s="2" t="s">
        <v>485</v>
      </c>
      <c r="F185" s="2">
        <v>321482.0</v>
      </c>
      <c r="I185" s="2">
        <v>550530.0</v>
      </c>
      <c r="J185" s="2">
        <v>8021.0</v>
      </c>
      <c r="K185" s="2">
        <v>880033.0</v>
      </c>
      <c r="L185" s="2">
        <v>683294.0</v>
      </c>
      <c r="N185" s="2">
        <v>196739.0</v>
      </c>
      <c r="P185" s="3"/>
      <c r="Q185" s="3"/>
      <c r="R185" s="3"/>
      <c r="S185" s="3"/>
      <c r="T185" s="3"/>
      <c r="U185" s="3"/>
      <c r="V185" s="3"/>
      <c r="W185" s="3"/>
      <c r="X185" s="3"/>
      <c r="Y185" s="3"/>
      <c r="Z185" s="3"/>
      <c r="AA185" s="3"/>
      <c r="AB185" s="3"/>
      <c r="AC185" s="3"/>
      <c r="AD185" s="3"/>
      <c r="AE185" s="3"/>
      <c r="AF185" s="3"/>
      <c r="AG185" s="3"/>
    </row>
    <row r="186">
      <c r="A186" s="2">
        <v>2018.0</v>
      </c>
      <c r="B186" s="2" t="s">
        <v>483</v>
      </c>
      <c r="D186" s="2" t="s">
        <v>499</v>
      </c>
      <c r="E186" s="2" t="s">
        <v>114</v>
      </c>
      <c r="F186" s="2">
        <v>372830.0</v>
      </c>
      <c r="I186" s="2">
        <v>308890.0</v>
      </c>
      <c r="J186" s="2">
        <v>12637.0</v>
      </c>
      <c r="K186" s="2">
        <v>694357.0</v>
      </c>
      <c r="L186" s="2">
        <v>466986.0</v>
      </c>
      <c r="N186" s="2">
        <v>227371.0</v>
      </c>
      <c r="P186" s="3"/>
      <c r="Q186" s="3"/>
      <c r="R186" s="3"/>
      <c r="S186" s="3"/>
      <c r="T186" s="3"/>
      <c r="U186" s="3"/>
      <c r="V186" s="3"/>
      <c r="W186" s="3"/>
      <c r="X186" s="3"/>
      <c r="Y186" s="3"/>
      <c r="Z186" s="3"/>
      <c r="AA186" s="3"/>
      <c r="AB186" s="3"/>
      <c r="AC186" s="3"/>
      <c r="AD186" s="3"/>
      <c r="AE186" s="3"/>
      <c r="AF186" s="3"/>
      <c r="AG186" s="3"/>
    </row>
    <row r="187">
      <c r="A187" s="2">
        <v>2018.0</v>
      </c>
      <c r="B187" s="2" t="s">
        <v>483</v>
      </c>
      <c r="D187" s="2" t="s">
        <v>499</v>
      </c>
      <c r="E187" s="2" t="s">
        <v>460</v>
      </c>
      <c r="F187" s="2">
        <v>489.0</v>
      </c>
      <c r="I187" s="2">
        <v>100000.0</v>
      </c>
      <c r="J187" s="2">
        <v>1019.0</v>
      </c>
      <c r="K187" s="2">
        <v>101508.0</v>
      </c>
      <c r="L187" s="2">
        <v>56.0</v>
      </c>
      <c r="N187" s="2">
        <v>101452.0</v>
      </c>
      <c r="P187" s="3"/>
      <c r="Q187" s="3"/>
      <c r="R187" s="3"/>
      <c r="S187" s="3"/>
      <c r="T187" s="3"/>
      <c r="U187" s="3"/>
      <c r="V187" s="3"/>
      <c r="W187" s="3"/>
      <c r="X187" s="3"/>
      <c r="Y187" s="3"/>
      <c r="Z187" s="3"/>
      <c r="AA187" s="3"/>
      <c r="AB187" s="3"/>
      <c r="AC187" s="3"/>
      <c r="AD187" s="3"/>
      <c r="AE187" s="3"/>
      <c r="AF187" s="3"/>
      <c r="AG187" s="3"/>
    </row>
    <row r="188">
      <c r="A188" s="2">
        <v>2018.0</v>
      </c>
      <c r="B188" s="2" t="s">
        <v>483</v>
      </c>
      <c r="D188" s="2" t="s">
        <v>501</v>
      </c>
      <c r="E188" s="2" t="s">
        <v>32</v>
      </c>
      <c r="F188" s="2">
        <v>34313.0</v>
      </c>
      <c r="I188" s="2">
        <v>29776.0</v>
      </c>
      <c r="J188" s="2">
        <v>0.0</v>
      </c>
      <c r="K188" s="2">
        <v>64089.0</v>
      </c>
      <c r="L188" s="2">
        <v>0.0</v>
      </c>
      <c r="N188" s="2">
        <v>64089.0</v>
      </c>
      <c r="P188" s="3"/>
      <c r="Q188" s="3"/>
      <c r="R188" s="3"/>
      <c r="S188" s="3"/>
      <c r="T188" s="3"/>
      <c r="U188" s="3"/>
      <c r="V188" s="3"/>
      <c r="W188" s="3"/>
      <c r="X188" s="3"/>
      <c r="Y188" s="3"/>
      <c r="Z188" s="3"/>
      <c r="AA188" s="3"/>
      <c r="AB188" s="3"/>
      <c r="AC188" s="3"/>
      <c r="AD188" s="3"/>
      <c r="AE188" s="3"/>
      <c r="AF188" s="3"/>
      <c r="AG188" s="3"/>
    </row>
    <row r="189">
      <c r="A189" s="2">
        <v>2018.0</v>
      </c>
      <c r="B189" s="2" t="s">
        <v>314</v>
      </c>
      <c r="D189" s="2" t="s">
        <v>501</v>
      </c>
      <c r="E189" s="2" t="s">
        <v>469</v>
      </c>
      <c r="F189" s="2">
        <v>5404.0</v>
      </c>
      <c r="I189" s="2">
        <v>2300.0</v>
      </c>
      <c r="J189" s="2">
        <v>281.0</v>
      </c>
      <c r="K189" s="2">
        <v>7985.0</v>
      </c>
      <c r="L189" s="2">
        <v>0.0</v>
      </c>
      <c r="N189" s="2">
        <v>7985.0</v>
      </c>
      <c r="P189" s="3"/>
      <c r="Q189" s="3"/>
      <c r="R189" s="3"/>
      <c r="S189" s="3"/>
      <c r="T189" s="3"/>
      <c r="U189" s="3"/>
      <c r="V189" s="3"/>
      <c r="W189" s="3"/>
      <c r="X189" s="3"/>
      <c r="Y189" s="3"/>
      <c r="Z189" s="3"/>
      <c r="AA189" s="3"/>
      <c r="AB189" s="3"/>
      <c r="AC189" s="3"/>
      <c r="AD189" s="3"/>
      <c r="AE189" s="3"/>
      <c r="AF189" s="3"/>
      <c r="AG189" s="3"/>
    </row>
    <row r="190">
      <c r="A190" s="2">
        <v>2018.0</v>
      </c>
      <c r="B190" s="2" t="s">
        <v>483</v>
      </c>
      <c r="D190" s="2" t="s">
        <v>501</v>
      </c>
      <c r="E190" s="2" t="s">
        <v>173</v>
      </c>
      <c r="F190" s="2">
        <v>562540.0</v>
      </c>
      <c r="I190" s="2">
        <v>1026002.0</v>
      </c>
      <c r="J190" s="2">
        <v>15332.0</v>
      </c>
      <c r="K190" s="2">
        <v>1603874.0</v>
      </c>
      <c r="L190" s="2">
        <v>484643.0</v>
      </c>
      <c r="N190" s="2">
        <v>1119231.0</v>
      </c>
      <c r="P190" s="3"/>
      <c r="Q190" s="3"/>
      <c r="R190" s="3"/>
      <c r="S190" s="3"/>
      <c r="T190" s="3"/>
      <c r="U190" s="3"/>
      <c r="V190" s="3"/>
      <c r="W190" s="3"/>
      <c r="X190" s="3"/>
      <c r="Y190" s="3"/>
      <c r="Z190" s="3"/>
      <c r="AA190" s="3"/>
      <c r="AB190" s="3"/>
      <c r="AC190" s="3"/>
      <c r="AD190" s="3"/>
      <c r="AE190" s="3"/>
      <c r="AF190" s="3"/>
      <c r="AG190" s="3"/>
    </row>
    <row r="191">
      <c r="A191" s="2">
        <v>2018.0</v>
      </c>
      <c r="B191" s="2" t="s">
        <v>483</v>
      </c>
      <c r="D191" s="2" t="s">
        <v>501</v>
      </c>
      <c r="E191" s="2" t="s">
        <v>114</v>
      </c>
      <c r="F191" s="2">
        <v>348729.0</v>
      </c>
      <c r="I191" s="2">
        <v>316330.0</v>
      </c>
      <c r="J191" s="2">
        <v>3047.0</v>
      </c>
      <c r="K191" s="2">
        <v>668106.0</v>
      </c>
      <c r="L191" s="2">
        <v>621206.0</v>
      </c>
      <c r="N191" s="2">
        <v>46900.0</v>
      </c>
      <c r="P191" s="3"/>
      <c r="Q191" s="3"/>
      <c r="R191" s="3"/>
      <c r="S191" s="3"/>
      <c r="T191" s="3"/>
      <c r="U191" s="3"/>
      <c r="V191" s="3"/>
      <c r="W191" s="3"/>
      <c r="X191" s="3"/>
      <c r="Y191" s="3"/>
      <c r="Z191" s="3"/>
      <c r="AA191" s="3"/>
      <c r="AB191" s="3"/>
      <c r="AC191" s="3"/>
      <c r="AD191" s="3"/>
      <c r="AE191" s="3"/>
      <c r="AF191" s="3"/>
      <c r="AG191" s="3"/>
    </row>
    <row r="192">
      <c r="A192" s="2">
        <v>2018.0</v>
      </c>
      <c r="B192" s="2" t="s">
        <v>483</v>
      </c>
      <c r="D192" s="2" t="s">
        <v>501</v>
      </c>
      <c r="E192" s="2" t="s">
        <v>460</v>
      </c>
      <c r="F192" s="2">
        <v>11271.0</v>
      </c>
      <c r="I192" s="2">
        <v>100000.0</v>
      </c>
      <c r="J192" s="2">
        <v>1411.0</v>
      </c>
      <c r="K192" s="2">
        <v>112682.0</v>
      </c>
      <c r="L192" s="2">
        <v>13228.0</v>
      </c>
      <c r="N192" s="2">
        <v>99454.0</v>
      </c>
      <c r="P192" s="3"/>
      <c r="Q192" s="3"/>
      <c r="R192" s="3"/>
      <c r="S192" s="3"/>
      <c r="T192" s="3"/>
      <c r="U192" s="3"/>
      <c r="V192" s="3"/>
      <c r="W192" s="3"/>
      <c r="X192" s="3"/>
      <c r="Y192" s="3"/>
      <c r="Z192" s="3"/>
      <c r="AA192" s="3"/>
      <c r="AB192" s="3"/>
      <c r="AC192" s="3"/>
      <c r="AD192" s="3"/>
      <c r="AE192" s="3"/>
      <c r="AF192" s="3"/>
      <c r="AG192" s="3"/>
    </row>
    <row r="193">
      <c r="A193" s="2">
        <v>2018.0</v>
      </c>
      <c r="B193" s="2" t="s">
        <v>483</v>
      </c>
      <c r="D193" s="2" t="s">
        <v>505</v>
      </c>
      <c r="E193" s="2" t="s">
        <v>56</v>
      </c>
      <c r="F193" s="2">
        <v>500.0</v>
      </c>
      <c r="I193" s="2">
        <v>438792.0</v>
      </c>
      <c r="J193" s="2">
        <v>2848.0</v>
      </c>
      <c r="K193" s="2">
        <v>442140.0</v>
      </c>
      <c r="L193" s="2">
        <v>309.0</v>
      </c>
      <c r="N193" s="2">
        <v>441831.0</v>
      </c>
      <c r="P193" s="3"/>
      <c r="Q193" s="3"/>
      <c r="R193" s="3"/>
      <c r="S193" s="3"/>
      <c r="T193" s="3"/>
      <c r="U193" s="3"/>
      <c r="V193" s="3"/>
      <c r="W193" s="3"/>
      <c r="X193" s="3"/>
      <c r="Y193" s="3"/>
      <c r="Z193" s="3"/>
      <c r="AA193" s="3"/>
      <c r="AB193" s="3"/>
      <c r="AC193" s="3"/>
      <c r="AD193" s="3"/>
      <c r="AE193" s="3"/>
      <c r="AF193" s="3"/>
      <c r="AG193" s="3"/>
    </row>
    <row r="194">
      <c r="A194" s="2">
        <v>2018.0</v>
      </c>
      <c r="B194" s="2" t="s">
        <v>483</v>
      </c>
      <c r="D194" s="2" t="s">
        <v>505</v>
      </c>
      <c r="E194" s="2" t="s">
        <v>173</v>
      </c>
      <c r="F194" s="2">
        <v>262955.0</v>
      </c>
      <c r="I194" s="2">
        <v>0.0</v>
      </c>
      <c r="J194" s="2">
        <v>5831.0</v>
      </c>
      <c r="K194" s="2">
        <v>268786.0</v>
      </c>
      <c r="L194" s="2">
        <v>166622.0</v>
      </c>
      <c r="N194" s="2">
        <v>102164.0</v>
      </c>
      <c r="P194" s="3"/>
      <c r="Q194" s="3"/>
      <c r="R194" s="3"/>
      <c r="S194" s="3"/>
      <c r="T194" s="3"/>
      <c r="U194" s="3"/>
      <c r="V194" s="3"/>
      <c r="W194" s="3"/>
      <c r="X194" s="3"/>
      <c r="Y194" s="3"/>
      <c r="Z194" s="3"/>
      <c r="AA194" s="3"/>
      <c r="AB194" s="3"/>
      <c r="AC194" s="3"/>
      <c r="AD194" s="3"/>
      <c r="AE194" s="3"/>
      <c r="AF194" s="3"/>
      <c r="AG194" s="3"/>
    </row>
    <row r="195">
      <c r="A195" s="2">
        <v>2018.0</v>
      </c>
      <c r="B195" s="2" t="s">
        <v>483</v>
      </c>
      <c r="D195" s="2" t="s">
        <v>505</v>
      </c>
      <c r="E195" s="2" t="s">
        <v>114</v>
      </c>
      <c r="F195" s="2">
        <v>500.0</v>
      </c>
      <c r="I195" s="2">
        <v>308890.0</v>
      </c>
      <c r="J195" s="2">
        <v>3096.0</v>
      </c>
      <c r="K195" s="2">
        <v>312486.0</v>
      </c>
      <c r="L195" s="2">
        <v>0.0</v>
      </c>
      <c r="N195" s="2">
        <v>312486.0</v>
      </c>
      <c r="P195" s="3"/>
      <c r="Q195" s="3"/>
      <c r="R195" s="3"/>
      <c r="S195" s="3"/>
      <c r="T195" s="3"/>
      <c r="U195" s="3"/>
      <c r="V195" s="3"/>
      <c r="W195" s="3"/>
      <c r="X195" s="3"/>
      <c r="Y195" s="3"/>
      <c r="Z195" s="3"/>
      <c r="AA195" s="3"/>
      <c r="AB195" s="3"/>
      <c r="AC195" s="3"/>
      <c r="AD195" s="3"/>
      <c r="AE195" s="3"/>
      <c r="AF195" s="3"/>
      <c r="AG195" s="3"/>
    </row>
    <row r="196">
      <c r="A196" s="2">
        <v>2018.0</v>
      </c>
      <c r="B196" s="2" t="s">
        <v>483</v>
      </c>
      <c r="D196" s="2" t="s">
        <v>505</v>
      </c>
      <c r="E196" s="2" t="s">
        <v>507</v>
      </c>
      <c r="F196" s="2">
        <v>912486.0</v>
      </c>
      <c r="I196" s="2">
        <v>135038.0</v>
      </c>
      <c r="J196" s="2">
        <v>25529.0</v>
      </c>
      <c r="K196" s="2">
        <v>1073053.0</v>
      </c>
      <c r="L196" s="2">
        <v>826866.0</v>
      </c>
      <c r="N196" s="2">
        <v>246187.0</v>
      </c>
      <c r="P196" s="3"/>
      <c r="Q196" s="3"/>
      <c r="R196" s="3"/>
      <c r="S196" s="3"/>
      <c r="T196" s="3"/>
      <c r="U196" s="3"/>
      <c r="V196" s="3"/>
      <c r="W196" s="3"/>
      <c r="X196" s="3"/>
      <c r="Y196" s="3"/>
      <c r="Z196" s="3"/>
      <c r="AA196" s="3"/>
      <c r="AB196" s="3"/>
      <c r="AC196" s="3"/>
      <c r="AD196" s="3"/>
      <c r="AE196" s="3"/>
      <c r="AF196" s="3"/>
      <c r="AG196" s="3"/>
    </row>
    <row r="197">
      <c r="A197" s="2">
        <v>2018.0</v>
      </c>
      <c r="B197" s="2" t="s">
        <v>483</v>
      </c>
      <c r="D197" s="2" t="s">
        <v>508</v>
      </c>
      <c r="E197" s="2" t="s">
        <v>32</v>
      </c>
      <c r="F197" s="2">
        <v>71897.0</v>
      </c>
      <c r="I197" s="2">
        <v>56592.0</v>
      </c>
      <c r="J197" s="2">
        <v>2729.0</v>
      </c>
      <c r="K197" s="2">
        <v>131218.0</v>
      </c>
      <c r="L197" s="2">
        <v>20000.0</v>
      </c>
      <c r="N197" s="2">
        <v>111218.0</v>
      </c>
      <c r="P197" s="3"/>
      <c r="Q197" s="3"/>
      <c r="R197" s="3"/>
      <c r="S197" s="3"/>
      <c r="T197" s="3"/>
      <c r="U197" s="3"/>
      <c r="V197" s="3"/>
      <c r="W197" s="3"/>
      <c r="X197" s="3"/>
      <c r="Y197" s="3"/>
      <c r="Z197" s="3"/>
      <c r="AA197" s="3"/>
      <c r="AB197" s="3"/>
      <c r="AC197" s="3"/>
      <c r="AD197" s="3"/>
      <c r="AE197" s="3"/>
      <c r="AF197" s="3"/>
      <c r="AG197" s="3"/>
    </row>
    <row r="198">
      <c r="A198" s="2">
        <v>2018.0</v>
      </c>
      <c r="B198" s="2" t="s">
        <v>483</v>
      </c>
      <c r="D198" s="2" t="s">
        <v>508</v>
      </c>
      <c r="E198" s="2" t="s">
        <v>56</v>
      </c>
      <c r="F198" s="2">
        <v>125020.0</v>
      </c>
      <c r="I198" s="2">
        <v>109800.0</v>
      </c>
      <c r="J198" s="2">
        <v>3546.0</v>
      </c>
      <c r="K198" s="2">
        <v>238366.0</v>
      </c>
      <c r="L198" s="2">
        <v>185129.0</v>
      </c>
      <c r="N198" s="2">
        <v>53237.0</v>
      </c>
      <c r="P198" s="3"/>
      <c r="Q198" s="3"/>
      <c r="R198" s="3"/>
      <c r="S198" s="3"/>
      <c r="T198" s="3"/>
      <c r="U198" s="3"/>
      <c r="V198" s="3"/>
      <c r="W198" s="3"/>
      <c r="X198" s="3"/>
      <c r="Y198" s="3"/>
      <c r="Z198" s="3"/>
      <c r="AA198" s="3"/>
      <c r="AB198" s="3"/>
      <c r="AC198" s="3"/>
      <c r="AD198" s="3"/>
      <c r="AE198" s="3"/>
      <c r="AF198" s="3"/>
      <c r="AG198" s="3"/>
    </row>
    <row r="199">
      <c r="A199" s="2">
        <v>2018.0</v>
      </c>
      <c r="B199" s="2" t="s">
        <v>483</v>
      </c>
      <c r="D199" s="2" t="s">
        <v>508</v>
      </c>
      <c r="E199" s="2" t="s">
        <v>173</v>
      </c>
      <c r="F199" s="2">
        <v>1089377.0</v>
      </c>
      <c r="I199" s="2">
        <v>448130.0</v>
      </c>
      <c r="J199" s="2">
        <v>32637.0</v>
      </c>
      <c r="K199" s="2">
        <v>1570144.0</v>
      </c>
      <c r="L199" s="2">
        <v>960236.0</v>
      </c>
      <c r="N199" s="2">
        <v>609908.0</v>
      </c>
      <c r="P199" s="3"/>
      <c r="Q199" s="3"/>
      <c r="R199" s="3"/>
      <c r="S199" s="3"/>
      <c r="T199" s="3"/>
      <c r="U199" s="3"/>
      <c r="V199" s="3"/>
      <c r="W199" s="3"/>
      <c r="X199" s="3"/>
      <c r="Y199" s="3"/>
      <c r="Z199" s="3"/>
      <c r="AA199" s="3"/>
      <c r="AB199" s="3"/>
      <c r="AC199" s="3"/>
      <c r="AD199" s="3"/>
      <c r="AE199" s="3"/>
      <c r="AF199" s="3"/>
      <c r="AG199" s="3"/>
    </row>
    <row r="200">
      <c r="A200" s="2">
        <v>2018.0</v>
      </c>
      <c r="B200" s="2" t="s">
        <v>483</v>
      </c>
      <c r="D200" s="2" t="s">
        <v>508</v>
      </c>
      <c r="E200" s="2" t="s">
        <v>114</v>
      </c>
      <c r="F200" s="2">
        <v>351938.0</v>
      </c>
      <c r="I200" s="2">
        <v>308890.0</v>
      </c>
      <c r="J200" s="2">
        <v>15241.0</v>
      </c>
      <c r="K200" s="2">
        <v>676069.0</v>
      </c>
      <c r="L200" s="2">
        <v>309040.0</v>
      </c>
      <c r="N200" s="2">
        <v>367029.0</v>
      </c>
      <c r="P200" s="3"/>
      <c r="Q200" s="3"/>
      <c r="R200" s="3"/>
      <c r="S200" s="3"/>
      <c r="T200" s="3"/>
      <c r="U200" s="3"/>
      <c r="V200" s="3"/>
      <c r="W200" s="3"/>
      <c r="X200" s="3"/>
      <c r="Y200" s="3"/>
      <c r="Z200" s="3"/>
      <c r="AA200" s="3"/>
      <c r="AB200" s="3"/>
      <c r="AC200" s="3"/>
      <c r="AD200" s="3"/>
      <c r="AE200" s="3"/>
      <c r="AF200" s="3"/>
      <c r="AG200" s="3"/>
    </row>
    <row r="201">
      <c r="A201" s="2">
        <v>2018.0</v>
      </c>
      <c r="B201" s="2" t="s">
        <v>483</v>
      </c>
      <c r="D201" s="2" t="s">
        <v>508</v>
      </c>
      <c r="E201" s="2" t="s">
        <v>460</v>
      </c>
      <c r="F201" s="2">
        <v>11072.0</v>
      </c>
      <c r="I201" s="2">
        <v>100000.0</v>
      </c>
      <c r="J201" s="2">
        <v>1323.0</v>
      </c>
      <c r="K201" s="2">
        <v>112395.0</v>
      </c>
      <c r="L201" s="2">
        <v>22980.0</v>
      </c>
      <c r="N201" s="2">
        <v>89415.0</v>
      </c>
      <c r="P201" s="3"/>
      <c r="Q201" s="3"/>
      <c r="R201" s="3"/>
      <c r="S201" s="3"/>
      <c r="T201" s="3"/>
      <c r="U201" s="3"/>
      <c r="V201" s="3"/>
      <c r="W201" s="3"/>
      <c r="X201" s="3"/>
      <c r="Y201" s="3"/>
      <c r="Z201" s="3"/>
      <c r="AA201" s="3"/>
      <c r="AB201" s="3"/>
      <c r="AC201" s="3"/>
      <c r="AD201" s="3"/>
      <c r="AE201" s="3"/>
      <c r="AF201" s="3"/>
      <c r="AG201" s="3"/>
    </row>
    <row r="202">
      <c r="A202" s="2">
        <v>2018.0</v>
      </c>
      <c r="B202" s="2" t="s">
        <v>483</v>
      </c>
      <c r="D202" s="2" t="s">
        <v>510</v>
      </c>
      <c r="E202" s="2" t="s">
        <v>32</v>
      </c>
      <c r="F202" s="2">
        <v>12000.0</v>
      </c>
      <c r="I202" s="2">
        <v>2780.0</v>
      </c>
      <c r="J202" s="2">
        <v>450.0</v>
      </c>
      <c r="K202" s="2">
        <v>15230.0</v>
      </c>
      <c r="L202" s="2">
        <v>0.0</v>
      </c>
      <c r="N202" s="2">
        <v>15230.0</v>
      </c>
      <c r="P202" s="3"/>
      <c r="Q202" s="3"/>
      <c r="R202" s="3"/>
      <c r="S202" s="3"/>
      <c r="T202" s="3"/>
      <c r="U202" s="3"/>
      <c r="V202" s="3"/>
      <c r="W202" s="3"/>
      <c r="X202" s="3"/>
      <c r="Y202" s="3"/>
      <c r="Z202" s="3"/>
      <c r="AA202" s="3"/>
      <c r="AB202" s="3"/>
      <c r="AC202" s="3"/>
      <c r="AD202" s="3"/>
      <c r="AE202" s="3"/>
      <c r="AF202" s="3"/>
      <c r="AG202" s="3"/>
    </row>
    <row r="203">
      <c r="A203" s="2">
        <v>2018.0</v>
      </c>
      <c r="B203" s="2" t="s">
        <v>483</v>
      </c>
      <c r="D203" s="2" t="s">
        <v>510</v>
      </c>
      <c r="E203" s="2" t="s">
        <v>56</v>
      </c>
      <c r="F203" s="2">
        <v>17847.0</v>
      </c>
      <c r="I203" s="2">
        <v>87638.0</v>
      </c>
      <c r="J203" s="2">
        <v>1087.0</v>
      </c>
      <c r="K203" s="2">
        <v>106572.0</v>
      </c>
      <c r="L203" s="2">
        <v>76800.0</v>
      </c>
      <c r="N203" s="2">
        <v>29772.0</v>
      </c>
      <c r="P203" s="3"/>
      <c r="Q203" s="3"/>
      <c r="R203" s="3"/>
      <c r="S203" s="3"/>
      <c r="T203" s="3"/>
      <c r="U203" s="3"/>
      <c r="V203" s="3"/>
      <c r="W203" s="3"/>
      <c r="X203" s="3"/>
      <c r="Y203" s="3"/>
      <c r="Z203" s="3"/>
      <c r="AA203" s="3"/>
      <c r="AB203" s="3"/>
      <c r="AC203" s="3"/>
      <c r="AD203" s="3"/>
      <c r="AE203" s="3"/>
      <c r="AF203" s="3"/>
      <c r="AG203" s="3"/>
    </row>
    <row r="204">
      <c r="A204" s="2">
        <v>2018.0</v>
      </c>
      <c r="B204" s="2" t="s">
        <v>483</v>
      </c>
      <c r="D204" s="2" t="s">
        <v>510</v>
      </c>
      <c r="E204" s="2" t="s">
        <v>173</v>
      </c>
      <c r="F204" s="2">
        <v>551197.0</v>
      </c>
      <c r="I204" s="2">
        <v>437292.0</v>
      </c>
      <c r="J204" s="2">
        <v>15226.0</v>
      </c>
      <c r="K204" s="2">
        <v>1003715.0</v>
      </c>
      <c r="L204" s="2">
        <v>541923.0</v>
      </c>
      <c r="N204" s="2">
        <v>461792.0</v>
      </c>
      <c r="P204" s="3"/>
      <c r="Q204" s="3"/>
      <c r="R204" s="3"/>
      <c r="S204" s="3"/>
      <c r="T204" s="3"/>
      <c r="U204" s="3"/>
      <c r="V204" s="3"/>
      <c r="W204" s="3"/>
      <c r="X204" s="3"/>
      <c r="Y204" s="3"/>
      <c r="Z204" s="3"/>
      <c r="AA204" s="3"/>
      <c r="AB204" s="3"/>
      <c r="AC204" s="3"/>
      <c r="AD204" s="3"/>
      <c r="AE204" s="3"/>
      <c r="AF204" s="3"/>
      <c r="AG204" s="3"/>
    </row>
    <row r="205">
      <c r="A205" s="2">
        <v>2018.0</v>
      </c>
      <c r="B205" s="2" t="s">
        <v>483</v>
      </c>
      <c r="D205" s="2" t="s">
        <v>510</v>
      </c>
      <c r="E205" s="2" t="s">
        <v>114</v>
      </c>
      <c r="F205" s="2">
        <v>390541.0</v>
      </c>
      <c r="I205" s="2">
        <v>308890.0</v>
      </c>
      <c r="J205" s="2">
        <v>9227.0</v>
      </c>
      <c r="K205" s="2">
        <v>708658.0</v>
      </c>
      <c r="L205" s="2">
        <v>637236.0</v>
      </c>
      <c r="N205" s="2">
        <v>71422.0</v>
      </c>
      <c r="P205" s="3"/>
      <c r="Q205" s="3"/>
      <c r="R205" s="3"/>
      <c r="S205" s="3"/>
      <c r="T205" s="3"/>
      <c r="U205" s="3"/>
      <c r="V205" s="3"/>
      <c r="W205" s="3"/>
      <c r="X205" s="3"/>
      <c r="Y205" s="3"/>
      <c r="Z205" s="3"/>
      <c r="AA205" s="3"/>
      <c r="AB205" s="3"/>
      <c r="AC205" s="3"/>
      <c r="AD205" s="3"/>
      <c r="AE205" s="3"/>
      <c r="AF205" s="3"/>
      <c r="AG205" s="3"/>
    </row>
    <row r="206">
      <c r="A206" s="2">
        <v>2018.0</v>
      </c>
      <c r="B206" s="2" t="s">
        <v>483</v>
      </c>
      <c r="D206" s="2" t="s">
        <v>510</v>
      </c>
      <c r="E206" s="2" t="s">
        <v>460</v>
      </c>
      <c r="F206" s="2">
        <v>2645.0</v>
      </c>
      <c r="I206" s="2">
        <v>100000.0</v>
      </c>
      <c r="J206" s="2">
        <v>1006.0</v>
      </c>
      <c r="K206" s="2">
        <v>103651.0</v>
      </c>
      <c r="L206" s="2">
        <v>40100.0</v>
      </c>
      <c r="N206" s="2">
        <v>63551.0</v>
      </c>
      <c r="P206" s="3"/>
      <c r="Q206" s="3"/>
      <c r="R206" s="3"/>
      <c r="S206" s="3"/>
      <c r="T206" s="3"/>
      <c r="U206" s="3"/>
      <c r="V206" s="3"/>
      <c r="W206" s="3"/>
      <c r="X206" s="3"/>
      <c r="Y206" s="3"/>
      <c r="Z206" s="3"/>
      <c r="AA206" s="3"/>
      <c r="AB206" s="3"/>
      <c r="AC206" s="3"/>
      <c r="AD206" s="3"/>
      <c r="AE206" s="3"/>
      <c r="AF206" s="3"/>
      <c r="AG206" s="3"/>
    </row>
    <row r="207">
      <c r="A207" s="2">
        <v>2018.0</v>
      </c>
      <c r="B207" s="2" t="s">
        <v>483</v>
      </c>
      <c r="D207" s="2" t="s">
        <v>518</v>
      </c>
      <c r="E207" s="2" t="s">
        <v>32</v>
      </c>
      <c r="F207" s="2">
        <v>9479.0</v>
      </c>
      <c r="I207" s="2">
        <v>6641.0</v>
      </c>
      <c r="J207" s="2">
        <v>495.0</v>
      </c>
      <c r="K207" s="2">
        <v>16615.0</v>
      </c>
      <c r="L207" s="2">
        <v>0.0</v>
      </c>
      <c r="N207" s="2">
        <v>16615.0</v>
      </c>
      <c r="P207" s="3"/>
      <c r="Q207" s="3"/>
      <c r="R207" s="3"/>
      <c r="S207" s="3"/>
      <c r="T207" s="3"/>
      <c r="U207" s="3"/>
      <c r="V207" s="3"/>
      <c r="W207" s="3"/>
      <c r="X207" s="3"/>
      <c r="Y207" s="3"/>
      <c r="Z207" s="3"/>
      <c r="AA207" s="3"/>
      <c r="AB207" s="3"/>
      <c r="AC207" s="3"/>
      <c r="AD207" s="3"/>
      <c r="AE207" s="3"/>
      <c r="AF207" s="3"/>
      <c r="AG207" s="3"/>
    </row>
    <row r="208">
      <c r="A208" s="2">
        <v>2018.0</v>
      </c>
      <c r="B208" s="2" t="s">
        <v>483</v>
      </c>
      <c r="D208" s="2" t="s">
        <v>518</v>
      </c>
      <c r="E208" s="2" t="s">
        <v>485</v>
      </c>
      <c r="F208" s="2">
        <v>853388.0</v>
      </c>
      <c r="I208" s="2">
        <v>566198.0</v>
      </c>
      <c r="J208" s="2">
        <v>11600.0</v>
      </c>
      <c r="K208" s="2">
        <v>1431186.0</v>
      </c>
      <c r="L208" s="2">
        <v>1072721.0</v>
      </c>
      <c r="N208" s="2">
        <v>358465.0</v>
      </c>
      <c r="P208" s="3"/>
      <c r="Q208" s="3"/>
      <c r="R208" s="3"/>
      <c r="S208" s="3"/>
      <c r="T208" s="3"/>
      <c r="U208" s="3"/>
      <c r="V208" s="3"/>
      <c r="W208" s="3"/>
      <c r="X208" s="3"/>
      <c r="Y208" s="3"/>
      <c r="Z208" s="3"/>
      <c r="AA208" s="3"/>
      <c r="AB208" s="3"/>
      <c r="AC208" s="3"/>
      <c r="AD208" s="3"/>
      <c r="AE208" s="3"/>
      <c r="AF208" s="3"/>
      <c r="AG208" s="3"/>
    </row>
    <row r="209">
      <c r="A209" s="2">
        <v>2018.0</v>
      </c>
      <c r="B209" s="2" t="s">
        <v>483</v>
      </c>
      <c r="D209" s="2" t="s">
        <v>518</v>
      </c>
      <c r="E209" s="2" t="s">
        <v>114</v>
      </c>
      <c r="F209" s="2">
        <v>370682.0</v>
      </c>
      <c r="I209" s="2">
        <v>312850.0</v>
      </c>
      <c r="J209" s="2">
        <v>2364.0</v>
      </c>
      <c r="K209" s="2">
        <v>685896.0</v>
      </c>
      <c r="L209" s="2">
        <v>681950.0</v>
      </c>
      <c r="N209" s="2">
        <v>3946.0</v>
      </c>
      <c r="P209" s="3"/>
      <c r="Q209" s="3"/>
      <c r="R209" s="3"/>
      <c r="S209" s="3"/>
      <c r="T209" s="3"/>
      <c r="U209" s="3"/>
      <c r="V209" s="3"/>
      <c r="W209" s="3"/>
      <c r="X209" s="3"/>
      <c r="Y209" s="3"/>
      <c r="Z209" s="3"/>
      <c r="AA209" s="3"/>
      <c r="AB209" s="3"/>
      <c r="AC209" s="3"/>
      <c r="AD209" s="3"/>
      <c r="AE209" s="3"/>
      <c r="AF209" s="3"/>
      <c r="AG209" s="3"/>
    </row>
    <row r="210">
      <c r="A210" s="2">
        <v>2018.0</v>
      </c>
      <c r="B210" s="2" t="s">
        <v>483</v>
      </c>
      <c r="D210" s="2" t="s">
        <v>518</v>
      </c>
      <c r="E210" s="2" t="s">
        <v>460</v>
      </c>
      <c r="F210" s="2">
        <v>17888.0</v>
      </c>
      <c r="I210" s="2">
        <v>100000.0</v>
      </c>
      <c r="J210" s="2">
        <v>1918.0</v>
      </c>
      <c r="K210" s="2">
        <v>119806.0</v>
      </c>
      <c r="L210" s="2">
        <v>36856.0</v>
      </c>
      <c r="N210" s="2">
        <v>82950.0</v>
      </c>
      <c r="P210" s="3"/>
      <c r="Q210" s="3"/>
      <c r="R210" s="3"/>
      <c r="S210" s="3"/>
      <c r="T210" s="3"/>
      <c r="U210" s="3"/>
      <c r="V210" s="3"/>
      <c r="W210" s="3"/>
      <c r="X210" s="3"/>
      <c r="Y210" s="3"/>
      <c r="Z210" s="3"/>
      <c r="AA210" s="3"/>
      <c r="AB210" s="3"/>
      <c r="AC210" s="3"/>
      <c r="AD210" s="3"/>
      <c r="AE210" s="3"/>
      <c r="AF210" s="3"/>
      <c r="AG210" s="3"/>
    </row>
    <row r="211">
      <c r="A211" s="2">
        <v>2018.0</v>
      </c>
      <c r="B211" s="2" t="s">
        <v>26</v>
      </c>
      <c r="D211" s="2" t="s">
        <v>466</v>
      </c>
      <c r="E211" s="2" t="s">
        <v>114</v>
      </c>
      <c r="F211" s="2">
        <v>86754.0</v>
      </c>
      <c r="I211" s="2">
        <v>669456.0</v>
      </c>
      <c r="J211" s="2">
        <v>8903.0</v>
      </c>
      <c r="K211" s="2">
        <v>765113.0</v>
      </c>
      <c r="L211" s="2">
        <v>449982.0</v>
      </c>
      <c r="N211" s="2">
        <v>315131.0</v>
      </c>
      <c r="P211" s="3"/>
      <c r="Q211" s="3"/>
      <c r="R211" s="3"/>
      <c r="S211" s="3"/>
      <c r="T211" s="3"/>
      <c r="U211" s="3"/>
      <c r="V211" s="3"/>
      <c r="W211" s="3"/>
      <c r="X211" s="3"/>
      <c r="Y211" s="3"/>
      <c r="Z211" s="3"/>
      <c r="AA211" s="3"/>
      <c r="AB211" s="3"/>
      <c r="AC211" s="3"/>
      <c r="AD211" s="3"/>
      <c r="AE211" s="3"/>
      <c r="AF211" s="3"/>
      <c r="AG211" s="3"/>
    </row>
    <row r="212">
      <c r="A212" s="2">
        <v>2018.0</v>
      </c>
      <c r="B212" s="2" t="s">
        <v>26</v>
      </c>
      <c r="D212" s="2" t="s">
        <v>466</v>
      </c>
      <c r="E212" s="2" t="s">
        <v>460</v>
      </c>
      <c r="F212" s="2">
        <v>12168.0</v>
      </c>
      <c r="I212" s="2">
        <v>0.0</v>
      </c>
      <c r="J212" s="2">
        <v>451.0</v>
      </c>
      <c r="K212" s="2">
        <v>121659.0</v>
      </c>
      <c r="L212" s="2">
        <v>0.0</v>
      </c>
      <c r="N212" s="2">
        <v>12659.0</v>
      </c>
      <c r="P212" s="3"/>
      <c r="Q212" s="3"/>
      <c r="R212" s="3"/>
      <c r="S212" s="3"/>
      <c r="T212" s="3"/>
      <c r="U212" s="3"/>
      <c r="V212" s="3"/>
      <c r="W212" s="3"/>
      <c r="X212" s="3"/>
      <c r="Y212" s="3"/>
      <c r="Z212" s="3"/>
      <c r="AA212" s="3"/>
      <c r="AB212" s="3"/>
      <c r="AC212" s="3"/>
      <c r="AD212" s="3"/>
      <c r="AE212" s="3"/>
      <c r="AF212" s="3"/>
      <c r="AG212" s="3"/>
    </row>
    <row r="213">
      <c r="A213" s="2">
        <v>2018.0</v>
      </c>
      <c r="B213" s="2" t="s">
        <v>26</v>
      </c>
      <c r="D213" s="2" t="s">
        <v>466</v>
      </c>
      <c r="E213" s="2" t="s">
        <v>32</v>
      </c>
      <c r="F213" s="2">
        <v>9079.0</v>
      </c>
      <c r="I213" s="2">
        <v>15675.0</v>
      </c>
      <c r="J213" s="2">
        <v>557.0</v>
      </c>
      <c r="K213" s="2">
        <v>25311.0</v>
      </c>
      <c r="L213" s="2">
        <v>6355.0</v>
      </c>
      <c r="N213" s="2">
        <v>311.0</v>
      </c>
      <c r="P213" s="3"/>
      <c r="Q213" s="3"/>
      <c r="R213" s="3"/>
      <c r="S213" s="3"/>
      <c r="T213" s="3"/>
      <c r="U213" s="3"/>
      <c r="V213" s="3"/>
      <c r="W213" s="3"/>
      <c r="X213" s="3"/>
      <c r="Y213" s="3"/>
      <c r="Z213" s="3"/>
      <c r="AA213" s="3"/>
      <c r="AB213" s="3"/>
      <c r="AC213" s="3"/>
      <c r="AD213" s="3"/>
      <c r="AE213" s="3"/>
      <c r="AF213" s="3"/>
      <c r="AG213" s="3"/>
    </row>
    <row r="214">
      <c r="A214" s="2">
        <v>2018.0</v>
      </c>
      <c r="B214" s="2" t="s">
        <v>26</v>
      </c>
      <c r="D214" s="2" t="s">
        <v>466</v>
      </c>
      <c r="E214" s="2" t="s">
        <v>525</v>
      </c>
      <c r="F214" s="2">
        <v>1000.0</v>
      </c>
      <c r="I214" s="2">
        <v>134400.0</v>
      </c>
      <c r="J214" s="2">
        <v>13.0</v>
      </c>
      <c r="K214" s="2">
        <v>135413.0</v>
      </c>
      <c r="L214" s="2">
        <v>134428.0</v>
      </c>
      <c r="N214" s="2">
        <v>985.0</v>
      </c>
      <c r="P214" s="3"/>
      <c r="Q214" s="3"/>
      <c r="R214" s="3"/>
      <c r="S214" s="3"/>
      <c r="T214" s="3"/>
      <c r="U214" s="3"/>
      <c r="V214" s="3"/>
      <c r="W214" s="3"/>
      <c r="X214" s="3"/>
      <c r="Y214" s="3"/>
      <c r="Z214" s="3"/>
      <c r="AA214" s="3"/>
      <c r="AB214" s="3"/>
      <c r="AC214" s="3"/>
      <c r="AD214" s="3"/>
      <c r="AE214" s="3"/>
      <c r="AF214" s="3"/>
      <c r="AG214" s="3"/>
    </row>
    <row r="215">
      <c r="A215" s="2">
        <v>2018.0</v>
      </c>
      <c r="B215" s="2" t="s">
        <v>26</v>
      </c>
      <c r="D215" s="2" t="s">
        <v>466</v>
      </c>
      <c r="E215" s="2" t="s">
        <v>173</v>
      </c>
      <c r="F215" s="2">
        <v>181288.0</v>
      </c>
      <c r="I215" s="2">
        <v>321172.0</v>
      </c>
      <c r="J215" s="2">
        <v>5422.0</v>
      </c>
      <c r="K215" s="2">
        <v>507882.0</v>
      </c>
      <c r="L215" s="2">
        <v>468973.0</v>
      </c>
      <c r="N215" s="2">
        <v>38909.0</v>
      </c>
      <c r="P215" s="3"/>
      <c r="Q215" s="3"/>
      <c r="R215" s="3"/>
      <c r="S215" s="3"/>
      <c r="T215" s="3"/>
      <c r="U215" s="3"/>
      <c r="V215" s="3"/>
      <c r="W215" s="3"/>
      <c r="X215" s="3"/>
      <c r="Y215" s="3"/>
      <c r="Z215" s="3"/>
      <c r="AA215" s="3"/>
      <c r="AB215" s="3"/>
      <c r="AC215" s="3"/>
      <c r="AD215" s="3"/>
      <c r="AE215" s="3"/>
      <c r="AF215" s="3"/>
      <c r="AG215" s="3"/>
    </row>
    <row r="216">
      <c r="A216" s="2">
        <v>2018.0</v>
      </c>
      <c r="B216" s="2" t="s">
        <v>26</v>
      </c>
      <c r="D216" s="2" t="s">
        <v>466</v>
      </c>
      <c r="E216" s="2" t="s">
        <v>114</v>
      </c>
      <c r="F216" s="2">
        <v>86754.0</v>
      </c>
      <c r="I216" s="2">
        <v>669456.0</v>
      </c>
      <c r="J216" s="2">
        <v>8903.0</v>
      </c>
      <c r="K216" s="2">
        <v>765113.0</v>
      </c>
      <c r="L216" s="2">
        <v>449982.0</v>
      </c>
      <c r="N216" s="2">
        <v>315131.0</v>
      </c>
      <c r="P216" s="3"/>
      <c r="Q216" s="3"/>
      <c r="R216" s="3"/>
      <c r="S216" s="3"/>
      <c r="T216" s="3"/>
      <c r="U216" s="3"/>
      <c r="V216" s="3"/>
      <c r="W216" s="3"/>
      <c r="X216" s="3"/>
      <c r="Y216" s="3"/>
      <c r="Z216" s="3"/>
      <c r="AA216" s="3"/>
      <c r="AB216" s="3"/>
      <c r="AC216" s="3"/>
      <c r="AD216" s="3"/>
      <c r="AE216" s="3"/>
      <c r="AF216" s="3"/>
      <c r="AG216" s="3"/>
    </row>
    <row r="217">
      <c r="A217" s="2">
        <v>2018.0</v>
      </c>
      <c r="B217" s="2" t="s">
        <v>26</v>
      </c>
      <c r="D217" s="2" t="s">
        <v>466</v>
      </c>
      <c r="E217" s="2" t="s">
        <v>460</v>
      </c>
      <c r="F217" s="4">
        <v>12168.0</v>
      </c>
      <c r="I217" s="2">
        <v>0.0</v>
      </c>
      <c r="J217" s="2">
        <v>491.0</v>
      </c>
      <c r="K217" s="4">
        <v>12659.0</v>
      </c>
      <c r="L217" s="2">
        <v>0.0</v>
      </c>
      <c r="N217" s="4">
        <v>12659.0</v>
      </c>
      <c r="P217" s="3"/>
      <c r="Q217" s="3"/>
      <c r="R217" s="3"/>
      <c r="S217" s="3"/>
      <c r="T217" s="3"/>
      <c r="U217" s="3"/>
      <c r="V217" s="3"/>
      <c r="W217" s="3"/>
      <c r="X217" s="3"/>
      <c r="Y217" s="3"/>
      <c r="Z217" s="3"/>
      <c r="AA217" s="3"/>
      <c r="AB217" s="3"/>
      <c r="AC217" s="3"/>
      <c r="AD217" s="3"/>
      <c r="AE217" s="3"/>
      <c r="AF217" s="3"/>
      <c r="AG217" s="3"/>
    </row>
    <row r="218">
      <c r="A218" s="2">
        <v>2018.0</v>
      </c>
      <c r="B218" s="2" t="s">
        <v>26</v>
      </c>
      <c r="D218" s="2" t="s">
        <v>468</v>
      </c>
      <c r="E218" s="2" t="s">
        <v>114</v>
      </c>
      <c r="F218" s="2">
        <v>117875.0</v>
      </c>
      <c r="I218" s="2">
        <v>669456.0</v>
      </c>
      <c r="J218" s="2">
        <v>6317.0</v>
      </c>
      <c r="K218" s="2">
        <v>793648.0</v>
      </c>
      <c r="L218" s="2">
        <v>392000.0</v>
      </c>
      <c r="N218" s="2">
        <v>401648.0</v>
      </c>
      <c r="P218" s="3"/>
      <c r="Q218" s="3"/>
      <c r="R218" s="3"/>
      <c r="S218" s="3"/>
      <c r="T218" s="3"/>
      <c r="U218" s="3"/>
      <c r="V218" s="3"/>
      <c r="W218" s="3"/>
      <c r="X218" s="3"/>
      <c r="Y218" s="3"/>
      <c r="Z218" s="3"/>
      <c r="AA218" s="3"/>
      <c r="AB218" s="3"/>
      <c r="AC218" s="3"/>
      <c r="AD218" s="3"/>
      <c r="AE218" s="3"/>
      <c r="AF218" s="3"/>
      <c r="AG218" s="3"/>
    </row>
    <row r="219">
      <c r="A219" s="2">
        <v>2018.0</v>
      </c>
      <c r="B219" s="2" t="s">
        <v>26</v>
      </c>
      <c r="D219" s="2" t="s">
        <v>468</v>
      </c>
      <c r="E219" s="2" t="s">
        <v>469</v>
      </c>
      <c r="F219" s="2">
        <v>130948.0</v>
      </c>
      <c r="I219" s="2">
        <v>510337.0</v>
      </c>
      <c r="J219" s="2">
        <v>4084.0</v>
      </c>
      <c r="K219" s="2">
        <v>645369.0</v>
      </c>
      <c r="L219" s="2">
        <v>482390.0</v>
      </c>
      <c r="N219" s="2">
        <v>162979.0</v>
      </c>
      <c r="P219" s="3"/>
      <c r="Q219" s="3"/>
      <c r="R219" s="3"/>
      <c r="S219" s="3"/>
      <c r="T219" s="3"/>
      <c r="U219" s="3"/>
      <c r="V219" s="3"/>
      <c r="W219" s="3"/>
      <c r="X219" s="3"/>
      <c r="Y219" s="3"/>
      <c r="Z219" s="3"/>
      <c r="AA219" s="3"/>
      <c r="AB219" s="3"/>
      <c r="AC219" s="3"/>
      <c r="AD219" s="3"/>
      <c r="AE219" s="3"/>
      <c r="AF219" s="3"/>
      <c r="AG219" s="3"/>
    </row>
    <row r="220">
      <c r="A220" s="2">
        <v>2018.0</v>
      </c>
      <c r="B220" s="2" t="s">
        <v>26</v>
      </c>
      <c r="D220" s="2" t="s">
        <v>468</v>
      </c>
      <c r="E220" s="2" t="s">
        <v>460</v>
      </c>
      <c r="F220" s="2">
        <v>941.0</v>
      </c>
      <c r="I220" s="2">
        <v>0.0</v>
      </c>
      <c r="J220" s="2">
        <v>38.0</v>
      </c>
      <c r="K220" s="2">
        <v>979.0</v>
      </c>
      <c r="L220" s="2">
        <v>0.0</v>
      </c>
      <c r="N220" s="2">
        <v>979.0</v>
      </c>
      <c r="P220" s="3"/>
      <c r="Q220" s="3"/>
      <c r="R220" s="3"/>
      <c r="S220" s="3"/>
      <c r="T220" s="3"/>
      <c r="U220" s="3"/>
      <c r="V220" s="3"/>
      <c r="W220" s="3"/>
      <c r="X220" s="3"/>
      <c r="Y220" s="3"/>
      <c r="Z220" s="3"/>
      <c r="AA220" s="3"/>
      <c r="AB220" s="3"/>
      <c r="AC220" s="3"/>
      <c r="AD220" s="3"/>
      <c r="AE220" s="3"/>
      <c r="AF220" s="3"/>
      <c r="AG220" s="3"/>
    </row>
    <row r="221">
      <c r="A221" s="2">
        <v>2018.0</v>
      </c>
      <c r="B221" s="2" t="s">
        <v>26</v>
      </c>
      <c r="D221" s="2" t="s">
        <v>468</v>
      </c>
      <c r="E221" s="2" t="s">
        <v>32</v>
      </c>
      <c r="F221" s="2">
        <v>1000.0</v>
      </c>
      <c r="I221" s="2">
        <v>0.0</v>
      </c>
      <c r="J221" s="2">
        <v>23.0</v>
      </c>
      <c r="K221" s="2">
        <v>1023.0</v>
      </c>
      <c r="L221" s="2">
        <v>28.0</v>
      </c>
      <c r="N221" s="2">
        <v>995.0</v>
      </c>
      <c r="P221" s="3"/>
      <c r="Q221" s="3"/>
      <c r="R221" s="3"/>
      <c r="S221" s="3"/>
      <c r="T221" s="3"/>
      <c r="U221" s="3"/>
      <c r="V221" s="3"/>
      <c r="W221" s="3"/>
      <c r="X221" s="3"/>
      <c r="Y221" s="3"/>
      <c r="Z221" s="3"/>
      <c r="AA221" s="3"/>
      <c r="AB221" s="3"/>
      <c r="AC221" s="3"/>
      <c r="AD221" s="3"/>
      <c r="AE221" s="3"/>
      <c r="AF221" s="3"/>
      <c r="AG221" s="3"/>
    </row>
    <row r="222">
      <c r="A222" s="2">
        <v>2018.0</v>
      </c>
      <c r="B222" s="2" t="s">
        <v>26</v>
      </c>
      <c r="D222" s="2" t="s">
        <v>472</v>
      </c>
      <c r="E222" s="2" t="s">
        <v>114</v>
      </c>
      <c r="F222" s="2">
        <v>83746.0</v>
      </c>
      <c r="I222" s="2">
        <v>670956.0</v>
      </c>
      <c r="J222" s="2">
        <v>2855.0</v>
      </c>
      <c r="K222" s="2">
        <v>757557.0</v>
      </c>
      <c r="L222" s="2">
        <v>647107.0</v>
      </c>
      <c r="N222" s="2">
        <v>110450.0</v>
      </c>
      <c r="P222" s="3"/>
      <c r="Q222" s="3"/>
      <c r="R222" s="3"/>
      <c r="S222" s="3"/>
      <c r="T222" s="3"/>
      <c r="U222" s="3"/>
      <c r="V222" s="3"/>
      <c r="W222" s="3"/>
      <c r="X222" s="3"/>
      <c r="Y222" s="3"/>
      <c r="Z222" s="3"/>
      <c r="AA222" s="3"/>
      <c r="AB222" s="3"/>
      <c r="AC222" s="3"/>
      <c r="AD222" s="3"/>
      <c r="AE222" s="3"/>
      <c r="AF222" s="3"/>
      <c r="AG222" s="3"/>
    </row>
    <row r="223">
      <c r="A223" s="2">
        <v>2018.0</v>
      </c>
      <c r="B223" s="2" t="s">
        <v>26</v>
      </c>
      <c r="D223" s="2" t="s">
        <v>472</v>
      </c>
      <c r="E223" s="2" t="s">
        <v>460</v>
      </c>
      <c r="F223" s="2">
        <v>9874.0</v>
      </c>
      <c r="I223" s="2">
        <v>0.0</v>
      </c>
      <c r="J223" s="2">
        <v>398.0</v>
      </c>
      <c r="K223" s="2">
        <v>10272.0</v>
      </c>
      <c r="L223" s="2">
        <v>0.0</v>
      </c>
      <c r="N223" s="2">
        <v>10272.0</v>
      </c>
      <c r="P223" s="3"/>
      <c r="Q223" s="3"/>
      <c r="R223" s="3"/>
      <c r="S223" s="3"/>
      <c r="T223" s="3"/>
      <c r="U223" s="3"/>
      <c r="V223" s="3"/>
      <c r="W223" s="3"/>
      <c r="X223" s="3"/>
      <c r="Y223" s="3"/>
      <c r="Z223" s="3"/>
      <c r="AA223" s="3"/>
      <c r="AB223" s="3"/>
      <c r="AC223" s="3"/>
      <c r="AD223" s="3"/>
      <c r="AE223" s="3"/>
      <c r="AF223" s="3"/>
      <c r="AG223" s="3"/>
    </row>
    <row r="224">
      <c r="A224" s="2">
        <v>2018.0</v>
      </c>
      <c r="B224" s="2" t="s">
        <v>26</v>
      </c>
      <c r="D224" s="2" t="s">
        <v>472</v>
      </c>
      <c r="E224" s="2" t="s">
        <v>173</v>
      </c>
      <c r="F224" s="2">
        <v>368013.0</v>
      </c>
      <c r="I224" s="2">
        <v>375937.0</v>
      </c>
      <c r="J224" s="2">
        <v>12368.0</v>
      </c>
      <c r="K224" s="2">
        <v>756318.0</v>
      </c>
      <c r="L224" s="2">
        <v>648915.0</v>
      </c>
      <c r="N224" s="2">
        <v>107403.0</v>
      </c>
      <c r="P224" s="3"/>
      <c r="Q224" s="3"/>
      <c r="R224" s="3"/>
      <c r="S224" s="3"/>
      <c r="T224" s="3"/>
      <c r="U224" s="3"/>
      <c r="V224" s="3"/>
      <c r="W224" s="3"/>
      <c r="X224" s="3"/>
      <c r="Y224" s="3"/>
      <c r="Z224" s="3"/>
      <c r="AA224" s="3"/>
      <c r="AB224" s="3"/>
      <c r="AC224" s="3"/>
      <c r="AD224" s="3"/>
      <c r="AE224" s="3"/>
      <c r="AF224" s="3"/>
      <c r="AG224" s="3"/>
    </row>
    <row r="225">
      <c r="A225" s="2">
        <v>2018.0</v>
      </c>
      <c r="B225" s="2" t="s">
        <v>26</v>
      </c>
      <c r="D225" s="2" t="s">
        <v>472</v>
      </c>
      <c r="E225" s="2" t="s">
        <v>32</v>
      </c>
      <c r="F225" s="2">
        <v>16066.0</v>
      </c>
      <c r="I225" s="2">
        <v>320.0</v>
      </c>
      <c r="J225" s="2">
        <v>319.0</v>
      </c>
      <c r="K225" s="2">
        <v>16705.0</v>
      </c>
      <c r="L225" s="2">
        <v>16205.0</v>
      </c>
      <c r="N225" s="2">
        <v>500.0</v>
      </c>
      <c r="P225" s="3"/>
      <c r="Q225" s="3"/>
      <c r="R225" s="3"/>
      <c r="S225" s="3"/>
      <c r="T225" s="3"/>
      <c r="U225" s="3"/>
      <c r="V225" s="3"/>
      <c r="W225" s="3"/>
      <c r="X225" s="3"/>
      <c r="Y225" s="3"/>
      <c r="Z225" s="3"/>
      <c r="AA225" s="3"/>
      <c r="AB225" s="3"/>
      <c r="AC225" s="3"/>
      <c r="AD225" s="3"/>
      <c r="AE225" s="3"/>
      <c r="AF225" s="3"/>
      <c r="AG225" s="3"/>
    </row>
    <row r="226">
      <c r="A226" s="2">
        <v>2018.0</v>
      </c>
      <c r="B226" s="2" t="s">
        <v>26</v>
      </c>
      <c r="D226" s="2" t="s">
        <v>474</v>
      </c>
      <c r="E226" s="2" t="s">
        <v>56</v>
      </c>
      <c r="F226" s="2">
        <v>1000.0</v>
      </c>
      <c r="J226" s="2">
        <v>10.0</v>
      </c>
      <c r="K226" s="2">
        <v>1010.0</v>
      </c>
      <c r="L226" s="2">
        <v>0.0</v>
      </c>
      <c r="N226" s="2">
        <v>1010.0</v>
      </c>
      <c r="P226" s="3"/>
      <c r="Q226" s="3"/>
      <c r="R226" s="3"/>
      <c r="S226" s="3"/>
      <c r="T226" s="3"/>
      <c r="U226" s="3"/>
      <c r="V226" s="3"/>
      <c r="W226" s="3"/>
      <c r="X226" s="3"/>
      <c r="Y226" s="3"/>
      <c r="Z226" s="3"/>
      <c r="AA226" s="3"/>
      <c r="AB226" s="3"/>
      <c r="AC226" s="3"/>
      <c r="AD226" s="3"/>
      <c r="AE226" s="3"/>
      <c r="AF226" s="3"/>
      <c r="AG226" s="3"/>
    </row>
    <row r="227">
      <c r="A227" s="2">
        <v>2018.0</v>
      </c>
      <c r="B227" s="2" t="s">
        <v>26</v>
      </c>
      <c r="D227" s="2" t="s">
        <v>474</v>
      </c>
      <c r="E227" s="2" t="s">
        <v>114</v>
      </c>
      <c r="F227" s="2">
        <v>1000.0</v>
      </c>
      <c r="I227" s="2">
        <v>670807.0</v>
      </c>
      <c r="J227" s="2">
        <v>2180.0</v>
      </c>
      <c r="K227" s="2">
        <v>672987.0</v>
      </c>
      <c r="L227" s="2">
        <v>429329.0</v>
      </c>
      <c r="N227" s="2">
        <v>244658.0</v>
      </c>
      <c r="P227" s="3"/>
      <c r="Q227" s="3"/>
      <c r="R227" s="3"/>
      <c r="S227" s="3"/>
      <c r="T227" s="3"/>
      <c r="U227" s="3"/>
      <c r="V227" s="3"/>
      <c r="W227" s="3"/>
      <c r="X227" s="3"/>
      <c r="Y227" s="3"/>
      <c r="Z227" s="3"/>
      <c r="AA227" s="3"/>
      <c r="AB227" s="3"/>
      <c r="AC227" s="3"/>
      <c r="AD227" s="3"/>
      <c r="AE227" s="3"/>
      <c r="AF227" s="3"/>
      <c r="AG227" s="3"/>
    </row>
    <row r="228">
      <c r="A228" s="2">
        <v>2018.0</v>
      </c>
      <c r="B228" s="2" t="s">
        <v>26</v>
      </c>
      <c r="D228" s="2" t="s">
        <v>474</v>
      </c>
      <c r="E228" s="2" t="s">
        <v>173</v>
      </c>
      <c r="F228" s="2">
        <v>122736.0</v>
      </c>
      <c r="I228" s="2">
        <v>555137.0</v>
      </c>
      <c r="J228" s="2">
        <v>4448.0</v>
      </c>
      <c r="K228" s="2">
        <v>682321.0</v>
      </c>
      <c r="L228" s="2">
        <v>564315.0</v>
      </c>
      <c r="N228" s="2">
        <v>118006.0</v>
      </c>
      <c r="P228" s="3"/>
      <c r="Q228" s="3"/>
      <c r="R228" s="3"/>
      <c r="S228" s="3"/>
      <c r="T228" s="3"/>
      <c r="U228" s="3"/>
      <c r="V228" s="3"/>
      <c r="W228" s="3"/>
      <c r="X228" s="3"/>
      <c r="Y228" s="3"/>
      <c r="Z228" s="3"/>
      <c r="AA228" s="3"/>
      <c r="AB228" s="3"/>
      <c r="AC228" s="3"/>
      <c r="AD228" s="3"/>
      <c r="AE228" s="3"/>
      <c r="AF228" s="3"/>
      <c r="AG228" s="3"/>
    </row>
    <row r="229">
      <c r="A229" s="2">
        <v>2018.0</v>
      </c>
      <c r="B229" s="2" t="s">
        <v>26</v>
      </c>
      <c r="D229" s="2" t="s">
        <v>474</v>
      </c>
      <c r="E229" s="2" t="s">
        <v>32</v>
      </c>
      <c r="F229" s="2">
        <v>4589.0</v>
      </c>
      <c r="I229" s="2">
        <v>10840.0</v>
      </c>
      <c r="J229" s="2">
        <v>193.0</v>
      </c>
      <c r="K229" s="2">
        <v>15622.0</v>
      </c>
      <c r="L229" s="2">
        <v>84183.0</v>
      </c>
      <c r="N229" s="2">
        <v>15622.0</v>
      </c>
      <c r="P229" s="3"/>
      <c r="Q229" s="3"/>
      <c r="R229" s="3"/>
      <c r="S229" s="3"/>
      <c r="T229" s="3"/>
      <c r="U229" s="3"/>
      <c r="V229" s="3"/>
      <c r="W229" s="3"/>
      <c r="X229" s="3"/>
      <c r="Y229" s="3"/>
      <c r="Z229" s="3"/>
      <c r="AA229" s="3"/>
      <c r="AB229" s="3"/>
      <c r="AC229" s="3"/>
      <c r="AD229" s="3"/>
      <c r="AE229" s="3"/>
      <c r="AF229" s="3"/>
      <c r="AG229" s="3"/>
    </row>
    <row r="230">
      <c r="A230" s="2">
        <v>2018.0</v>
      </c>
      <c r="B230" s="2" t="s">
        <v>26</v>
      </c>
      <c r="D230" s="2" t="s">
        <v>474</v>
      </c>
      <c r="E230" s="2" t="s">
        <v>460</v>
      </c>
      <c r="F230" s="2">
        <v>755.0</v>
      </c>
      <c r="I230" s="2">
        <v>0.0</v>
      </c>
      <c r="J230" s="2">
        <v>30.0</v>
      </c>
      <c r="K230" s="2">
        <v>785.0</v>
      </c>
      <c r="L230" s="2">
        <v>45.0</v>
      </c>
      <c r="N230" s="2">
        <v>740.0</v>
      </c>
      <c r="P230" s="3"/>
      <c r="Q230" s="3"/>
      <c r="R230" s="3"/>
      <c r="S230" s="3"/>
      <c r="T230" s="3"/>
      <c r="U230" s="3"/>
      <c r="V230" s="3"/>
      <c r="W230" s="3"/>
      <c r="X230" s="3"/>
      <c r="Y230" s="3"/>
      <c r="Z230" s="3"/>
      <c r="AA230" s="3"/>
      <c r="AB230" s="3"/>
      <c r="AC230" s="3"/>
      <c r="AD230" s="3"/>
      <c r="AE230" s="3"/>
      <c r="AF230" s="3"/>
      <c r="AG230" s="3"/>
    </row>
    <row r="231">
      <c r="A231" s="2">
        <v>2018.0</v>
      </c>
      <c r="B231" s="2" t="s">
        <v>26</v>
      </c>
      <c r="D231" s="2" t="s">
        <v>556</v>
      </c>
      <c r="E231" s="2" t="s">
        <v>114</v>
      </c>
      <c r="F231" s="2">
        <v>17169.0</v>
      </c>
      <c r="I231" s="2">
        <v>669456.0</v>
      </c>
      <c r="J231" s="2">
        <v>5600.0</v>
      </c>
      <c r="K231" s="2">
        <v>692225.0</v>
      </c>
      <c r="L231" s="2">
        <v>393800.0</v>
      </c>
      <c r="N231" s="2">
        <v>298425.0</v>
      </c>
      <c r="P231" s="3"/>
      <c r="Q231" s="3"/>
      <c r="R231" s="3"/>
      <c r="S231" s="3"/>
      <c r="T231" s="3"/>
      <c r="U231" s="3"/>
      <c r="V231" s="3"/>
      <c r="W231" s="3"/>
      <c r="X231" s="3"/>
      <c r="Y231" s="3"/>
      <c r="Z231" s="3"/>
      <c r="AA231" s="3"/>
      <c r="AB231" s="3"/>
      <c r="AC231" s="3"/>
      <c r="AD231" s="3"/>
      <c r="AE231" s="3"/>
      <c r="AF231" s="3"/>
      <c r="AG231" s="3"/>
    </row>
    <row r="232">
      <c r="A232" s="2">
        <v>2018.0</v>
      </c>
      <c r="B232" s="2" t="s">
        <v>26</v>
      </c>
      <c r="D232" s="2" t="s">
        <v>556</v>
      </c>
      <c r="E232" s="2" t="s">
        <v>562</v>
      </c>
      <c r="F232" s="2">
        <v>49599.0</v>
      </c>
      <c r="I232" s="2">
        <v>0.0</v>
      </c>
      <c r="J232" s="2">
        <v>649.0</v>
      </c>
      <c r="K232" s="2">
        <v>50248.0</v>
      </c>
      <c r="L232" s="2">
        <v>48000.0</v>
      </c>
      <c r="N232" s="2">
        <v>2248.0</v>
      </c>
      <c r="P232" s="3"/>
      <c r="Q232" s="3"/>
      <c r="R232" s="3"/>
      <c r="S232" s="3"/>
      <c r="T232" s="3"/>
      <c r="U232" s="3"/>
      <c r="V232" s="3"/>
      <c r="W232" s="3"/>
      <c r="X232" s="3"/>
      <c r="Y232" s="3"/>
      <c r="Z232" s="3"/>
      <c r="AA232" s="3"/>
      <c r="AB232" s="3"/>
      <c r="AC232" s="3"/>
      <c r="AD232" s="3"/>
      <c r="AE232" s="3"/>
      <c r="AF232" s="3"/>
      <c r="AG232" s="3"/>
    </row>
    <row r="233">
      <c r="A233" s="2">
        <v>2018.0</v>
      </c>
      <c r="B233" s="2" t="s">
        <v>26</v>
      </c>
      <c r="D233" s="2" t="s">
        <v>556</v>
      </c>
      <c r="E233" s="2" t="s">
        <v>460</v>
      </c>
      <c r="F233" s="2">
        <v>9874.0</v>
      </c>
      <c r="J233" s="2">
        <v>398.0</v>
      </c>
      <c r="K233" s="2">
        <v>10272.0</v>
      </c>
      <c r="L233" s="2">
        <v>0.0</v>
      </c>
      <c r="N233" s="2">
        <v>10272.0</v>
      </c>
      <c r="P233" s="3"/>
      <c r="Q233" s="3"/>
      <c r="R233" s="3"/>
      <c r="S233" s="3"/>
      <c r="T233" s="3"/>
      <c r="U233" s="3"/>
      <c r="V233" s="3"/>
      <c r="W233" s="3"/>
      <c r="X233" s="3"/>
      <c r="Y233" s="3"/>
      <c r="Z233" s="3"/>
      <c r="AA233" s="3"/>
      <c r="AB233" s="3"/>
      <c r="AC233" s="3"/>
      <c r="AD233" s="3"/>
      <c r="AE233" s="3"/>
      <c r="AF233" s="3"/>
      <c r="AG233" s="3"/>
    </row>
    <row r="234">
      <c r="A234" s="2">
        <v>2018.0</v>
      </c>
      <c r="B234" s="2" t="s">
        <v>26</v>
      </c>
      <c r="D234" s="2" t="s">
        <v>556</v>
      </c>
      <c r="E234" s="2" t="s">
        <v>32</v>
      </c>
      <c r="F234" s="2">
        <v>1000.0</v>
      </c>
      <c r="I234" s="2">
        <v>46709.0</v>
      </c>
      <c r="J234" s="2">
        <v>0.0</v>
      </c>
      <c r="K234" s="2">
        <v>47709.0</v>
      </c>
      <c r="L234" s="2">
        <v>33925.0</v>
      </c>
      <c r="N234" s="2">
        <v>13784.0</v>
      </c>
      <c r="P234" s="3"/>
      <c r="Q234" s="3"/>
      <c r="R234" s="3"/>
      <c r="S234" s="3"/>
      <c r="T234" s="3"/>
      <c r="U234" s="3"/>
      <c r="V234" s="3"/>
      <c r="W234" s="3"/>
      <c r="X234" s="3"/>
      <c r="Y234" s="3"/>
      <c r="Z234" s="3"/>
      <c r="AA234" s="3"/>
      <c r="AB234" s="3"/>
      <c r="AC234" s="3"/>
      <c r="AD234" s="3"/>
      <c r="AE234" s="3"/>
      <c r="AF234" s="3"/>
      <c r="AG234" s="3"/>
    </row>
    <row r="235">
      <c r="A235" s="2">
        <v>2018.0</v>
      </c>
      <c r="B235" s="2" t="s">
        <v>26</v>
      </c>
      <c r="D235" s="2" t="s">
        <v>506</v>
      </c>
      <c r="E235" s="2" t="s">
        <v>56</v>
      </c>
      <c r="F235" s="2">
        <v>500.0</v>
      </c>
      <c r="I235" s="2">
        <v>0.0</v>
      </c>
      <c r="J235" s="2">
        <v>0.0</v>
      </c>
      <c r="K235" s="2">
        <v>500.0</v>
      </c>
      <c r="L235" s="2">
        <v>28.0</v>
      </c>
      <c r="N235" s="2">
        <v>472.0</v>
      </c>
      <c r="P235" s="3"/>
      <c r="Q235" s="3"/>
      <c r="R235" s="3"/>
      <c r="S235" s="3"/>
      <c r="T235" s="3"/>
      <c r="U235" s="3"/>
      <c r="V235" s="3"/>
      <c r="W235" s="3"/>
      <c r="X235" s="3"/>
      <c r="Y235" s="3"/>
      <c r="Z235" s="3"/>
      <c r="AA235" s="3"/>
      <c r="AB235" s="3"/>
      <c r="AC235" s="3"/>
      <c r="AD235" s="3"/>
      <c r="AE235" s="3"/>
      <c r="AF235" s="3"/>
      <c r="AG235" s="3"/>
    </row>
    <row r="236">
      <c r="A236" s="2">
        <v>2018.0</v>
      </c>
      <c r="B236" s="2" t="s">
        <v>26</v>
      </c>
      <c r="D236" s="2" t="s">
        <v>506</v>
      </c>
      <c r="E236" s="2" t="s">
        <v>114</v>
      </c>
      <c r="F236" s="2">
        <v>17169.0</v>
      </c>
      <c r="I236" s="2">
        <v>669456.0</v>
      </c>
      <c r="J236" s="2">
        <v>5600.0</v>
      </c>
      <c r="K236" s="2">
        <v>692225.0</v>
      </c>
      <c r="L236" s="2">
        <v>393800.0</v>
      </c>
      <c r="N236" s="2">
        <v>298425.0</v>
      </c>
      <c r="P236" s="3"/>
      <c r="Q236" s="3"/>
      <c r="R236" s="3"/>
      <c r="S236" s="3"/>
      <c r="T236" s="3"/>
      <c r="U236" s="3"/>
      <c r="V236" s="3"/>
      <c r="W236" s="3"/>
      <c r="X236" s="3"/>
      <c r="Y236" s="3"/>
      <c r="Z236" s="3"/>
      <c r="AA236" s="3"/>
      <c r="AB236" s="3"/>
      <c r="AC236" s="3"/>
      <c r="AD236" s="3"/>
      <c r="AE236" s="3"/>
      <c r="AF236" s="3"/>
      <c r="AG236" s="3"/>
    </row>
    <row r="237">
      <c r="A237" s="2">
        <v>2018.0</v>
      </c>
      <c r="B237" s="2" t="s">
        <v>26</v>
      </c>
      <c r="D237" s="2" t="s">
        <v>506</v>
      </c>
      <c r="E237" s="2" t="s">
        <v>562</v>
      </c>
      <c r="F237" s="2">
        <v>116986.0</v>
      </c>
      <c r="I237" s="2">
        <v>375937.0</v>
      </c>
      <c r="J237" s="2">
        <v>6538.0</v>
      </c>
      <c r="K237" s="2">
        <v>499461.0</v>
      </c>
      <c r="L237" s="2">
        <v>295936.0</v>
      </c>
      <c r="N237" s="2">
        <v>203525.0</v>
      </c>
      <c r="P237" s="3"/>
      <c r="Q237" s="3"/>
      <c r="R237" s="3"/>
      <c r="S237" s="3"/>
      <c r="T237" s="3"/>
      <c r="U237" s="3"/>
      <c r="V237" s="3"/>
      <c r="W237" s="3"/>
      <c r="X237" s="3"/>
      <c r="Y237" s="3"/>
      <c r="Z237" s="3"/>
      <c r="AA237" s="3"/>
      <c r="AB237" s="3"/>
      <c r="AC237" s="3"/>
      <c r="AD237" s="3"/>
      <c r="AE237" s="3"/>
      <c r="AF237" s="3"/>
      <c r="AG237" s="3"/>
    </row>
    <row r="238">
      <c r="A238" s="2">
        <v>2018.0</v>
      </c>
      <c r="B238" s="2" t="s">
        <v>26</v>
      </c>
      <c r="D238" s="2" t="s">
        <v>506</v>
      </c>
      <c r="E238" s="2" t="s">
        <v>460</v>
      </c>
      <c r="F238" s="2">
        <v>2309.0</v>
      </c>
      <c r="J238" s="2">
        <v>93.0</v>
      </c>
      <c r="K238" s="2">
        <v>2402.0</v>
      </c>
      <c r="L238" s="2">
        <v>0.0</v>
      </c>
      <c r="N238" s="2">
        <v>2402.0</v>
      </c>
      <c r="P238" s="3"/>
      <c r="Q238" s="3"/>
      <c r="R238" s="3"/>
      <c r="S238" s="3"/>
      <c r="T238" s="3"/>
      <c r="U238" s="3"/>
      <c r="V238" s="3"/>
      <c r="W238" s="3"/>
      <c r="X238" s="3"/>
      <c r="Y238" s="3"/>
      <c r="Z238" s="3"/>
      <c r="AA238" s="3"/>
      <c r="AB238" s="3"/>
      <c r="AC238" s="3"/>
      <c r="AD238" s="3"/>
      <c r="AE238" s="3"/>
      <c r="AF238" s="3"/>
      <c r="AG238" s="3"/>
    </row>
    <row r="239">
      <c r="A239" s="2">
        <v>2018.0</v>
      </c>
      <c r="B239" s="2" t="s">
        <v>26</v>
      </c>
      <c r="D239" s="2" t="s">
        <v>506</v>
      </c>
      <c r="E239" s="2" t="s">
        <v>32</v>
      </c>
      <c r="F239" s="2">
        <v>18057.0</v>
      </c>
      <c r="I239" s="2">
        <v>161800.0</v>
      </c>
      <c r="J239" s="2">
        <v>775.0</v>
      </c>
      <c r="K239" s="2">
        <v>180632.0</v>
      </c>
      <c r="L239" s="2">
        <v>155813.0</v>
      </c>
      <c r="N239" s="2">
        <v>24819.0</v>
      </c>
      <c r="P239" s="3"/>
      <c r="Q239" s="3"/>
      <c r="R239" s="3"/>
      <c r="S239" s="3"/>
      <c r="T239" s="3"/>
      <c r="U239" s="3"/>
      <c r="V239" s="3"/>
      <c r="W239" s="3"/>
      <c r="X239" s="3"/>
      <c r="Y239" s="3"/>
      <c r="Z239" s="3"/>
      <c r="AA239" s="3"/>
      <c r="AB239" s="3"/>
      <c r="AC239" s="3"/>
      <c r="AD239" s="3"/>
      <c r="AE239" s="3"/>
      <c r="AF239" s="3"/>
      <c r="AG239" s="3"/>
    </row>
    <row r="240">
      <c r="A240" s="2">
        <v>2018.0</v>
      </c>
      <c r="B240" s="2" t="s">
        <v>26</v>
      </c>
      <c r="D240" s="2" t="s">
        <v>475</v>
      </c>
      <c r="E240" s="2" t="s">
        <v>173</v>
      </c>
      <c r="F240" s="2">
        <v>1488385.0</v>
      </c>
      <c r="I240" s="2">
        <v>529537.0</v>
      </c>
      <c r="J240" s="2">
        <v>50889.0</v>
      </c>
      <c r="K240" s="2">
        <v>2068811.0</v>
      </c>
      <c r="L240" s="2">
        <v>1206622.0</v>
      </c>
      <c r="N240" s="2">
        <v>862189.0</v>
      </c>
      <c r="P240" s="3"/>
      <c r="Q240" s="3"/>
      <c r="R240" s="3"/>
      <c r="S240" s="3"/>
      <c r="T240" s="3"/>
      <c r="U240" s="3"/>
      <c r="V240" s="3"/>
      <c r="W240" s="3"/>
      <c r="X240" s="3"/>
      <c r="Y240" s="3"/>
      <c r="Z240" s="3"/>
      <c r="AA240" s="3"/>
      <c r="AB240" s="3"/>
      <c r="AC240" s="3"/>
      <c r="AD240" s="3"/>
      <c r="AE240" s="3"/>
      <c r="AF240" s="3"/>
      <c r="AG240" s="3"/>
    </row>
    <row r="241">
      <c r="A241" s="2">
        <v>2018.0</v>
      </c>
      <c r="B241" s="2" t="s">
        <v>26</v>
      </c>
      <c r="D241" s="2" t="s">
        <v>475</v>
      </c>
      <c r="E241" s="2" t="s">
        <v>114</v>
      </c>
      <c r="F241" s="2">
        <v>675666.0</v>
      </c>
      <c r="I241" s="2">
        <v>669456.0</v>
      </c>
      <c r="J241" s="2">
        <v>17832.0</v>
      </c>
      <c r="K241" s="2">
        <v>1362954.0</v>
      </c>
      <c r="L241" s="2">
        <v>1050887.0</v>
      </c>
      <c r="N241" s="2">
        <v>312067.0</v>
      </c>
      <c r="P241" s="3"/>
      <c r="Q241" s="3"/>
      <c r="R241" s="3"/>
      <c r="S241" s="3"/>
      <c r="T241" s="3"/>
      <c r="U241" s="3"/>
      <c r="V241" s="3"/>
      <c r="W241" s="3"/>
      <c r="X241" s="3"/>
      <c r="Y241" s="3"/>
      <c r="Z241" s="3"/>
      <c r="AA241" s="3"/>
      <c r="AB241" s="3"/>
      <c r="AC241" s="3"/>
      <c r="AD241" s="3"/>
      <c r="AE241" s="3"/>
      <c r="AF241" s="3"/>
      <c r="AG241" s="3"/>
    </row>
    <row r="242">
      <c r="A242" s="2">
        <v>2018.0</v>
      </c>
      <c r="B242" s="2" t="s">
        <v>26</v>
      </c>
      <c r="D242" s="2" t="s">
        <v>475</v>
      </c>
      <c r="E242" s="2" t="s">
        <v>56</v>
      </c>
      <c r="F242" s="2">
        <v>500.0</v>
      </c>
      <c r="I242" s="2">
        <v>131370.0</v>
      </c>
      <c r="J242" s="2">
        <v>1317.0</v>
      </c>
      <c r="K242" s="2">
        <v>133187.0</v>
      </c>
      <c r="L242" s="2">
        <v>650.0</v>
      </c>
      <c r="N242" s="2">
        <v>132537.0</v>
      </c>
      <c r="P242" s="3"/>
      <c r="Q242" s="3"/>
      <c r="R242" s="3"/>
      <c r="S242" s="3"/>
      <c r="T242" s="3"/>
      <c r="U242" s="3"/>
      <c r="V242" s="3"/>
      <c r="W242" s="3"/>
      <c r="X242" s="3"/>
      <c r="Y242" s="3"/>
      <c r="Z242" s="3"/>
      <c r="AA242" s="3"/>
      <c r="AB242" s="3"/>
      <c r="AC242" s="3"/>
      <c r="AD242" s="3"/>
      <c r="AE242" s="3"/>
      <c r="AF242" s="3"/>
      <c r="AG242" s="3"/>
    </row>
    <row r="243">
      <c r="A243" s="2">
        <v>2018.0</v>
      </c>
      <c r="B243" s="2" t="s">
        <v>26</v>
      </c>
      <c r="D243" s="2" t="s">
        <v>503</v>
      </c>
      <c r="E243" s="2" t="s">
        <v>56</v>
      </c>
      <c r="F243" s="2">
        <v>1000.0</v>
      </c>
      <c r="I243" s="2">
        <v>134400.0</v>
      </c>
      <c r="J243" s="2">
        <v>13.0</v>
      </c>
      <c r="K243" s="2">
        <v>135413.0</v>
      </c>
      <c r="L243" s="2">
        <v>134428.0</v>
      </c>
      <c r="N243" s="2">
        <v>985.0</v>
      </c>
      <c r="P243" s="3"/>
      <c r="Q243" s="3"/>
      <c r="R243" s="3"/>
      <c r="S243" s="3"/>
      <c r="T243" s="3"/>
      <c r="U243" s="3"/>
      <c r="V243" s="3"/>
      <c r="W243" s="3"/>
      <c r="X243" s="3"/>
      <c r="Y243" s="3"/>
      <c r="Z243" s="3"/>
      <c r="AA243" s="3"/>
      <c r="AB243" s="3"/>
      <c r="AC243" s="3"/>
      <c r="AD243" s="3"/>
      <c r="AE243" s="3"/>
      <c r="AF243" s="3"/>
      <c r="AG243" s="3"/>
    </row>
    <row r="244">
      <c r="A244" s="2">
        <v>2018.0</v>
      </c>
      <c r="B244" s="2" t="s">
        <v>26</v>
      </c>
      <c r="D244" s="2" t="s">
        <v>503</v>
      </c>
      <c r="E244" s="2" t="s">
        <v>114</v>
      </c>
      <c r="F244" s="2">
        <v>13376.0</v>
      </c>
      <c r="I244" s="2">
        <v>724221.0</v>
      </c>
      <c r="J244" s="2">
        <v>4526.0</v>
      </c>
      <c r="K244" s="2">
        <v>742123.0</v>
      </c>
      <c r="L244" s="2">
        <v>488549.0</v>
      </c>
      <c r="N244" s="2">
        <v>253574.0</v>
      </c>
      <c r="P244" s="3"/>
      <c r="Q244" s="3"/>
      <c r="R244" s="3"/>
      <c r="S244" s="3"/>
      <c r="T244" s="3"/>
      <c r="U244" s="3"/>
      <c r="V244" s="3"/>
      <c r="W244" s="3"/>
      <c r="X244" s="3"/>
      <c r="Y244" s="3"/>
      <c r="Z244" s="3"/>
      <c r="AA244" s="3"/>
      <c r="AB244" s="3"/>
      <c r="AC244" s="3"/>
      <c r="AD244" s="3"/>
      <c r="AE244" s="3"/>
      <c r="AF244" s="3"/>
      <c r="AG244" s="3"/>
    </row>
    <row r="245">
      <c r="A245" s="2">
        <v>2018.0</v>
      </c>
      <c r="B245" s="2" t="s">
        <v>26</v>
      </c>
      <c r="D245" s="2" t="s">
        <v>503</v>
      </c>
      <c r="E245" s="2" t="s">
        <v>460</v>
      </c>
      <c r="F245" s="2">
        <v>56049.0</v>
      </c>
      <c r="I245" s="2">
        <v>0.0</v>
      </c>
      <c r="J245" s="2">
        <v>888.0</v>
      </c>
      <c r="K245" s="2">
        <v>56937.0</v>
      </c>
      <c r="L245" s="2">
        <v>53928.0</v>
      </c>
      <c r="N245" s="2">
        <v>3009.0</v>
      </c>
      <c r="P245" s="3"/>
      <c r="Q245" s="3"/>
      <c r="R245" s="3"/>
      <c r="S245" s="3"/>
      <c r="T245" s="3"/>
      <c r="U245" s="3"/>
      <c r="V245" s="3"/>
      <c r="W245" s="3"/>
      <c r="X245" s="3"/>
      <c r="Y245" s="3"/>
      <c r="Z245" s="3"/>
      <c r="AA245" s="3"/>
      <c r="AB245" s="3"/>
      <c r="AC245" s="3"/>
      <c r="AD245" s="3"/>
      <c r="AE245" s="3"/>
      <c r="AF245" s="3"/>
      <c r="AG245" s="3"/>
    </row>
    <row r="246">
      <c r="A246" s="2">
        <v>2018.0</v>
      </c>
      <c r="B246" s="2" t="s">
        <v>26</v>
      </c>
      <c r="D246" s="2" t="s">
        <v>503</v>
      </c>
      <c r="E246" s="2" t="s">
        <v>32</v>
      </c>
      <c r="F246" s="2">
        <v>100.0</v>
      </c>
      <c r="I246" s="2">
        <v>13225.0</v>
      </c>
      <c r="J246" s="2">
        <v>10.0</v>
      </c>
      <c r="K246" s="2">
        <v>13335.0</v>
      </c>
      <c r="L246" s="2">
        <v>6355.0</v>
      </c>
      <c r="N246" s="2">
        <v>24819.0</v>
      </c>
      <c r="P246" s="3"/>
      <c r="Q246" s="3"/>
      <c r="R246" s="3"/>
      <c r="S246" s="3"/>
      <c r="T246" s="3"/>
      <c r="U246" s="3"/>
      <c r="V246" s="3"/>
      <c r="W246" s="3"/>
      <c r="X246" s="3"/>
      <c r="Y246" s="3"/>
      <c r="Z246" s="3"/>
      <c r="AA246" s="3"/>
      <c r="AB246" s="3"/>
      <c r="AC246" s="3"/>
      <c r="AD246" s="3"/>
      <c r="AE246" s="3"/>
      <c r="AF246" s="3"/>
      <c r="AG246" s="3"/>
    </row>
    <row r="247">
      <c r="A247" s="2">
        <v>2018.0</v>
      </c>
      <c r="B247" s="2" t="s">
        <v>26</v>
      </c>
      <c r="D247" s="2" t="s">
        <v>503</v>
      </c>
      <c r="E247" s="2" t="s">
        <v>525</v>
      </c>
      <c r="F247" s="2">
        <v>1000.0</v>
      </c>
      <c r="I247" s="2">
        <v>134400.0</v>
      </c>
      <c r="J247" s="2">
        <v>13.0</v>
      </c>
      <c r="K247" s="2">
        <v>135413.0</v>
      </c>
      <c r="L247" s="2">
        <v>134428.0</v>
      </c>
      <c r="N247" s="2">
        <v>985.0</v>
      </c>
      <c r="P247" s="3"/>
      <c r="Q247" s="3"/>
      <c r="R247" s="3"/>
      <c r="S247" s="3"/>
      <c r="T247" s="3"/>
      <c r="U247" s="3"/>
      <c r="V247" s="3"/>
      <c r="W247" s="3"/>
      <c r="X247" s="3"/>
      <c r="Y247" s="3"/>
      <c r="Z247" s="3"/>
      <c r="AA247" s="3"/>
      <c r="AB247" s="3"/>
      <c r="AC247" s="3"/>
      <c r="AD247" s="3"/>
      <c r="AE247" s="3"/>
      <c r="AF247" s="3"/>
      <c r="AG247" s="3"/>
    </row>
    <row r="248">
      <c r="A248" s="2">
        <v>2018.0</v>
      </c>
      <c r="B248" s="2" t="s">
        <v>26</v>
      </c>
      <c r="D248" s="2" t="s">
        <v>480</v>
      </c>
      <c r="E248" s="2" t="s">
        <v>114</v>
      </c>
      <c r="F248" s="2">
        <v>122444.0</v>
      </c>
      <c r="I248" s="2">
        <v>669456.0</v>
      </c>
      <c r="J248" s="2">
        <v>10867.0</v>
      </c>
      <c r="K248" s="2">
        <v>802767.0</v>
      </c>
      <c r="L248" s="2">
        <v>188256.0</v>
      </c>
      <c r="N248" s="2">
        <v>614511.0</v>
      </c>
      <c r="P248" s="3"/>
      <c r="Q248" s="3"/>
      <c r="R248" s="3"/>
      <c r="S248" s="3"/>
      <c r="T248" s="3"/>
      <c r="U248" s="3"/>
      <c r="V248" s="3"/>
      <c r="W248" s="3"/>
      <c r="X248" s="3"/>
      <c r="Y248" s="3"/>
      <c r="Z248" s="3"/>
      <c r="AA248" s="3"/>
      <c r="AB248" s="3"/>
      <c r="AC248" s="3"/>
      <c r="AD248" s="3"/>
      <c r="AE248" s="3"/>
      <c r="AF248" s="3"/>
      <c r="AG248" s="3"/>
    </row>
    <row r="249">
      <c r="A249" s="2">
        <v>2018.0</v>
      </c>
      <c r="B249" s="2" t="s">
        <v>26</v>
      </c>
      <c r="D249" s="2" t="s">
        <v>480</v>
      </c>
      <c r="E249" s="2" t="s">
        <v>469</v>
      </c>
      <c r="F249" s="2">
        <v>228733.0</v>
      </c>
      <c r="I249" s="2">
        <v>500372.0</v>
      </c>
      <c r="J249" s="2">
        <v>1978.0</v>
      </c>
      <c r="K249" s="2">
        <v>731083.0</v>
      </c>
      <c r="L249" s="2">
        <v>702398.0</v>
      </c>
      <c r="N249" s="2">
        <v>28685.0</v>
      </c>
      <c r="P249" s="3"/>
      <c r="Q249" s="3"/>
      <c r="R249" s="3"/>
      <c r="S249" s="3"/>
      <c r="T249" s="3"/>
      <c r="U249" s="3"/>
      <c r="V249" s="3"/>
      <c r="W249" s="3"/>
      <c r="X249" s="3"/>
      <c r="Y249" s="3"/>
      <c r="Z249" s="3"/>
      <c r="AA249" s="3"/>
      <c r="AB249" s="3"/>
      <c r="AC249" s="3"/>
      <c r="AD249" s="3"/>
      <c r="AE249" s="3"/>
      <c r="AF249" s="3"/>
      <c r="AG249" s="3"/>
    </row>
    <row r="250">
      <c r="A250" s="2">
        <v>2018.0</v>
      </c>
      <c r="B250" s="2" t="s">
        <v>26</v>
      </c>
      <c r="D250" s="2" t="s">
        <v>480</v>
      </c>
      <c r="E250" s="2" t="s">
        <v>460</v>
      </c>
      <c r="F250" s="2">
        <v>19446.0</v>
      </c>
      <c r="I250" s="2">
        <v>99225.0</v>
      </c>
      <c r="J250" s="2">
        <v>77.0</v>
      </c>
      <c r="K250" s="2">
        <v>118748.0</v>
      </c>
      <c r="L250" s="2">
        <v>117179.0</v>
      </c>
      <c r="N250" s="2">
        <v>1569.0</v>
      </c>
      <c r="P250" s="3"/>
      <c r="Q250" s="3"/>
      <c r="R250" s="3"/>
      <c r="S250" s="3"/>
      <c r="T250" s="3"/>
      <c r="U250" s="3"/>
      <c r="V250" s="3"/>
      <c r="W250" s="3"/>
      <c r="X250" s="3"/>
      <c r="Y250" s="3"/>
      <c r="Z250" s="3"/>
      <c r="AA250" s="3"/>
      <c r="AB250" s="3"/>
      <c r="AC250" s="3"/>
      <c r="AD250" s="3"/>
      <c r="AE250" s="3"/>
      <c r="AF250" s="3"/>
      <c r="AG250" s="3"/>
    </row>
    <row r="251">
      <c r="A251" s="2">
        <v>2018.0</v>
      </c>
      <c r="B251" s="2" t="s">
        <v>26</v>
      </c>
      <c r="D251" s="2" t="s">
        <v>480</v>
      </c>
      <c r="E251" s="2" t="s">
        <v>32</v>
      </c>
      <c r="F251" s="2">
        <v>4060.0</v>
      </c>
      <c r="I251" s="2">
        <v>83106.0</v>
      </c>
      <c r="J251" s="2">
        <v>1408.0</v>
      </c>
      <c r="K251" s="2">
        <v>88574.0</v>
      </c>
      <c r="L251" s="2">
        <v>86696.0</v>
      </c>
      <c r="N251" s="2">
        <v>1878.0</v>
      </c>
      <c r="P251" s="3"/>
      <c r="Q251" s="3"/>
      <c r="R251" s="3"/>
      <c r="S251" s="3"/>
      <c r="T251" s="3"/>
      <c r="U251" s="3"/>
      <c r="V251" s="3"/>
      <c r="W251" s="3"/>
      <c r="X251" s="3"/>
      <c r="Y251" s="3"/>
      <c r="Z251" s="3"/>
      <c r="AA251" s="3"/>
      <c r="AB251" s="3"/>
      <c r="AC251" s="3"/>
      <c r="AD251" s="3"/>
      <c r="AE251" s="3"/>
      <c r="AF251" s="3"/>
      <c r="AG251" s="3"/>
    </row>
    <row r="252">
      <c r="A252" s="2">
        <v>2018.0</v>
      </c>
      <c r="B252" s="2" t="s">
        <v>26</v>
      </c>
      <c r="D252" s="2" t="s">
        <v>484</v>
      </c>
      <c r="E252" s="2" t="s">
        <v>485</v>
      </c>
      <c r="F252" s="2">
        <v>455529.0</v>
      </c>
      <c r="I252" s="2">
        <v>480337.0</v>
      </c>
      <c r="J252" s="2">
        <v>13013.0</v>
      </c>
      <c r="K252" s="2">
        <v>948879.0</v>
      </c>
      <c r="L252" s="2">
        <v>831127.0</v>
      </c>
      <c r="N252" s="2">
        <v>117752.0</v>
      </c>
      <c r="P252" s="3"/>
      <c r="Q252" s="3"/>
      <c r="R252" s="3"/>
      <c r="S252" s="3"/>
      <c r="T252" s="3"/>
      <c r="U252" s="3"/>
      <c r="V252" s="3"/>
      <c r="W252" s="3"/>
      <c r="X252" s="3"/>
      <c r="Y252" s="3"/>
      <c r="Z252" s="3"/>
      <c r="AA252" s="3"/>
      <c r="AB252" s="3"/>
      <c r="AC252" s="3"/>
      <c r="AD252" s="3"/>
      <c r="AE252" s="3"/>
      <c r="AF252" s="3"/>
      <c r="AG252" s="3"/>
    </row>
    <row r="253">
      <c r="A253" s="2">
        <v>2018.0</v>
      </c>
      <c r="B253" s="2" t="s">
        <v>26</v>
      </c>
      <c r="D253" s="2" t="s">
        <v>484</v>
      </c>
      <c r="E253" s="2" t="s">
        <v>485</v>
      </c>
      <c r="F253" s="2">
        <v>270335.0</v>
      </c>
      <c r="J253" s="2">
        <v>6027.0</v>
      </c>
      <c r="K253" s="2">
        <v>276362.0</v>
      </c>
      <c r="L253" s="2">
        <v>150526.0</v>
      </c>
      <c r="N253" s="2">
        <v>125836.0</v>
      </c>
      <c r="P253" s="3"/>
      <c r="Q253" s="3"/>
      <c r="R253" s="3"/>
      <c r="S253" s="3"/>
      <c r="T253" s="3"/>
      <c r="U253" s="3"/>
      <c r="V253" s="3"/>
      <c r="W253" s="3"/>
      <c r="X253" s="3"/>
      <c r="Y253" s="3"/>
      <c r="Z253" s="3"/>
      <c r="AA253" s="3"/>
      <c r="AB253" s="3"/>
      <c r="AC253" s="3"/>
      <c r="AD253" s="3"/>
      <c r="AE253" s="3"/>
      <c r="AF253" s="3"/>
      <c r="AG253" s="3"/>
    </row>
    <row r="254">
      <c r="A254" s="2">
        <v>2018.0</v>
      </c>
      <c r="B254" s="2" t="s">
        <v>26</v>
      </c>
      <c r="D254" s="2" t="s">
        <v>484</v>
      </c>
      <c r="E254" s="2" t="s">
        <v>114</v>
      </c>
      <c r="F254" s="2">
        <v>4924.0</v>
      </c>
      <c r="J254" s="2">
        <v>199.0</v>
      </c>
      <c r="K254" s="2">
        <v>5123.0</v>
      </c>
      <c r="L254" s="2">
        <v>0.0</v>
      </c>
      <c r="N254" s="2">
        <v>5123.0</v>
      </c>
      <c r="P254" s="3"/>
      <c r="Q254" s="3"/>
      <c r="R254" s="3"/>
      <c r="S254" s="3"/>
      <c r="T254" s="3"/>
      <c r="U254" s="3"/>
      <c r="V254" s="3"/>
      <c r="W254" s="3"/>
      <c r="X254" s="3"/>
      <c r="Y254" s="3"/>
      <c r="Z254" s="3"/>
      <c r="AA254" s="3"/>
      <c r="AB254" s="3"/>
      <c r="AC254" s="3"/>
      <c r="AD254" s="3"/>
      <c r="AE254" s="3"/>
      <c r="AF254" s="3"/>
      <c r="AG254" s="3"/>
    </row>
    <row r="255">
      <c r="A255" s="2">
        <v>2018.0</v>
      </c>
      <c r="B255" s="2" t="s">
        <v>26</v>
      </c>
      <c r="D255" s="2" t="s">
        <v>484</v>
      </c>
      <c r="E255" s="2" t="s">
        <v>114</v>
      </c>
      <c r="F255" s="2">
        <v>312456.0</v>
      </c>
      <c r="I255" s="2">
        <v>669333.0</v>
      </c>
      <c r="J255" s="2">
        <v>14101.0</v>
      </c>
      <c r="K255" s="2">
        <v>995890.0</v>
      </c>
      <c r="L255" s="2">
        <v>295512.0</v>
      </c>
      <c r="N255" s="2">
        <v>700378.0</v>
      </c>
      <c r="P255" s="3"/>
      <c r="Q255" s="3"/>
      <c r="R255" s="3"/>
      <c r="S255" s="3"/>
      <c r="T255" s="3"/>
      <c r="U255" s="3"/>
      <c r="V255" s="3"/>
      <c r="W255" s="3"/>
      <c r="X255" s="3"/>
      <c r="Y255" s="3"/>
      <c r="Z255" s="3"/>
      <c r="AA255" s="3"/>
      <c r="AB255" s="3"/>
      <c r="AC255" s="3"/>
      <c r="AD255" s="3"/>
      <c r="AE255" s="3"/>
      <c r="AF255" s="3"/>
      <c r="AG255" s="3"/>
    </row>
    <row r="256">
      <c r="A256" s="2">
        <v>2018.0</v>
      </c>
      <c r="B256" s="2" t="s">
        <v>26</v>
      </c>
      <c r="D256" s="2" t="s">
        <v>484</v>
      </c>
      <c r="E256" s="2" t="s">
        <v>460</v>
      </c>
      <c r="F256" s="2">
        <v>88306.0</v>
      </c>
      <c r="J256" s="2">
        <v>2400.0</v>
      </c>
      <c r="K256" s="2">
        <v>90706.0</v>
      </c>
      <c r="L256" s="2">
        <v>90706.0</v>
      </c>
      <c r="N256" s="2">
        <v>0.0</v>
      </c>
      <c r="P256" s="3"/>
      <c r="Q256" s="3"/>
      <c r="R256" s="3"/>
      <c r="S256" s="3"/>
      <c r="T256" s="3"/>
      <c r="U256" s="3"/>
      <c r="V256" s="3"/>
      <c r="W256" s="3"/>
      <c r="X256" s="3"/>
      <c r="Y256" s="3"/>
      <c r="Z256" s="3"/>
      <c r="AA256" s="3"/>
      <c r="AB256" s="3"/>
      <c r="AC256" s="3"/>
      <c r="AD256" s="3"/>
      <c r="AE256" s="3"/>
      <c r="AF256" s="3"/>
      <c r="AG256" s="3"/>
    </row>
    <row r="257">
      <c r="A257" s="2">
        <v>2018.0</v>
      </c>
      <c r="B257" s="2" t="s">
        <v>26</v>
      </c>
      <c r="D257" s="2" t="s">
        <v>484</v>
      </c>
      <c r="E257" s="2" t="s">
        <v>32</v>
      </c>
      <c r="F257" s="2">
        <v>84432.0</v>
      </c>
      <c r="I257" s="2">
        <v>13905.0</v>
      </c>
      <c r="J257" s="2">
        <v>3619.0</v>
      </c>
      <c r="K257" s="2">
        <v>101956.0</v>
      </c>
      <c r="L257" s="2">
        <v>5345.0</v>
      </c>
      <c r="N257" s="2">
        <v>96611.0</v>
      </c>
      <c r="P257" s="3"/>
      <c r="Q257" s="3"/>
      <c r="R257" s="3"/>
      <c r="S257" s="3"/>
      <c r="T257" s="3"/>
      <c r="U257" s="3"/>
      <c r="V257" s="3"/>
      <c r="W257" s="3"/>
      <c r="X257" s="3"/>
      <c r="Y257" s="3"/>
      <c r="Z257" s="3"/>
      <c r="AA257" s="3"/>
      <c r="AB257" s="3"/>
      <c r="AC257" s="3"/>
      <c r="AD257" s="3"/>
      <c r="AE257" s="3"/>
      <c r="AF257" s="3"/>
      <c r="AG257" s="3"/>
    </row>
    <row r="258">
      <c r="A258" s="2">
        <v>2018.0</v>
      </c>
      <c r="B258" s="2" t="s">
        <v>26</v>
      </c>
      <c r="D258" s="2" t="s">
        <v>487</v>
      </c>
      <c r="E258" s="2" t="s">
        <v>173</v>
      </c>
      <c r="F258" s="2">
        <v>586854.0</v>
      </c>
      <c r="I258" s="2">
        <v>321172.0</v>
      </c>
      <c r="J258" s="2">
        <v>14941.0</v>
      </c>
      <c r="K258" s="2">
        <v>922967.0</v>
      </c>
      <c r="L258" s="2">
        <v>763485.0</v>
      </c>
      <c r="N258" s="2">
        <v>159482.0</v>
      </c>
      <c r="P258" s="3"/>
      <c r="Q258" s="3"/>
      <c r="R258" s="3"/>
      <c r="S258" s="3"/>
      <c r="T258" s="3"/>
      <c r="U258" s="3"/>
      <c r="V258" s="3"/>
      <c r="W258" s="3"/>
      <c r="X258" s="3"/>
      <c r="Y258" s="3"/>
      <c r="Z258" s="3"/>
      <c r="AA258" s="3"/>
      <c r="AB258" s="3"/>
      <c r="AC258" s="3"/>
      <c r="AD258" s="3"/>
      <c r="AE258" s="3"/>
      <c r="AF258" s="3"/>
      <c r="AG258" s="3"/>
    </row>
    <row r="259">
      <c r="A259" s="2">
        <v>2018.0</v>
      </c>
      <c r="B259" s="2" t="s">
        <v>26</v>
      </c>
      <c r="D259" s="2" t="s">
        <v>487</v>
      </c>
      <c r="E259" s="2" t="s">
        <v>114</v>
      </c>
      <c r="F259" s="2">
        <v>154680.0</v>
      </c>
      <c r="I259" s="2">
        <v>919482.0</v>
      </c>
      <c r="J259" s="2">
        <v>9674.0</v>
      </c>
      <c r="K259" s="2">
        <v>1083836.0</v>
      </c>
      <c r="L259" s="2">
        <v>667590.0</v>
      </c>
      <c r="N259" s="2">
        <v>416246.0</v>
      </c>
      <c r="P259" s="3"/>
      <c r="Q259" s="3"/>
      <c r="R259" s="3"/>
      <c r="S259" s="3"/>
      <c r="T259" s="3"/>
      <c r="U259" s="3"/>
      <c r="V259" s="3"/>
      <c r="W259" s="3"/>
      <c r="X259" s="3"/>
      <c r="Y259" s="3"/>
      <c r="Z259" s="3"/>
      <c r="AA259" s="3"/>
      <c r="AB259" s="3"/>
      <c r="AC259" s="3"/>
      <c r="AD259" s="3"/>
      <c r="AE259" s="3"/>
      <c r="AF259" s="3"/>
      <c r="AG259" s="3"/>
    </row>
    <row r="260">
      <c r="A260" s="2">
        <v>2018.0</v>
      </c>
      <c r="B260" s="2" t="s">
        <v>26</v>
      </c>
      <c r="D260" s="2" t="s">
        <v>487</v>
      </c>
      <c r="E260" s="2" t="s">
        <v>460</v>
      </c>
      <c r="F260" s="2">
        <v>52951.0</v>
      </c>
      <c r="I260" s="2">
        <v>0.0</v>
      </c>
      <c r="J260" s="2">
        <v>1021.0</v>
      </c>
      <c r="K260" s="2">
        <v>53972.0</v>
      </c>
      <c r="L260" s="2">
        <v>49291.0</v>
      </c>
      <c r="N260" s="2">
        <v>4681.0</v>
      </c>
      <c r="P260" s="3"/>
      <c r="Q260" s="3"/>
      <c r="R260" s="3"/>
      <c r="S260" s="3"/>
      <c r="T260" s="3"/>
      <c r="U260" s="3"/>
      <c r="V260" s="3"/>
      <c r="W260" s="3"/>
      <c r="X260" s="3"/>
      <c r="Y260" s="3"/>
      <c r="Z260" s="3"/>
      <c r="AA260" s="3"/>
      <c r="AB260" s="3"/>
      <c r="AC260" s="3"/>
      <c r="AD260" s="3"/>
      <c r="AE260" s="3"/>
      <c r="AF260" s="3"/>
      <c r="AG260" s="3"/>
    </row>
    <row r="261">
      <c r="A261" s="2">
        <v>2018.0</v>
      </c>
      <c r="B261" s="2" t="s">
        <v>600</v>
      </c>
      <c r="D261" s="2" t="s">
        <v>489</v>
      </c>
      <c r="E261" s="2" t="s">
        <v>32</v>
      </c>
      <c r="F261" s="2">
        <v>14605.0</v>
      </c>
      <c r="I261" s="2">
        <v>37338.0</v>
      </c>
      <c r="J261" s="2">
        <v>0.0</v>
      </c>
      <c r="K261" s="2">
        <v>51943.0</v>
      </c>
      <c r="L261" s="2">
        <v>4500.0</v>
      </c>
      <c r="N261" s="2">
        <v>47443.0</v>
      </c>
      <c r="P261" s="3"/>
      <c r="Q261" s="3"/>
      <c r="R261" s="3"/>
      <c r="S261" s="3"/>
      <c r="T261" s="3"/>
      <c r="U261" s="3"/>
      <c r="V261" s="3"/>
      <c r="W261" s="3"/>
      <c r="X261" s="3"/>
      <c r="Y261" s="3"/>
      <c r="Z261" s="3"/>
      <c r="AA261" s="3"/>
      <c r="AB261" s="3"/>
      <c r="AC261" s="3"/>
      <c r="AD261" s="3"/>
      <c r="AE261" s="3"/>
      <c r="AF261" s="3"/>
      <c r="AG261" s="3"/>
    </row>
    <row r="262">
      <c r="A262" s="2">
        <v>2018.0</v>
      </c>
      <c r="B262" s="2" t="s">
        <v>26</v>
      </c>
      <c r="D262" s="2" t="s">
        <v>489</v>
      </c>
      <c r="E262" s="2" t="s">
        <v>485</v>
      </c>
      <c r="F262" s="2">
        <v>149640.0</v>
      </c>
      <c r="I262" s="2">
        <v>375937.0</v>
      </c>
      <c r="J262" s="2">
        <v>6228.0</v>
      </c>
      <c r="K262" s="2">
        <v>531805.0</v>
      </c>
      <c r="L262" s="2">
        <v>404249.0</v>
      </c>
      <c r="N262" s="2">
        <v>127556.0</v>
      </c>
      <c r="P262" s="3"/>
      <c r="Q262" s="3"/>
      <c r="R262" s="3"/>
      <c r="S262" s="3"/>
      <c r="T262" s="3"/>
      <c r="U262" s="3"/>
      <c r="V262" s="3"/>
      <c r="W262" s="3"/>
      <c r="X262" s="3"/>
      <c r="Y262" s="3"/>
      <c r="Z262" s="3"/>
      <c r="AA262" s="3"/>
      <c r="AB262" s="3"/>
      <c r="AC262" s="3"/>
      <c r="AD262" s="3"/>
      <c r="AE262" s="3"/>
      <c r="AF262" s="3"/>
      <c r="AG262" s="3"/>
    </row>
    <row r="263">
      <c r="A263" s="2">
        <v>2018.0</v>
      </c>
      <c r="B263" s="2" t="s">
        <v>600</v>
      </c>
      <c r="D263" s="2" t="s">
        <v>489</v>
      </c>
      <c r="E263" s="2" t="s">
        <v>114</v>
      </c>
      <c r="F263" s="2">
        <v>342475.0</v>
      </c>
      <c r="I263" s="2">
        <v>669456.0</v>
      </c>
      <c r="J263" s="2">
        <v>15547.0</v>
      </c>
      <c r="K263" s="2">
        <v>1027478.0</v>
      </c>
      <c r="L263" s="2">
        <v>600118.0</v>
      </c>
      <c r="N263" s="2">
        <v>427360.0</v>
      </c>
      <c r="P263" s="3"/>
      <c r="Q263" s="3"/>
      <c r="R263" s="3"/>
      <c r="S263" s="3"/>
      <c r="T263" s="3"/>
      <c r="U263" s="3"/>
      <c r="V263" s="3"/>
      <c r="W263" s="3"/>
      <c r="X263" s="3"/>
      <c r="Y263" s="3"/>
      <c r="Z263" s="3"/>
      <c r="AA263" s="3"/>
      <c r="AB263" s="3"/>
      <c r="AC263" s="3"/>
      <c r="AD263" s="3"/>
      <c r="AE263" s="3"/>
      <c r="AF263" s="3"/>
      <c r="AG263" s="3"/>
    </row>
    <row r="264">
      <c r="A264" s="2">
        <v>2018.0</v>
      </c>
      <c r="B264" s="2" t="s">
        <v>600</v>
      </c>
      <c r="D264" s="2" t="s">
        <v>489</v>
      </c>
      <c r="E264" s="2" t="s">
        <v>460</v>
      </c>
      <c r="F264" s="2">
        <v>53928.0</v>
      </c>
      <c r="I264" s="2">
        <v>0.0</v>
      </c>
      <c r="J264" s="2">
        <v>737.0</v>
      </c>
      <c r="K264" s="2">
        <v>54665.0</v>
      </c>
      <c r="L264" s="2">
        <v>46640.0</v>
      </c>
      <c r="N264" s="2">
        <v>8025.0</v>
      </c>
      <c r="P264" s="3"/>
      <c r="Q264" s="3"/>
      <c r="R264" s="3"/>
      <c r="S264" s="3"/>
      <c r="T264" s="3"/>
      <c r="U264" s="3"/>
      <c r="V264" s="3"/>
      <c r="W264" s="3"/>
      <c r="X264" s="3"/>
      <c r="Y264" s="3"/>
      <c r="Z264" s="3"/>
      <c r="AA264" s="3"/>
      <c r="AB264" s="3"/>
      <c r="AC264" s="3"/>
      <c r="AD264" s="3"/>
      <c r="AE264" s="3"/>
      <c r="AF264" s="3"/>
      <c r="AG264" s="3"/>
    </row>
    <row r="265">
      <c r="A265" s="2">
        <v>2018.0</v>
      </c>
      <c r="B265" s="2" t="s">
        <v>600</v>
      </c>
      <c r="D265" s="2" t="s">
        <v>493</v>
      </c>
      <c r="E265" s="2" t="s">
        <v>32</v>
      </c>
      <c r="F265" s="2">
        <v>170162.0</v>
      </c>
      <c r="I265" s="2">
        <v>352272.0</v>
      </c>
      <c r="J265" s="2">
        <v>0.0</v>
      </c>
      <c r="K265" s="2">
        <v>522434.0</v>
      </c>
      <c r="L265" s="2">
        <v>411721.0</v>
      </c>
      <c r="N265" s="2">
        <v>110713.0</v>
      </c>
      <c r="P265" s="3"/>
      <c r="Q265" s="3"/>
      <c r="R265" s="3"/>
      <c r="S265" s="3"/>
      <c r="T265" s="3"/>
      <c r="U265" s="3"/>
      <c r="V265" s="3"/>
      <c r="W265" s="3"/>
      <c r="X265" s="3"/>
      <c r="Y265" s="3"/>
      <c r="Z265" s="3"/>
      <c r="AA265" s="3"/>
      <c r="AB265" s="3"/>
      <c r="AC265" s="3"/>
      <c r="AD265" s="3"/>
      <c r="AE265" s="3"/>
      <c r="AF265" s="3"/>
      <c r="AG265" s="3"/>
    </row>
    <row r="266">
      <c r="A266" s="2">
        <v>2018.0</v>
      </c>
      <c r="B266" s="2" t="s">
        <v>26</v>
      </c>
      <c r="D266" s="2" t="s">
        <v>493</v>
      </c>
      <c r="E266" s="2" t="s">
        <v>485</v>
      </c>
      <c r="F266" s="2">
        <v>379434.0</v>
      </c>
      <c r="I266" s="2">
        <v>375937.0</v>
      </c>
      <c r="J266" s="2">
        <v>10265.0</v>
      </c>
      <c r="K266" s="2">
        <v>765636.0</v>
      </c>
      <c r="L266" s="2">
        <v>492721.0</v>
      </c>
      <c r="N266" s="2">
        <v>272915.0</v>
      </c>
      <c r="P266" s="3"/>
      <c r="Q266" s="3"/>
      <c r="R266" s="3"/>
      <c r="S266" s="3"/>
      <c r="T266" s="3"/>
      <c r="U266" s="3"/>
      <c r="V266" s="3"/>
      <c r="W266" s="3"/>
      <c r="X266" s="3"/>
      <c r="Y266" s="3"/>
      <c r="Z266" s="3"/>
      <c r="AA266" s="3"/>
      <c r="AB266" s="3"/>
      <c r="AC266" s="3"/>
      <c r="AD266" s="3"/>
      <c r="AE266" s="3"/>
      <c r="AF266" s="3"/>
      <c r="AG266" s="3"/>
    </row>
    <row r="267">
      <c r="A267" s="2">
        <v>2018.0</v>
      </c>
      <c r="B267" s="2" t="s">
        <v>600</v>
      </c>
      <c r="D267" s="2" t="s">
        <v>493</v>
      </c>
      <c r="E267" s="2" t="s">
        <v>114</v>
      </c>
      <c r="F267" s="2">
        <v>18775.0</v>
      </c>
      <c r="I267" s="2">
        <v>669456.0</v>
      </c>
      <c r="J267" s="2">
        <v>8902.0</v>
      </c>
      <c r="K267" s="2">
        <v>697133.0</v>
      </c>
      <c r="L267" s="2">
        <v>669148.0</v>
      </c>
      <c r="N267" s="2">
        <v>27985.0</v>
      </c>
      <c r="P267" s="3"/>
      <c r="Q267" s="3"/>
      <c r="R267" s="3"/>
      <c r="S267" s="3"/>
      <c r="T267" s="3"/>
      <c r="U267" s="3"/>
      <c r="V267" s="3"/>
      <c r="W267" s="3"/>
      <c r="X267" s="3"/>
      <c r="Y267" s="3"/>
      <c r="Z267" s="3"/>
      <c r="AA267" s="3"/>
      <c r="AB267" s="3"/>
      <c r="AC267" s="3"/>
      <c r="AD267" s="3"/>
      <c r="AE267" s="3"/>
      <c r="AF267" s="3"/>
      <c r="AG267" s="3"/>
    </row>
    <row r="268">
      <c r="A268" s="2">
        <v>2018.0</v>
      </c>
      <c r="B268" s="2" t="s">
        <v>600</v>
      </c>
      <c r="D268" s="2" t="s">
        <v>493</v>
      </c>
      <c r="E268" s="2" t="s">
        <v>460</v>
      </c>
      <c r="F268" s="2">
        <v>76512.0</v>
      </c>
      <c r="I268" s="2">
        <v>0.0</v>
      </c>
      <c r="J268" s="2">
        <v>1947.0</v>
      </c>
      <c r="K268" s="2">
        <v>78459.0</v>
      </c>
      <c r="L268" s="2">
        <v>31000.0</v>
      </c>
      <c r="N268" s="2">
        <v>47459.0</v>
      </c>
      <c r="P268" s="3"/>
      <c r="Q268" s="3"/>
      <c r="R268" s="3"/>
      <c r="S268" s="3"/>
      <c r="T268" s="3"/>
      <c r="U268" s="3"/>
      <c r="V268" s="3"/>
      <c r="W268" s="3"/>
      <c r="X268" s="3"/>
      <c r="Y268" s="3"/>
      <c r="Z268" s="3"/>
      <c r="AA268" s="3"/>
      <c r="AB268" s="3"/>
      <c r="AC268" s="3"/>
      <c r="AD268" s="3"/>
      <c r="AE268" s="3"/>
      <c r="AF268" s="3"/>
      <c r="AG268" s="3"/>
    </row>
    <row r="269">
      <c r="A269" s="2">
        <v>2018.0</v>
      </c>
      <c r="B269" s="2" t="s">
        <v>600</v>
      </c>
      <c r="D269" s="2" t="s">
        <v>496</v>
      </c>
      <c r="E269" s="2" t="s">
        <v>32</v>
      </c>
      <c r="F269" s="2">
        <v>68466.0</v>
      </c>
      <c r="I269" s="2">
        <v>54613.0</v>
      </c>
      <c r="J269" s="2">
        <v>0.0</v>
      </c>
      <c r="K269" s="2">
        <v>123079.0</v>
      </c>
      <c r="L269" s="2">
        <v>44285.0</v>
      </c>
      <c r="N269" s="2">
        <v>78794.0</v>
      </c>
      <c r="P269" s="3"/>
      <c r="Q269" s="3"/>
      <c r="R269" s="3"/>
      <c r="S269" s="3"/>
      <c r="T269" s="3"/>
      <c r="U269" s="3"/>
      <c r="V269" s="3"/>
      <c r="W269" s="3"/>
      <c r="X269" s="3"/>
      <c r="Y269" s="3"/>
      <c r="Z269" s="3"/>
      <c r="AA269" s="3"/>
      <c r="AB269" s="3"/>
      <c r="AC269" s="3"/>
      <c r="AD269" s="3"/>
      <c r="AE269" s="3"/>
      <c r="AF269" s="3"/>
      <c r="AG269" s="3"/>
    </row>
    <row r="270">
      <c r="A270" s="2">
        <v>2018.0</v>
      </c>
      <c r="B270" s="2" t="s">
        <v>600</v>
      </c>
      <c r="D270" s="2" t="s">
        <v>496</v>
      </c>
      <c r="E270" s="2" t="s">
        <v>485</v>
      </c>
      <c r="F270" s="2">
        <v>318899.0</v>
      </c>
      <c r="I270" s="2">
        <v>425937.0</v>
      </c>
      <c r="J270" s="2">
        <v>11109.0</v>
      </c>
      <c r="K270" s="2">
        <v>755945.0</v>
      </c>
      <c r="L270" s="2">
        <v>561533.0</v>
      </c>
      <c r="N270" s="2">
        <v>194412.0</v>
      </c>
      <c r="P270" s="3"/>
      <c r="Q270" s="3"/>
      <c r="R270" s="3"/>
      <c r="S270" s="3"/>
      <c r="T270" s="3"/>
      <c r="U270" s="3"/>
      <c r="V270" s="3"/>
      <c r="W270" s="3"/>
      <c r="X270" s="3"/>
      <c r="Y270" s="3"/>
      <c r="Z270" s="3"/>
      <c r="AA270" s="3"/>
      <c r="AB270" s="3"/>
      <c r="AC270" s="3"/>
      <c r="AD270" s="3"/>
      <c r="AE270" s="3"/>
      <c r="AF270" s="3"/>
      <c r="AG270" s="3"/>
    </row>
    <row r="271">
      <c r="A271" s="2">
        <v>2018.0</v>
      </c>
      <c r="B271" s="2" t="s">
        <v>600</v>
      </c>
      <c r="D271" s="2" t="s">
        <v>496</v>
      </c>
      <c r="E271" s="2" t="s">
        <v>114</v>
      </c>
      <c r="F271" s="2">
        <v>1772.0</v>
      </c>
      <c r="I271" s="2">
        <v>669456.0</v>
      </c>
      <c r="J271" s="2">
        <v>9004.0</v>
      </c>
      <c r="K271" s="2">
        <v>680232.0</v>
      </c>
      <c r="L271" s="2">
        <v>277000.0</v>
      </c>
      <c r="N271" s="2">
        <v>403232.0</v>
      </c>
      <c r="P271" s="3"/>
      <c r="Q271" s="3"/>
      <c r="R271" s="3"/>
      <c r="S271" s="3"/>
      <c r="T271" s="3"/>
      <c r="U271" s="3"/>
      <c r="V271" s="3"/>
      <c r="W271" s="3"/>
      <c r="X271" s="3"/>
      <c r="Y271" s="3"/>
      <c r="Z271" s="3"/>
      <c r="AA271" s="3"/>
      <c r="AB271" s="3"/>
      <c r="AC271" s="3"/>
      <c r="AD271" s="3"/>
      <c r="AE271" s="3"/>
      <c r="AF271" s="3"/>
      <c r="AG271" s="3"/>
    </row>
    <row r="272">
      <c r="A272" s="2">
        <v>2018.0</v>
      </c>
      <c r="B272" s="2" t="s">
        <v>600</v>
      </c>
      <c r="D272" s="2" t="s">
        <v>496</v>
      </c>
      <c r="E272" s="2" t="s">
        <v>460</v>
      </c>
      <c r="F272" s="2">
        <v>22226.0</v>
      </c>
      <c r="I272" s="2">
        <v>0.0</v>
      </c>
      <c r="J272" s="2">
        <v>551.0</v>
      </c>
      <c r="K272" s="2">
        <v>22777.0</v>
      </c>
      <c r="L272" s="2">
        <v>19800.0</v>
      </c>
      <c r="N272" s="2">
        <v>2977.0</v>
      </c>
      <c r="P272" s="3"/>
      <c r="Q272" s="3"/>
      <c r="R272" s="3"/>
      <c r="S272" s="3"/>
      <c r="T272" s="3"/>
      <c r="U272" s="3"/>
      <c r="V272" s="3"/>
      <c r="W272" s="3"/>
      <c r="X272" s="3"/>
      <c r="Y272" s="3"/>
      <c r="Z272" s="3"/>
      <c r="AA272" s="3"/>
      <c r="AB272" s="3"/>
      <c r="AC272" s="3"/>
      <c r="AD272" s="3"/>
      <c r="AE272" s="3"/>
      <c r="AF272" s="3"/>
      <c r="AG272" s="3"/>
    </row>
    <row r="273">
      <c r="A273" s="2">
        <v>2018.0</v>
      </c>
      <c r="B273" s="2" t="s">
        <v>600</v>
      </c>
      <c r="D273" s="2" t="s">
        <v>499</v>
      </c>
      <c r="E273" s="2" t="s">
        <v>32</v>
      </c>
      <c r="F273" s="2">
        <v>64220.0</v>
      </c>
      <c r="I273" s="2">
        <v>44385.0</v>
      </c>
      <c r="J273" s="2">
        <v>3367.0</v>
      </c>
      <c r="K273" s="2">
        <v>111972.0</v>
      </c>
      <c r="L273" s="2">
        <v>10000.0</v>
      </c>
      <c r="N273" s="2">
        <v>101972.0</v>
      </c>
      <c r="P273" s="3"/>
      <c r="Q273" s="3"/>
      <c r="R273" s="3"/>
      <c r="S273" s="3"/>
      <c r="T273" s="3"/>
      <c r="U273" s="3"/>
      <c r="V273" s="3"/>
      <c r="W273" s="3"/>
      <c r="X273" s="3"/>
      <c r="Y273" s="3"/>
      <c r="Z273" s="3"/>
      <c r="AA273" s="3"/>
      <c r="AB273" s="3"/>
      <c r="AC273" s="3"/>
      <c r="AD273" s="3"/>
      <c r="AE273" s="3"/>
      <c r="AF273" s="3"/>
      <c r="AG273" s="3"/>
    </row>
    <row r="274">
      <c r="A274" s="2">
        <v>2018.0</v>
      </c>
      <c r="B274" s="2" t="s">
        <v>600</v>
      </c>
      <c r="D274" s="2" t="s">
        <v>499</v>
      </c>
      <c r="E274" s="2" t="s">
        <v>485</v>
      </c>
      <c r="F274" s="2">
        <v>196739.0</v>
      </c>
      <c r="I274" s="2">
        <v>375937.0</v>
      </c>
      <c r="J274" s="2">
        <v>11532.0</v>
      </c>
      <c r="K274" s="2">
        <v>584208.0</v>
      </c>
      <c r="L274" s="2">
        <v>382291.0</v>
      </c>
      <c r="N274" s="2">
        <v>201917.0</v>
      </c>
      <c r="P274" s="3"/>
      <c r="Q274" s="3"/>
      <c r="R274" s="3"/>
      <c r="S274" s="3"/>
      <c r="T274" s="3"/>
      <c r="U274" s="3"/>
      <c r="V274" s="3"/>
      <c r="W274" s="3"/>
      <c r="X274" s="3"/>
      <c r="Y274" s="3"/>
      <c r="Z274" s="3"/>
      <c r="AA274" s="3"/>
      <c r="AB274" s="3"/>
      <c r="AC274" s="3"/>
      <c r="AD274" s="3"/>
      <c r="AE274" s="3"/>
      <c r="AF274" s="3"/>
      <c r="AG274" s="3"/>
    </row>
    <row r="275">
      <c r="A275" s="2">
        <v>2018.0</v>
      </c>
      <c r="B275" s="2" t="s">
        <v>600</v>
      </c>
      <c r="D275" s="2" t="s">
        <v>499</v>
      </c>
      <c r="E275" s="2" t="s">
        <v>114</v>
      </c>
      <c r="F275" s="2">
        <v>227371.0</v>
      </c>
      <c r="I275" s="2">
        <v>669456.0</v>
      </c>
      <c r="J275" s="2">
        <v>13152.0</v>
      </c>
      <c r="K275" s="2">
        <v>909979.0</v>
      </c>
      <c r="L275" s="2">
        <v>435841.0</v>
      </c>
      <c r="N275" s="2">
        <v>474138.0</v>
      </c>
      <c r="P275" s="3"/>
      <c r="Q275" s="3"/>
      <c r="R275" s="3"/>
      <c r="S275" s="3"/>
      <c r="T275" s="3"/>
      <c r="U275" s="3"/>
      <c r="V275" s="3"/>
      <c r="W275" s="3"/>
      <c r="X275" s="3"/>
      <c r="Y275" s="3"/>
      <c r="Z275" s="3"/>
      <c r="AA275" s="3"/>
      <c r="AB275" s="3"/>
      <c r="AC275" s="3"/>
      <c r="AD275" s="3"/>
      <c r="AE275" s="3"/>
      <c r="AF275" s="3"/>
      <c r="AG275" s="3"/>
    </row>
    <row r="276">
      <c r="A276" s="2">
        <v>2018.0</v>
      </c>
      <c r="B276" s="2" t="s">
        <v>600</v>
      </c>
      <c r="D276" s="2" t="s">
        <v>499</v>
      </c>
      <c r="E276" s="2" t="s">
        <v>460</v>
      </c>
      <c r="F276" s="2">
        <v>101452.0</v>
      </c>
      <c r="I276" s="2">
        <v>0.0</v>
      </c>
      <c r="J276" s="2">
        <v>3200.0</v>
      </c>
      <c r="K276" s="2">
        <v>104652.0</v>
      </c>
      <c r="L276" s="2">
        <v>44947.0</v>
      </c>
      <c r="N276" s="2">
        <v>59705.0</v>
      </c>
      <c r="P276" s="3"/>
      <c r="Q276" s="3"/>
      <c r="R276" s="3"/>
      <c r="S276" s="3"/>
      <c r="T276" s="3"/>
      <c r="U276" s="3"/>
      <c r="V276" s="3"/>
      <c r="W276" s="3"/>
      <c r="X276" s="3"/>
      <c r="Y276" s="3"/>
      <c r="Z276" s="3"/>
      <c r="AA276" s="3"/>
      <c r="AB276" s="3"/>
      <c r="AC276" s="3"/>
      <c r="AD276" s="3"/>
      <c r="AE276" s="3"/>
      <c r="AF276" s="3"/>
      <c r="AG276" s="3"/>
    </row>
    <row r="277">
      <c r="A277" s="2">
        <v>2018.0</v>
      </c>
      <c r="B277" s="2" t="s">
        <v>600</v>
      </c>
      <c r="D277" s="2" t="s">
        <v>501</v>
      </c>
      <c r="E277" s="2" t="s">
        <v>32</v>
      </c>
      <c r="F277" s="2">
        <v>64089.0</v>
      </c>
      <c r="I277" s="2">
        <v>114990.0</v>
      </c>
      <c r="J277" s="2">
        <v>0.0</v>
      </c>
      <c r="K277" s="2">
        <v>179079.0</v>
      </c>
      <c r="L277" s="2">
        <v>0.0</v>
      </c>
      <c r="N277" s="2">
        <v>179079.0</v>
      </c>
      <c r="P277" s="3"/>
      <c r="Q277" s="3"/>
      <c r="R277" s="3"/>
      <c r="S277" s="3"/>
      <c r="T277" s="3"/>
      <c r="U277" s="3"/>
      <c r="V277" s="3"/>
      <c r="W277" s="3"/>
      <c r="X277" s="3"/>
      <c r="Y277" s="3"/>
      <c r="Z277" s="3"/>
      <c r="AA277" s="3"/>
      <c r="AB277" s="3"/>
      <c r="AC277" s="3"/>
      <c r="AD277" s="3"/>
      <c r="AE277" s="3"/>
      <c r="AF277" s="3"/>
      <c r="AG277" s="3"/>
    </row>
    <row r="278">
      <c r="A278" s="2">
        <v>2018.0</v>
      </c>
      <c r="B278" s="2" t="s">
        <v>26</v>
      </c>
      <c r="D278" s="2" t="s">
        <v>501</v>
      </c>
      <c r="E278" s="2" t="s">
        <v>469</v>
      </c>
      <c r="F278" s="2">
        <v>7985.0</v>
      </c>
      <c r="I278" s="2">
        <v>54765.0</v>
      </c>
      <c r="J278" s="2">
        <v>2180.0</v>
      </c>
      <c r="K278" s="2">
        <v>64930.0</v>
      </c>
      <c r="L278" s="2">
        <v>0.0</v>
      </c>
      <c r="N278" s="2">
        <v>64930.0</v>
      </c>
      <c r="P278" s="3"/>
      <c r="Q278" s="3"/>
      <c r="R278" s="3"/>
      <c r="S278" s="3"/>
      <c r="T278" s="3"/>
      <c r="U278" s="3"/>
      <c r="V278" s="3"/>
      <c r="W278" s="3"/>
      <c r="X278" s="3"/>
      <c r="Y278" s="3"/>
      <c r="Z278" s="3"/>
      <c r="AA278" s="3"/>
      <c r="AB278" s="3"/>
      <c r="AC278" s="3"/>
      <c r="AD278" s="3"/>
      <c r="AE278" s="3"/>
      <c r="AF278" s="3"/>
      <c r="AG278" s="3"/>
    </row>
    <row r="279">
      <c r="A279" s="2">
        <v>2018.0</v>
      </c>
      <c r="B279" s="2" t="s">
        <v>600</v>
      </c>
      <c r="D279" s="2" t="s">
        <v>501</v>
      </c>
      <c r="E279" s="2" t="s">
        <v>173</v>
      </c>
      <c r="F279" s="2">
        <v>1119231.0</v>
      </c>
      <c r="I279" s="2">
        <v>321172.0</v>
      </c>
      <c r="J279" s="2">
        <v>15322.0</v>
      </c>
      <c r="K279" s="2">
        <v>1455725.0</v>
      </c>
      <c r="L279" s="2">
        <v>491613.0</v>
      </c>
      <c r="N279" s="2">
        <v>964112.0</v>
      </c>
      <c r="P279" s="3"/>
      <c r="Q279" s="3"/>
      <c r="R279" s="3"/>
      <c r="S279" s="3"/>
      <c r="T279" s="3"/>
      <c r="U279" s="3"/>
      <c r="V279" s="3"/>
      <c r="W279" s="3"/>
      <c r="X279" s="3"/>
      <c r="Y279" s="3"/>
      <c r="Z279" s="3"/>
      <c r="AA279" s="3"/>
      <c r="AB279" s="3"/>
      <c r="AC279" s="3"/>
      <c r="AD279" s="3"/>
      <c r="AE279" s="3"/>
      <c r="AF279" s="3"/>
      <c r="AG279" s="3"/>
    </row>
    <row r="280">
      <c r="A280" s="2">
        <v>2018.0</v>
      </c>
      <c r="B280" s="2" t="s">
        <v>600</v>
      </c>
      <c r="D280" s="2" t="s">
        <v>501</v>
      </c>
      <c r="E280" s="2" t="s">
        <v>114</v>
      </c>
      <c r="F280" s="2">
        <v>46900.0</v>
      </c>
      <c r="I280" s="2">
        <v>669456.0</v>
      </c>
      <c r="J280" s="2">
        <v>9717.0</v>
      </c>
      <c r="K280" s="2">
        <v>726073.0</v>
      </c>
      <c r="L280" s="2">
        <v>276800.0</v>
      </c>
      <c r="N280" s="2">
        <v>449273.0</v>
      </c>
      <c r="P280" s="3"/>
      <c r="Q280" s="3"/>
      <c r="R280" s="3"/>
      <c r="S280" s="3"/>
      <c r="T280" s="3"/>
      <c r="U280" s="3"/>
      <c r="V280" s="3"/>
      <c r="W280" s="3"/>
      <c r="X280" s="3"/>
      <c r="Y280" s="3"/>
      <c r="Z280" s="3"/>
      <c r="AA280" s="3"/>
      <c r="AB280" s="3"/>
      <c r="AC280" s="3"/>
      <c r="AD280" s="3"/>
      <c r="AE280" s="3"/>
      <c r="AF280" s="3"/>
      <c r="AG280" s="3"/>
    </row>
    <row r="281">
      <c r="A281" s="2">
        <v>2018.0</v>
      </c>
      <c r="B281" s="2" t="s">
        <v>600</v>
      </c>
      <c r="D281" s="2" t="s">
        <v>501</v>
      </c>
      <c r="E281" s="2" t="s">
        <v>460</v>
      </c>
      <c r="F281" s="2">
        <v>99454.0</v>
      </c>
      <c r="I281" s="2">
        <v>0.0</v>
      </c>
      <c r="J281" s="2">
        <v>2404.0</v>
      </c>
      <c r="K281" s="2">
        <v>101858.0</v>
      </c>
      <c r="L281" s="2">
        <v>79369.0</v>
      </c>
      <c r="N281" s="2">
        <v>22489.0</v>
      </c>
      <c r="P281" s="3"/>
      <c r="Q281" s="3"/>
      <c r="R281" s="3"/>
      <c r="S281" s="3"/>
      <c r="T281" s="3"/>
      <c r="U281" s="3"/>
      <c r="V281" s="3"/>
      <c r="W281" s="3"/>
      <c r="X281" s="3"/>
      <c r="Y281" s="3"/>
      <c r="Z281" s="3"/>
      <c r="AA281" s="3"/>
      <c r="AB281" s="3"/>
      <c r="AC281" s="3"/>
      <c r="AD281" s="3"/>
      <c r="AE281" s="3"/>
      <c r="AF281" s="3"/>
      <c r="AG281" s="3"/>
    </row>
    <row r="282">
      <c r="A282" s="2">
        <v>2018.0</v>
      </c>
      <c r="B282" s="2" t="s">
        <v>600</v>
      </c>
      <c r="D282" s="2" t="s">
        <v>505</v>
      </c>
      <c r="E282" s="2" t="s">
        <v>32</v>
      </c>
      <c r="F282" s="2">
        <v>837.0</v>
      </c>
      <c r="I282" s="2">
        <v>18410.0</v>
      </c>
      <c r="J282" s="2">
        <v>315.0</v>
      </c>
      <c r="K282" s="2">
        <v>19562.0</v>
      </c>
      <c r="L282" s="2">
        <v>10025.0</v>
      </c>
      <c r="N282" s="2">
        <v>9537.0</v>
      </c>
      <c r="P282" s="3"/>
      <c r="Q282" s="3"/>
      <c r="R282" s="3"/>
      <c r="S282" s="3"/>
      <c r="T282" s="3"/>
      <c r="U282" s="3"/>
      <c r="V282" s="3"/>
      <c r="W282" s="3"/>
      <c r="X282" s="3"/>
      <c r="Y282" s="3"/>
      <c r="Z282" s="3"/>
      <c r="AA282" s="3"/>
      <c r="AB282" s="3"/>
      <c r="AC282" s="3"/>
      <c r="AD282" s="3"/>
      <c r="AE282" s="3"/>
      <c r="AF282" s="3"/>
      <c r="AG282" s="3"/>
    </row>
    <row r="283">
      <c r="A283" s="2">
        <v>2018.0</v>
      </c>
      <c r="B283" s="2" t="s">
        <v>600</v>
      </c>
      <c r="D283" s="2" t="s">
        <v>505</v>
      </c>
      <c r="E283" s="2" t="s">
        <v>56</v>
      </c>
      <c r="F283" s="2">
        <v>441831.0</v>
      </c>
      <c r="I283" s="2">
        <v>54765.0</v>
      </c>
      <c r="J283" s="2">
        <v>7395.0</v>
      </c>
      <c r="K283" s="2">
        <v>503991.0</v>
      </c>
      <c r="L283" s="2">
        <v>483502.0</v>
      </c>
      <c r="N283" s="2">
        <v>20489.0</v>
      </c>
      <c r="P283" s="3"/>
      <c r="Q283" s="3"/>
      <c r="R283" s="3"/>
      <c r="S283" s="3"/>
      <c r="T283" s="3"/>
      <c r="U283" s="3"/>
      <c r="V283" s="3"/>
      <c r="W283" s="3"/>
      <c r="X283" s="3"/>
      <c r="Y283" s="3"/>
      <c r="Z283" s="3"/>
      <c r="AA283" s="3"/>
      <c r="AB283" s="3"/>
      <c r="AC283" s="3"/>
      <c r="AD283" s="3"/>
      <c r="AE283" s="3"/>
      <c r="AF283" s="3"/>
      <c r="AG283" s="3"/>
    </row>
    <row r="284">
      <c r="A284" s="2">
        <v>2018.0</v>
      </c>
      <c r="B284" s="2" t="s">
        <v>600</v>
      </c>
      <c r="D284" s="2" t="s">
        <v>505</v>
      </c>
      <c r="E284" s="2" t="s">
        <v>173</v>
      </c>
      <c r="F284" s="2">
        <v>102164.0</v>
      </c>
      <c r="I284" s="2">
        <v>592372.0</v>
      </c>
      <c r="J284" s="2">
        <v>9760.0</v>
      </c>
      <c r="K284" s="2">
        <v>704296.0</v>
      </c>
      <c r="L284" s="2">
        <v>442269.0</v>
      </c>
      <c r="N284" s="2">
        <v>262027.0</v>
      </c>
      <c r="P284" s="3"/>
      <c r="Q284" s="3"/>
      <c r="R284" s="3"/>
      <c r="S284" s="3"/>
      <c r="T284" s="3"/>
      <c r="U284" s="3"/>
      <c r="V284" s="3"/>
      <c r="W284" s="3"/>
      <c r="X284" s="3"/>
      <c r="Y284" s="3"/>
      <c r="Z284" s="3"/>
      <c r="AA284" s="3"/>
      <c r="AB284" s="3"/>
      <c r="AC284" s="3"/>
      <c r="AD284" s="3"/>
      <c r="AE284" s="3"/>
      <c r="AF284" s="3"/>
      <c r="AG284" s="3"/>
    </row>
    <row r="285">
      <c r="A285" s="2">
        <v>2018.0</v>
      </c>
      <c r="B285" s="2" t="s">
        <v>600</v>
      </c>
      <c r="D285" s="2" t="s">
        <v>505</v>
      </c>
      <c r="E285" s="2" t="s">
        <v>114</v>
      </c>
      <c r="F285" s="2">
        <v>312486.0</v>
      </c>
      <c r="I285" s="2">
        <v>669456.0</v>
      </c>
      <c r="J285" s="2">
        <v>14438.0</v>
      </c>
      <c r="K285" s="2">
        <v>996380.0</v>
      </c>
      <c r="L285" s="2">
        <v>577396.0</v>
      </c>
      <c r="N285" s="2">
        <v>418984.0</v>
      </c>
      <c r="P285" s="3"/>
      <c r="Q285" s="3"/>
      <c r="R285" s="3"/>
      <c r="S285" s="3"/>
      <c r="T285" s="3"/>
      <c r="U285" s="3"/>
      <c r="V285" s="3"/>
      <c r="W285" s="3"/>
      <c r="X285" s="3"/>
      <c r="Y285" s="3"/>
      <c r="Z285" s="3"/>
      <c r="AA285" s="3"/>
      <c r="AB285" s="3"/>
      <c r="AC285" s="3"/>
      <c r="AD285" s="3"/>
      <c r="AE285" s="3"/>
      <c r="AF285" s="3"/>
      <c r="AG285" s="3"/>
    </row>
    <row r="286">
      <c r="A286" s="2">
        <v>2018.0</v>
      </c>
      <c r="B286" s="2" t="s">
        <v>600</v>
      </c>
      <c r="D286" s="2" t="s">
        <v>505</v>
      </c>
      <c r="E286" s="2" t="s">
        <v>460</v>
      </c>
      <c r="F286" s="2">
        <v>112393.0</v>
      </c>
      <c r="I286" s="2">
        <v>0.0</v>
      </c>
      <c r="J286" s="2">
        <v>3389.0</v>
      </c>
      <c r="K286" s="2">
        <v>115782.0</v>
      </c>
      <c r="L286" s="2">
        <v>66831.0</v>
      </c>
      <c r="N286" s="2">
        <v>48951.0</v>
      </c>
      <c r="P286" s="3"/>
      <c r="Q286" s="3"/>
      <c r="R286" s="3"/>
      <c r="S286" s="3"/>
      <c r="T286" s="3"/>
      <c r="U286" s="3"/>
      <c r="V286" s="3"/>
      <c r="W286" s="3"/>
      <c r="X286" s="3"/>
      <c r="Y286" s="3"/>
      <c r="Z286" s="3"/>
      <c r="AA286" s="3"/>
      <c r="AB286" s="3"/>
      <c r="AC286" s="3"/>
      <c r="AD286" s="3"/>
      <c r="AE286" s="3"/>
      <c r="AF286" s="3"/>
      <c r="AG286" s="3"/>
    </row>
    <row r="287">
      <c r="A287" s="2">
        <v>2018.0</v>
      </c>
      <c r="B287" s="2" t="s">
        <v>600</v>
      </c>
      <c r="D287" s="2" t="s">
        <v>505</v>
      </c>
      <c r="E287" s="2" t="s">
        <v>507</v>
      </c>
      <c r="F287" s="2">
        <v>246187.0</v>
      </c>
      <c r="I287" s="2">
        <v>0.0</v>
      </c>
      <c r="J287" s="2">
        <v>6370.0</v>
      </c>
      <c r="K287" s="2">
        <v>252557.0</v>
      </c>
      <c r="L287" s="2">
        <v>202635.0</v>
      </c>
      <c r="N287" s="2">
        <v>49922.0</v>
      </c>
      <c r="P287" s="3"/>
      <c r="Q287" s="3"/>
      <c r="R287" s="3"/>
      <c r="S287" s="3"/>
      <c r="T287" s="3"/>
      <c r="U287" s="3"/>
      <c r="V287" s="3"/>
      <c r="W287" s="3"/>
      <c r="X287" s="3"/>
      <c r="Y287" s="3"/>
      <c r="Z287" s="3"/>
      <c r="AA287" s="3"/>
      <c r="AB287" s="3"/>
      <c r="AC287" s="3"/>
      <c r="AD287" s="3"/>
      <c r="AE287" s="3"/>
      <c r="AF287" s="3"/>
      <c r="AG287" s="3"/>
    </row>
    <row r="288">
      <c r="A288" s="2">
        <v>2018.0</v>
      </c>
      <c r="B288" s="2" t="s">
        <v>600</v>
      </c>
      <c r="D288" s="2" t="s">
        <v>508</v>
      </c>
      <c r="E288" s="2" t="s">
        <v>32</v>
      </c>
      <c r="F288" s="2">
        <v>111218.0</v>
      </c>
      <c r="I288" s="2">
        <v>5124.0</v>
      </c>
      <c r="J288" s="2">
        <v>3586.0</v>
      </c>
      <c r="K288" s="2">
        <v>119928.0</v>
      </c>
      <c r="L288" s="2">
        <v>68462.0</v>
      </c>
      <c r="N288" s="2">
        <v>51466.0</v>
      </c>
      <c r="P288" s="3"/>
      <c r="Q288" s="3"/>
      <c r="R288" s="3"/>
      <c r="S288" s="3"/>
      <c r="T288" s="3"/>
      <c r="U288" s="3"/>
      <c r="V288" s="3"/>
      <c r="W288" s="3"/>
      <c r="X288" s="3"/>
      <c r="Y288" s="3"/>
      <c r="Z288" s="3"/>
      <c r="AA288" s="3"/>
      <c r="AB288" s="3"/>
      <c r="AC288" s="3"/>
      <c r="AD288" s="3"/>
      <c r="AE288" s="3"/>
      <c r="AF288" s="3"/>
      <c r="AG288" s="3"/>
    </row>
    <row r="289">
      <c r="A289" s="2">
        <v>2018.0</v>
      </c>
      <c r="B289" s="2" t="s">
        <v>600</v>
      </c>
      <c r="D289" s="2" t="s">
        <v>508</v>
      </c>
      <c r="E289" s="2" t="s">
        <v>56</v>
      </c>
      <c r="F289" s="2">
        <v>53237.0</v>
      </c>
      <c r="I289" s="2">
        <v>54765.0</v>
      </c>
      <c r="J289" s="2">
        <v>3594.0</v>
      </c>
      <c r="K289" s="2">
        <v>111596.0</v>
      </c>
      <c r="L289" s="2">
        <v>15805.0</v>
      </c>
      <c r="N289" s="2">
        <v>95791.0</v>
      </c>
      <c r="P289" s="3"/>
      <c r="Q289" s="3"/>
      <c r="R289" s="3"/>
      <c r="S289" s="3"/>
      <c r="T289" s="3"/>
      <c r="U289" s="3"/>
      <c r="V289" s="3"/>
      <c r="W289" s="3"/>
      <c r="X289" s="3"/>
      <c r="Y289" s="3"/>
      <c r="Z289" s="3"/>
      <c r="AA289" s="3"/>
      <c r="AB289" s="3"/>
      <c r="AC289" s="3"/>
      <c r="AD289" s="3"/>
      <c r="AE289" s="3"/>
      <c r="AF289" s="3"/>
      <c r="AG289" s="3"/>
    </row>
    <row r="290">
      <c r="A290" s="2">
        <v>2018.0</v>
      </c>
      <c r="B290" s="2" t="s">
        <v>600</v>
      </c>
      <c r="D290" s="2" t="s">
        <v>508</v>
      </c>
      <c r="E290" s="2" t="s">
        <v>173</v>
      </c>
      <c r="F290" s="2">
        <v>609908.0</v>
      </c>
      <c r="I290" s="2">
        <v>321172.0</v>
      </c>
      <c r="J290" s="2">
        <v>25801.0</v>
      </c>
      <c r="K290" s="2">
        <v>956881.0</v>
      </c>
      <c r="L290" s="2">
        <v>151544.0</v>
      </c>
      <c r="N290" s="2">
        <v>805337.0</v>
      </c>
      <c r="P290" s="3"/>
      <c r="Q290" s="3"/>
      <c r="R290" s="3"/>
      <c r="S290" s="3"/>
      <c r="T290" s="3"/>
      <c r="U290" s="3"/>
      <c r="V290" s="3"/>
      <c r="W290" s="3"/>
      <c r="X290" s="3"/>
      <c r="Y290" s="3"/>
      <c r="Z290" s="3"/>
      <c r="AA290" s="3"/>
      <c r="AB290" s="3"/>
      <c r="AC290" s="3"/>
      <c r="AD290" s="3"/>
      <c r="AE290" s="3"/>
      <c r="AF290" s="3"/>
      <c r="AG290" s="3"/>
    </row>
    <row r="291">
      <c r="A291" s="2">
        <v>2018.0</v>
      </c>
      <c r="B291" s="2" t="s">
        <v>600</v>
      </c>
      <c r="D291" s="2" t="s">
        <v>508</v>
      </c>
      <c r="E291" s="2" t="s">
        <v>114</v>
      </c>
      <c r="F291" s="2">
        <v>367029.0</v>
      </c>
      <c r="I291" s="2">
        <v>669456.0</v>
      </c>
      <c r="J291" s="2">
        <v>17709.0</v>
      </c>
      <c r="K291" s="2">
        <v>1054194.0</v>
      </c>
      <c r="L291" s="2">
        <v>532828.0</v>
      </c>
      <c r="N291" s="2">
        <v>521366.0</v>
      </c>
      <c r="P291" s="3"/>
      <c r="Q291" s="3"/>
      <c r="R291" s="3"/>
      <c r="S291" s="3"/>
      <c r="T291" s="3"/>
      <c r="U291" s="3"/>
      <c r="V291" s="3"/>
      <c r="W291" s="3"/>
      <c r="X291" s="3"/>
      <c r="Y291" s="3"/>
      <c r="Z291" s="3"/>
      <c r="AA291" s="3"/>
      <c r="AB291" s="3"/>
      <c r="AC291" s="3"/>
      <c r="AD291" s="3"/>
      <c r="AE291" s="3"/>
      <c r="AF291" s="3"/>
      <c r="AG291" s="3"/>
    </row>
    <row r="292">
      <c r="A292" s="2">
        <v>2018.0</v>
      </c>
      <c r="B292" s="2" t="s">
        <v>600</v>
      </c>
      <c r="D292" s="2" t="s">
        <v>508</v>
      </c>
      <c r="E292" s="2" t="s">
        <v>460</v>
      </c>
      <c r="F292" s="2">
        <v>89415.0</v>
      </c>
      <c r="I292" s="2">
        <v>0.0</v>
      </c>
      <c r="J292" s="2">
        <v>2102.0</v>
      </c>
      <c r="K292" s="2">
        <v>91517.0</v>
      </c>
      <c r="L292" s="2">
        <v>80300.0</v>
      </c>
      <c r="N292" s="2">
        <v>11217.0</v>
      </c>
      <c r="P292" s="3"/>
      <c r="Q292" s="3"/>
      <c r="R292" s="3"/>
      <c r="S292" s="3"/>
      <c r="T292" s="3"/>
      <c r="U292" s="3"/>
      <c r="V292" s="3"/>
      <c r="W292" s="3"/>
      <c r="X292" s="3"/>
      <c r="Y292" s="3"/>
      <c r="Z292" s="3"/>
      <c r="AA292" s="3"/>
      <c r="AB292" s="3"/>
      <c r="AC292" s="3"/>
      <c r="AD292" s="3"/>
      <c r="AE292" s="3"/>
      <c r="AF292" s="3"/>
      <c r="AG292" s="3"/>
    </row>
    <row r="293">
      <c r="A293" s="2">
        <v>2018.0</v>
      </c>
      <c r="B293" s="2" t="s">
        <v>600</v>
      </c>
      <c r="D293" s="2" t="s">
        <v>510</v>
      </c>
      <c r="E293" s="2" t="s">
        <v>32</v>
      </c>
      <c r="F293" s="2">
        <v>15230.0</v>
      </c>
      <c r="I293" s="2">
        <v>3600.0</v>
      </c>
      <c r="J293" s="2">
        <v>715.0</v>
      </c>
      <c r="K293" s="2">
        <v>19545.0</v>
      </c>
      <c r="L293" s="2">
        <v>0.0</v>
      </c>
      <c r="N293" s="2">
        <v>19545.0</v>
      </c>
      <c r="P293" s="3"/>
      <c r="Q293" s="3"/>
      <c r="R293" s="3"/>
      <c r="S293" s="3"/>
      <c r="T293" s="3"/>
      <c r="U293" s="3"/>
      <c r="V293" s="3"/>
      <c r="W293" s="3"/>
      <c r="X293" s="3"/>
      <c r="Y293" s="3"/>
      <c r="Z293" s="3"/>
      <c r="AA293" s="3"/>
      <c r="AB293" s="3"/>
      <c r="AC293" s="3"/>
      <c r="AD293" s="3"/>
      <c r="AE293" s="3"/>
      <c r="AF293" s="3"/>
      <c r="AG293" s="3"/>
    </row>
    <row r="294">
      <c r="A294" s="2">
        <v>2018.0</v>
      </c>
      <c r="B294" s="2" t="s">
        <v>600</v>
      </c>
      <c r="D294" s="2" t="s">
        <v>510</v>
      </c>
      <c r="E294" s="2" t="s">
        <v>56</v>
      </c>
      <c r="F294" s="2">
        <v>29772.0</v>
      </c>
      <c r="I294" s="2">
        <v>54765.0</v>
      </c>
      <c r="J294" s="2">
        <v>1251.0</v>
      </c>
      <c r="K294" s="2">
        <v>85788.0</v>
      </c>
      <c r="L294" s="2">
        <v>64922.0</v>
      </c>
      <c r="N294" s="2">
        <v>20866.0</v>
      </c>
      <c r="P294" s="3"/>
      <c r="Q294" s="3"/>
      <c r="R294" s="3"/>
      <c r="S294" s="3"/>
      <c r="T294" s="3"/>
      <c r="U294" s="3"/>
      <c r="V294" s="3"/>
      <c r="W294" s="3"/>
      <c r="X294" s="3"/>
      <c r="Y294" s="3"/>
      <c r="Z294" s="3"/>
      <c r="AA294" s="3"/>
      <c r="AB294" s="3"/>
      <c r="AC294" s="3"/>
      <c r="AD294" s="3"/>
      <c r="AE294" s="3"/>
      <c r="AF294" s="3"/>
      <c r="AG294" s="3"/>
    </row>
    <row r="295">
      <c r="A295" s="2">
        <v>2018.0</v>
      </c>
      <c r="B295" s="2" t="s">
        <v>600</v>
      </c>
      <c r="D295" s="2" t="s">
        <v>510</v>
      </c>
      <c r="E295" s="2" t="s">
        <v>173</v>
      </c>
      <c r="F295" s="2">
        <v>461792.0</v>
      </c>
      <c r="I295" s="2">
        <v>321172.0</v>
      </c>
      <c r="J295" s="2">
        <v>15207.0</v>
      </c>
      <c r="K295" s="2">
        <v>798171.0</v>
      </c>
      <c r="L295" s="2">
        <v>652147.0</v>
      </c>
      <c r="N295" s="2">
        <v>146024.0</v>
      </c>
      <c r="P295" s="3"/>
      <c r="Q295" s="3"/>
      <c r="R295" s="3"/>
      <c r="S295" s="3"/>
      <c r="T295" s="3"/>
      <c r="U295" s="3"/>
      <c r="V295" s="3"/>
      <c r="W295" s="3"/>
      <c r="X295" s="3"/>
      <c r="Y295" s="3"/>
      <c r="Z295" s="3"/>
      <c r="AA295" s="3"/>
      <c r="AB295" s="3"/>
      <c r="AC295" s="3"/>
      <c r="AD295" s="3"/>
      <c r="AE295" s="3"/>
      <c r="AF295" s="3"/>
      <c r="AG295" s="3"/>
    </row>
    <row r="296">
      <c r="A296" s="2">
        <v>2018.0</v>
      </c>
      <c r="B296" s="2" t="s">
        <v>600</v>
      </c>
      <c r="D296" s="2" t="s">
        <v>510</v>
      </c>
      <c r="E296" s="2" t="s">
        <v>114</v>
      </c>
      <c r="F296" s="2">
        <v>71422.0</v>
      </c>
      <c r="I296" s="2">
        <v>919456.0</v>
      </c>
      <c r="J296" s="2">
        <v>9158.0</v>
      </c>
      <c r="K296" s="2">
        <v>1000036.0</v>
      </c>
      <c r="L296" s="2">
        <v>770268.0</v>
      </c>
      <c r="N296" s="2">
        <v>229768.0</v>
      </c>
      <c r="P296" s="3"/>
      <c r="Q296" s="3"/>
      <c r="R296" s="3"/>
      <c r="S296" s="3"/>
      <c r="T296" s="3"/>
      <c r="U296" s="3"/>
      <c r="V296" s="3"/>
      <c r="W296" s="3"/>
      <c r="X296" s="3"/>
      <c r="Y296" s="3"/>
      <c r="Z296" s="3"/>
      <c r="AA296" s="3"/>
      <c r="AB296" s="3"/>
      <c r="AC296" s="3"/>
      <c r="AD296" s="3"/>
      <c r="AE296" s="3"/>
      <c r="AF296" s="3"/>
      <c r="AG296" s="3"/>
    </row>
    <row r="297">
      <c r="A297" s="2">
        <v>2018.0</v>
      </c>
      <c r="B297" s="2" t="s">
        <v>600</v>
      </c>
      <c r="D297" s="2" t="s">
        <v>510</v>
      </c>
      <c r="E297" s="2" t="s">
        <v>460</v>
      </c>
      <c r="F297" s="2">
        <v>63551.0</v>
      </c>
      <c r="I297" s="2">
        <v>0.0</v>
      </c>
      <c r="J297" s="2">
        <v>1496.0</v>
      </c>
      <c r="K297" s="2">
        <v>65047.0</v>
      </c>
      <c r="L297" s="2">
        <v>54500.0</v>
      </c>
      <c r="N297" s="2">
        <v>10547.0</v>
      </c>
      <c r="P297" s="3"/>
      <c r="Q297" s="3"/>
      <c r="R297" s="3"/>
      <c r="S297" s="3"/>
      <c r="T297" s="3"/>
      <c r="U297" s="3"/>
      <c r="V297" s="3"/>
      <c r="W297" s="3"/>
      <c r="X297" s="3"/>
      <c r="Y297" s="3"/>
      <c r="Z297" s="3"/>
      <c r="AA297" s="3"/>
      <c r="AB297" s="3"/>
      <c r="AC297" s="3"/>
      <c r="AD297" s="3"/>
      <c r="AE297" s="3"/>
      <c r="AF297" s="3"/>
      <c r="AG297" s="3"/>
    </row>
    <row r="298">
      <c r="A298" s="2">
        <v>2018.0</v>
      </c>
      <c r="B298" s="2" t="s">
        <v>600</v>
      </c>
      <c r="D298" s="2" t="s">
        <v>518</v>
      </c>
      <c r="E298" s="2" t="s">
        <v>32</v>
      </c>
      <c r="F298" s="2">
        <v>16615.0</v>
      </c>
      <c r="I298" s="2">
        <v>11060.0</v>
      </c>
      <c r="J298" s="2">
        <v>766.0</v>
      </c>
      <c r="K298" s="2">
        <v>28441.0</v>
      </c>
      <c r="L298" s="2">
        <v>71.0</v>
      </c>
      <c r="N298" s="2">
        <v>28370.0</v>
      </c>
      <c r="P298" s="3"/>
      <c r="Q298" s="3"/>
      <c r="R298" s="3"/>
      <c r="S298" s="3"/>
      <c r="T298" s="3"/>
      <c r="U298" s="3"/>
      <c r="V298" s="3"/>
      <c r="W298" s="3"/>
      <c r="X298" s="3"/>
      <c r="Y298" s="3"/>
      <c r="Z298" s="3"/>
      <c r="AA298" s="3"/>
      <c r="AB298" s="3"/>
      <c r="AC298" s="3"/>
      <c r="AD298" s="3"/>
      <c r="AE298" s="3"/>
      <c r="AF298" s="3"/>
      <c r="AG298" s="3"/>
    </row>
    <row r="299">
      <c r="A299" s="2">
        <v>2018.0</v>
      </c>
      <c r="B299" s="2" t="s">
        <v>600</v>
      </c>
      <c r="D299" s="2" t="s">
        <v>518</v>
      </c>
      <c r="E299" s="2" t="s">
        <v>485</v>
      </c>
      <c r="F299" s="2">
        <v>358465.0</v>
      </c>
      <c r="I299" s="2">
        <v>375937.0</v>
      </c>
      <c r="J299" s="2">
        <v>11004.0</v>
      </c>
      <c r="K299" s="2">
        <v>745406.0</v>
      </c>
      <c r="L299" s="2">
        <v>592292.0</v>
      </c>
      <c r="N299" s="2">
        <v>153114.0</v>
      </c>
      <c r="P299" s="3"/>
      <c r="Q299" s="3"/>
      <c r="R299" s="3"/>
      <c r="S299" s="3"/>
      <c r="T299" s="3"/>
      <c r="U299" s="3"/>
      <c r="V299" s="3"/>
      <c r="W299" s="3"/>
      <c r="X299" s="3"/>
      <c r="Y299" s="3"/>
      <c r="Z299" s="3"/>
      <c r="AA299" s="3"/>
      <c r="AB299" s="3"/>
      <c r="AC299" s="3"/>
      <c r="AD299" s="3"/>
      <c r="AE299" s="3"/>
      <c r="AF299" s="3"/>
      <c r="AG299" s="3"/>
    </row>
    <row r="300">
      <c r="A300" s="2">
        <v>2018.0</v>
      </c>
      <c r="B300" s="2" t="s">
        <v>600</v>
      </c>
      <c r="D300" s="2" t="s">
        <v>518</v>
      </c>
      <c r="E300" s="2" t="s">
        <v>114</v>
      </c>
      <c r="F300" s="2">
        <v>3946.0</v>
      </c>
      <c r="I300" s="2">
        <v>669456.0</v>
      </c>
      <c r="J300" s="2">
        <v>6157.0</v>
      </c>
      <c r="K300" s="2">
        <v>679559.0</v>
      </c>
      <c r="L300" s="2">
        <v>277000.0</v>
      </c>
      <c r="N300" s="2">
        <v>402559.0</v>
      </c>
      <c r="P300" s="3"/>
      <c r="Q300" s="3"/>
      <c r="R300" s="3"/>
      <c r="S300" s="3"/>
      <c r="T300" s="3"/>
      <c r="U300" s="3"/>
      <c r="V300" s="3"/>
      <c r="W300" s="3"/>
      <c r="X300" s="3"/>
      <c r="Y300" s="3"/>
      <c r="Z300" s="3"/>
      <c r="AA300" s="3"/>
      <c r="AB300" s="3"/>
      <c r="AC300" s="3"/>
      <c r="AD300" s="3"/>
      <c r="AE300" s="3"/>
      <c r="AF300" s="3"/>
      <c r="AG300" s="3"/>
    </row>
    <row r="301">
      <c r="A301" s="2">
        <v>2018.0</v>
      </c>
      <c r="B301" s="2" t="s">
        <v>600</v>
      </c>
      <c r="D301" s="2" t="s">
        <v>518</v>
      </c>
      <c r="E301" s="2" t="s">
        <v>460</v>
      </c>
      <c r="F301" s="2">
        <v>82950.0</v>
      </c>
      <c r="I301" s="2">
        <v>0.0</v>
      </c>
      <c r="J301" s="2">
        <v>1826.0</v>
      </c>
      <c r="K301" s="2">
        <v>84776.0</v>
      </c>
      <c r="L301" s="2">
        <v>79200.0</v>
      </c>
      <c r="N301" s="2">
        <v>5576.0</v>
      </c>
      <c r="P301" s="3"/>
      <c r="Q301" s="3"/>
      <c r="R301" s="3"/>
      <c r="S301" s="3"/>
      <c r="T301" s="3"/>
      <c r="U301" s="3"/>
      <c r="V301" s="3"/>
      <c r="W301" s="3"/>
      <c r="X301" s="3"/>
      <c r="Y301" s="3"/>
      <c r="Z301" s="3"/>
      <c r="AA301" s="3"/>
      <c r="AB301" s="3"/>
      <c r="AC301" s="3"/>
      <c r="AD301" s="3"/>
      <c r="AE301" s="3"/>
      <c r="AF301" s="3"/>
      <c r="AG301" s="3"/>
    </row>
    <row r="302">
      <c r="A302" s="2">
        <v>2018.0</v>
      </c>
      <c r="B302" s="2" t="s">
        <v>600</v>
      </c>
      <c r="D302" s="2" t="s">
        <v>661</v>
      </c>
      <c r="F302" s="2">
        <v>2533468.0</v>
      </c>
      <c r="I302" s="2">
        <v>1461243.0</v>
      </c>
      <c r="K302" s="2">
        <v>3994711.0</v>
      </c>
      <c r="L302" s="2">
        <v>1213057.0</v>
      </c>
      <c r="N302" s="2">
        <v>2781654.0</v>
      </c>
      <c r="P302" s="3"/>
      <c r="Q302" s="3"/>
      <c r="R302" s="3"/>
      <c r="S302" s="3"/>
      <c r="T302" s="3"/>
      <c r="U302" s="3"/>
      <c r="V302" s="3"/>
      <c r="W302" s="3"/>
      <c r="X302" s="3"/>
      <c r="Y302" s="3"/>
      <c r="Z302" s="3"/>
      <c r="AA302" s="3"/>
      <c r="AB302" s="3"/>
      <c r="AC302" s="3"/>
      <c r="AD302" s="3"/>
      <c r="AE302" s="3"/>
      <c r="AF302" s="3"/>
      <c r="AG302" s="3"/>
    </row>
    <row r="303">
      <c r="A303" s="2">
        <v>2018.0</v>
      </c>
      <c r="B303" s="2" t="s">
        <v>600</v>
      </c>
      <c r="D303" s="2" t="s">
        <v>662</v>
      </c>
      <c r="F303" s="2">
        <v>526108.0</v>
      </c>
      <c r="I303" s="2">
        <v>1733181.0</v>
      </c>
      <c r="K303" s="2">
        <v>2259289.0</v>
      </c>
      <c r="L303" s="2">
        <v>1486760.0</v>
      </c>
      <c r="N303" s="2">
        <v>772529.0</v>
      </c>
      <c r="P303" s="3"/>
      <c r="Q303" s="3"/>
      <c r="R303" s="3"/>
      <c r="S303" s="3"/>
      <c r="T303" s="3"/>
      <c r="U303" s="3"/>
      <c r="V303" s="3"/>
      <c r="W303" s="3"/>
      <c r="X303" s="3"/>
      <c r="Y303" s="3"/>
      <c r="Z303" s="3"/>
      <c r="AA303" s="3"/>
      <c r="AB303" s="3"/>
      <c r="AC303" s="3"/>
      <c r="AD303" s="3"/>
      <c r="AE303" s="3"/>
      <c r="AF303" s="3"/>
      <c r="AG303" s="3"/>
    </row>
    <row r="304">
      <c r="A304" s="2">
        <v>2018.0</v>
      </c>
      <c r="B304" s="2" t="s">
        <v>600</v>
      </c>
      <c r="D304" s="2" t="s">
        <v>664</v>
      </c>
      <c r="F304" s="2">
        <v>1366407.0</v>
      </c>
      <c r="I304" s="2">
        <v>1299698.0</v>
      </c>
      <c r="K304" s="2">
        <v>2666105.0</v>
      </c>
      <c r="L304" s="2">
        <v>1677182.0</v>
      </c>
      <c r="N304" s="2">
        <v>988923.0</v>
      </c>
      <c r="P304" s="3"/>
      <c r="Q304" s="3"/>
      <c r="R304" s="3"/>
      <c r="S304" s="3"/>
      <c r="T304" s="3"/>
      <c r="U304" s="3"/>
      <c r="V304" s="3"/>
      <c r="W304" s="3"/>
      <c r="X304" s="3"/>
      <c r="Y304" s="3"/>
      <c r="Z304" s="3"/>
      <c r="AA304" s="3"/>
      <c r="AB304" s="3"/>
      <c r="AC304" s="3"/>
      <c r="AD304" s="3"/>
      <c r="AE304" s="3"/>
      <c r="AF304" s="3"/>
      <c r="AG304" s="3"/>
    </row>
    <row r="305">
      <c r="A305" s="2">
        <v>2018.0</v>
      </c>
      <c r="B305" s="2" t="s">
        <v>600</v>
      </c>
      <c r="D305" s="2" t="s">
        <v>666</v>
      </c>
      <c r="F305" s="2">
        <v>831158.0</v>
      </c>
      <c r="I305" s="2">
        <v>1405499.0</v>
      </c>
      <c r="K305" s="2">
        <v>2236657.0</v>
      </c>
      <c r="L305" s="2">
        <v>859990.0</v>
      </c>
      <c r="N305" s="2">
        <v>1376667.0</v>
      </c>
      <c r="P305" s="3"/>
      <c r="Q305" s="3"/>
      <c r="R305" s="3"/>
      <c r="S305" s="3"/>
      <c r="T305" s="3"/>
      <c r="U305" s="3"/>
      <c r="V305" s="3"/>
      <c r="W305" s="3"/>
      <c r="X305" s="3"/>
      <c r="Y305" s="3"/>
      <c r="Z305" s="3"/>
      <c r="AA305" s="3"/>
      <c r="AB305" s="3"/>
      <c r="AC305" s="3"/>
      <c r="AD305" s="3"/>
      <c r="AE305" s="3"/>
      <c r="AF305" s="3"/>
      <c r="AG305" s="3"/>
    </row>
    <row r="306">
      <c r="A306" s="2">
        <v>2018.0</v>
      </c>
      <c r="B306" s="2" t="s">
        <v>600</v>
      </c>
      <c r="D306" s="2" t="s">
        <v>668</v>
      </c>
      <c r="F306" s="2">
        <v>1033899.0</v>
      </c>
      <c r="I306" s="2">
        <v>1694200.0</v>
      </c>
      <c r="K306" s="2">
        <v>2728099.0</v>
      </c>
      <c r="L306" s="2">
        <v>1392849.0</v>
      </c>
      <c r="N306" s="2">
        <v>1335250.0</v>
      </c>
      <c r="P306" s="3"/>
      <c r="Q306" s="3"/>
      <c r="R306" s="3"/>
      <c r="S306" s="3"/>
      <c r="T306" s="3"/>
      <c r="U306" s="3"/>
      <c r="V306" s="3"/>
      <c r="W306" s="3"/>
      <c r="X306" s="3"/>
      <c r="Y306" s="3"/>
      <c r="Z306" s="3"/>
      <c r="AA306" s="3"/>
      <c r="AB306" s="3"/>
      <c r="AC306" s="3"/>
      <c r="AD306" s="3"/>
      <c r="AE306" s="3"/>
      <c r="AF306" s="3"/>
      <c r="AG306" s="3"/>
    </row>
    <row r="307">
      <c r="A307" s="2">
        <v>2018.0</v>
      </c>
      <c r="B307" s="2" t="s">
        <v>600</v>
      </c>
      <c r="D307" s="2" t="s">
        <v>671</v>
      </c>
      <c r="F307" s="2">
        <v>735907.0</v>
      </c>
      <c r="I307" s="2">
        <v>1132733.0</v>
      </c>
      <c r="K307" s="2">
        <v>1868640.0</v>
      </c>
      <c r="L307" s="2">
        <v>589916.0</v>
      </c>
      <c r="N307" s="2">
        <v>1278724.0</v>
      </c>
      <c r="P307" s="3"/>
      <c r="Q307" s="3"/>
      <c r="R307" s="3"/>
      <c r="S307" s="3"/>
      <c r="T307" s="3"/>
      <c r="U307" s="3"/>
      <c r="V307" s="3"/>
      <c r="W307" s="3"/>
      <c r="X307" s="3"/>
      <c r="Y307" s="3"/>
      <c r="Z307" s="3"/>
      <c r="AA307" s="3"/>
      <c r="AB307" s="3"/>
      <c r="AC307" s="3"/>
      <c r="AD307" s="3"/>
      <c r="AE307" s="3"/>
      <c r="AF307" s="3"/>
      <c r="AG307" s="3"/>
    </row>
    <row r="308">
      <c r="A308" s="2">
        <v>2018.0</v>
      </c>
      <c r="B308" s="2" t="s">
        <v>600</v>
      </c>
      <c r="D308" s="2" t="s">
        <v>673</v>
      </c>
      <c r="F308" s="2">
        <v>504398.0</v>
      </c>
      <c r="I308" s="2">
        <v>2318884.0</v>
      </c>
      <c r="K308" s="2">
        <v>2823282.0</v>
      </c>
      <c r="L308" s="2">
        <v>1990884.0</v>
      </c>
      <c r="N308" s="2">
        <v>832398.0</v>
      </c>
      <c r="P308" s="3"/>
      <c r="Q308" s="3"/>
      <c r="R308" s="3"/>
      <c r="S308" s="3"/>
      <c r="T308" s="3"/>
      <c r="U308" s="3"/>
      <c r="V308" s="3"/>
      <c r="W308" s="3"/>
      <c r="X308" s="3"/>
      <c r="Y308" s="3"/>
      <c r="Z308" s="3"/>
      <c r="AA308" s="3"/>
      <c r="AB308" s="3"/>
      <c r="AC308" s="3"/>
      <c r="AD308" s="3"/>
      <c r="AE308" s="3"/>
      <c r="AF308" s="3"/>
      <c r="AG308" s="3"/>
    </row>
    <row r="309">
      <c r="A309" s="2">
        <v>2018.0</v>
      </c>
      <c r="B309" s="2" t="s">
        <v>600</v>
      </c>
      <c r="D309" s="2" t="s">
        <v>675</v>
      </c>
      <c r="F309" s="2">
        <v>409234.0</v>
      </c>
      <c r="I309" s="2">
        <v>1097601.0</v>
      </c>
      <c r="K309" s="2">
        <v>1506835.0</v>
      </c>
      <c r="L309" s="2">
        <v>1032746.0</v>
      </c>
      <c r="N309" s="2">
        <v>474089.0</v>
      </c>
      <c r="P309" s="3"/>
      <c r="Q309" s="3"/>
      <c r="R309" s="3"/>
      <c r="S309" s="3"/>
      <c r="T309" s="3"/>
      <c r="U309" s="3"/>
      <c r="V309" s="3"/>
      <c r="W309" s="3"/>
      <c r="X309" s="3"/>
      <c r="Y309" s="3"/>
      <c r="Z309" s="3"/>
      <c r="AA309" s="3"/>
      <c r="AB309" s="3"/>
      <c r="AC309" s="3"/>
      <c r="AD309" s="3"/>
      <c r="AE309" s="3"/>
      <c r="AF309" s="3"/>
      <c r="AG309" s="3"/>
    </row>
    <row r="310">
      <c r="A310" s="2">
        <v>2018.0</v>
      </c>
      <c r="B310" s="2" t="s">
        <v>600</v>
      </c>
      <c r="D310" s="2" t="s">
        <v>677</v>
      </c>
      <c r="F310" s="2">
        <v>986260.0</v>
      </c>
      <c r="I310" s="2">
        <v>1237827.0</v>
      </c>
      <c r="K310" s="2">
        <v>2224087.0</v>
      </c>
      <c r="L310" s="2">
        <v>632475.0</v>
      </c>
      <c r="N310" s="2">
        <v>1591612.0</v>
      </c>
      <c r="P310" s="3"/>
      <c r="Q310" s="3"/>
      <c r="R310" s="3"/>
      <c r="S310" s="3"/>
      <c r="T310" s="3"/>
      <c r="U310" s="3"/>
      <c r="V310" s="3"/>
      <c r="W310" s="3"/>
      <c r="X310" s="3"/>
      <c r="Y310" s="3"/>
      <c r="Z310" s="3"/>
      <c r="AA310" s="3"/>
      <c r="AB310" s="3"/>
      <c r="AC310" s="3"/>
      <c r="AD310" s="3"/>
      <c r="AE310" s="3"/>
      <c r="AF310" s="3"/>
      <c r="AG310" s="3"/>
    </row>
    <row r="311">
      <c r="A311" s="2">
        <v>2018.0</v>
      </c>
      <c r="B311" s="2" t="s">
        <v>600</v>
      </c>
      <c r="D311" s="2" t="s">
        <v>680</v>
      </c>
      <c r="F311" s="2">
        <v>2024604.0</v>
      </c>
      <c r="I311" s="2">
        <v>1368036.0</v>
      </c>
      <c r="K311" s="2">
        <v>3392640.0</v>
      </c>
      <c r="L311" s="2">
        <v>842096.0</v>
      </c>
      <c r="N311" s="2">
        <v>2550544.0</v>
      </c>
      <c r="P311" s="3"/>
      <c r="Q311" s="3"/>
      <c r="R311" s="3"/>
      <c r="S311" s="3"/>
      <c r="T311" s="3"/>
      <c r="U311" s="3"/>
      <c r="V311" s="3"/>
      <c r="W311" s="3"/>
      <c r="X311" s="3"/>
      <c r="Y311" s="3"/>
      <c r="Z311" s="3"/>
      <c r="AA311" s="3"/>
      <c r="AB311" s="3"/>
      <c r="AC311" s="3"/>
      <c r="AD311" s="3"/>
      <c r="AE311" s="3"/>
      <c r="AF311" s="3"/>
      <c r="AG311" s="3"/>
    </row>
    <row r="312">
      <c r="A312" s="2">
        <v>2018.0</v>
      </c>
      <c r="B312" s="2" t="s">
        <v>600</v>
      </c>
      <c r="D312" s="2" t="s">
        <v>681</v>
      </c>
      <c r="F312" s="2">
        <v>668521.0</v>
      </c>
      <c r="I312" s="2">
        <v>1073907.0</v>
      </c>
      <c r="K312" s="2">
        <v>1742428.0</v>
      </c>
      <c r="L312" s="2">
        <v>1166598.0</v>
      </c>
      <c r="N312" s="2">
        <v>575830.0</v>
      </c>
      <c r="P312" s="3"/>
      <c r="Q312" s="3"/>
      <c r="R312" s="3"/>
      <c r="S312" s="3"/>
      <c r="T312" s="3"/>
      <c r="U312" s="3"/>
      <c r="V312" s="3"/>
      <c r="W312" s="3"/>
      <c r="X312" s="3"/>
      <c r="Y312" s="3"/>
      <c r="Z312" s="3"/>
      <c r="AA312" s="3"/>
      <c r="AB312" s="3"/>
      <c r="AC312" s="3"/>
      <c r="AD312" s="3"/>
      <c r="AE312" s="3"/>
      <c r="AF312" s="3"/>
      <c r="AG312" s="3"/>
    </row>
    <row r="313">
      <c r="A313" s="2">
        <v>2018.0</v>
      </c>
      <c r="B313" s="2" t="s">
        <v>600</v>
      </c>
      <c r="D313" s="2" t="s">
        <v>684</v>
      </c>
      <c r="F313" s="2">
        <v>233714.0</v>
      </c>
      <c r="I313" s="2">
        <v>967722.0</v>
      </c>
      <c r="K313" s="2">
        <v>1201436.0</v>
      </c>
      <c r="L313" s="2">
        <v>1180203.0</v>
      </c>
      <c r="N313" s="2">
        <v>21233.0</v>
      </c>
      <c r="P313" s="3"/>
      <c r="Q313" s="3"/>
      <c r="R313" s="3"/>
      <c r="S313" s="3"/>
      <c r="T313" s="3"/>
      <c r="U313" s="3"/>
      <c r="V313" s="3"/>
      <c r="W313" s="3"/>
      <c r="X313" s="3"/>
      <c r="Y313" s="3"/>
      <c r="Z313" s="3"/>
      <c r="AA313" s="3"/>
      <c r="AB313" s="3"/>
      <c r="AC313" s="3"/>
      <c r="AD313" s="3"/>
      <c r="AE313" s="3"/>
      <c r="AF313" s="3"/>
      <c r="AG313" s="3"/>
    </row>
    <row r="314">
      <c r="A314" s="2">
        <v>2018.0</v>
      </c>
      <c r="B314" s="2" t="s">
        <v>600</v>
      </c>
      <c r="D314" s="2" t="s">
        <v>688</v>
      </c>
      <c r="F314" s="2">
        <v>851980.0</v>
      </c>
      <c r="I314" s="2">
        <v>1093134.0</v>
      </c>
      <c r="K314" s="2">
        <v>1945114.0</v>
      </c>
      <c r="L314" s="2">
        <v>1729519.0</v>
      </c>
      <c r="N314" s="2">
        <v>215595.0</v>
      </c>
      <c r="P314" s="3"/>
      <c r="Q314" s="3"/>
      <c r="R314" s="3"/>
      <c r="S314" s="3"/>
      <c r="T314" s="3"/>
      <c r="U314" s="3"/>
      <c r="V314" s="3"/>
      <c r="W314" s="3"/>
      <c r="X314" s="3"/>
      <c r="Y314" s="3"/>
      <c r="Z314" s="3"/>
      <c r="AA314" s="3"/>
      <c r="AB314" s="3"/>
      <c r="AC314" s="3"/>
      <c r="AD314" s="3"/>
      <c r="AE314" s="3"/>
      <c r="AF314" s="3"/>
      <c r="AG314" s="3"/>
    </row>
    <row r="315">
      <c r="A315" s="2">
        <v>2018.0</v>
      </c>
      <c r="B315" s="2" t="s">
        <v>26</v>
      </c>
      <c r="D315" s="2" t="s">
        <v>690</v>
      </c>
      <c r="E315" s="2" t="s">
        <v>691</v>
      </c>
      <c r="F315" s="2">
        <v>394806.0</v>
      </c>
      <c r="I315" s="2">
        <v>321172.0</v>
      </c>
      <c r="J315" s="2">
        <v>8987.0</v>
      </c>
      <c r="K315" s="2">
        <v>724965.0</v>
      </c>
      <c r="L315" s="2">
        <v>607602.0</v>
      </c>
      <c r="N315" s="2">
        <v>117363.0</v>
      </c>
      <c r="P315" s="3"/>
      <c r="Q315" s="3"/>
      <c r="R315" s="3"/>
      <c r="S315" s="3"/>
      <c r="T315" s="3"/>
      <c r="U315" s="3"/>
      <c r="V315" s="3"/>
      <c r="W315" s="3"/>
      <c r="X315" s="3"/>
      <c r="Y315" s="3"/>
      <c r="Z315" s="3"/>
      <c r="AA315" s="3"/>
      <c r="AB315" s="3"/>
      <c r="AC315" s="3"/>
      <c r="AD315" s="3"/>
      <c r="AE315" s="3"/>
      <c r="AF315" s="3"/>
      <c r="AG315" s="3"/>
    </row>
    <row r="316">
      <c r="A316" s="2">
        <v>2018.0</v>
      </c>
      <c r="B316" s="2" t="s">
        <v>26</v>
      </c>
      <c r="D316" s="2" t="s">
        <v>690</v>
      </c>
      <c r="E316" s="2" t="s">
        <v>114</v>
      </c>
      <c r="F316" s="2">
        <v>402702.0</v>
      </c>
      <c r="I316" s="2">
        <v>669482.0</v>
      </c>
      <c r="J316" s="2">
        <v>19243.0</v>
      </c>
      <c r="K316" s="2">
        <v>1091427.0</v>
      </c>
      <c r="L316" s="2">
        <v>719934.0</v>
      </c>
      <c r="N316" s="2">
        <v>371493.0</v>
      </c>
      <c r="P316" s="3"/>
      <c r="Q316" s="3"/>
      <c r="R316" s="3"/>
      <c r="S316" s="3"/>
      <c r="T316" s="3"/>
      <c r="U316" s="3"/>
      <c r="V316" s="3"/>
      <c r="W316" s="3"/>
      <c r="X316" s="3"/>
      <c r="Y316" s="3"/>
      <c r="Z316" s="3"/>
      <c r="AA316" s="3"/>
      <c r="AB316" s="3"/>
      <c r="AC316" s="3"/>
      <c r="AD316" s="3"/>
      <c r="AE316" s="3"/>
      <c r="AF316" s="3"/>
      <c r="AG316" s="3"/>
    </row>
    <row r="317">
      <c r="A317" s="2">
        <v>2018.0</v>
      </c>
      <c r="B317" s="2" t="s">
        <v>26</v>
      </c>
      <c r="D317" s="2" t="s">
        <v>690</v>
      </c>
      <c r="E317" s="2" t="s">
        <v>695</v>
      </c>
      <c r="F317" s="2">
        <v>4306.0</v>
      </c>
      <c r="I317" s="2">
        <v>166165.0</v>
      </c>
      <c r="J317" s="2">
        <v>764.0</v>
      </c>
      <c r="K317" s="2">
        <v>171235.0</v>
      </c>
      <c r="L317" s="2">
        <v>166664.0</v>
      </c>
      <c r="N317" s="2">
        <v>4571.0</v>
      </c>
      <c r="P317" s="3"/>
      <c r="Q317" s="3"/>
      <c r="R317" s="3"/>
      <c r="S317" s="3"/>
      <c r="T317" s="3"/>
      <c r="U317" s="3"/>
      <c r="V317" s="3"/>
      <c r="W317" s="3"/>
      <c r="X317" s="3"/>
      <c r="Y317" s="3"/>
      <c r="Z317" s="3"/>
      <c r="AA317" s="3"/>
      <c r="AB317" s="3"/>
      <c r="AC317" s="3"/>
      <c r="AD317" s="3"/>
      <c r="AE317" s="3"/>
      <c r="AF317" s="3"/>
      <c r="AG317" s="3"/>
    </row>
    <row r="318">
      <c r="A318" s="2">
        <v>2018.0</v>
      </c>
      <c r="B318" s="2" t="s">
        <v>26</v>
      </c>
      <c r="D318" s="2" t="s">
        <v>690</v>
      </c>
      <c r="E318" s="2" t="s">
        <v>32</v>
      </c>
      <c r="F318" s="2">
        <v>151355.0</v>
      </c>
      <c r="I318" s="2">
        <v>58751.0</v>
      </c>
      <c r="J318" s="2">
        <v>7495.0</v>
      </c>
      <c r="K318" s="2">
        <v>217601.0</v>
      </c>
      <c r="L318" s="2">
        <v>60240.0</v>
      </c>
      <c r="N318" s="2">
        <v>157361.0</v>
      </c>
      <c r="P318" s="3"/>
      <c r="Q318" s="3"/>
      <c r="R318" s="3"/>
      <c r="S318" s="3"/>
      <c r="T318" s="3"/>
      <c r="U318" s="3"/>
      <c r="V318" s="3"/>
      <c r="W318" s="3"/>
      <c r="X318" s="3"/>
      <c r="Y318" s="3"/>
      <c r="Z318" s="3"/>
      <c r="AA318" s="3"/>
      <c r="AB318" s="3"/>
      <c r="AC318" s="3"/>
      <c r="AD318" s="3"/>
      <c r="AE318" s="3"/>
      <c r="AF318" s="3"/>
      <c r="AG318" s="3"/>
    </row>
    <row r="319">
      <c r="A319" s="2">
        <v>2018.0</v>
      </c>
      <c r="B319" s="2" t="s">
        <v>26</v>
      </c>
      <c r="D319" s="2" t="s">
        <v>698</v>
      </c>
      <c r="E319" s="2" t="s">
        <v>173</v>
      </c>
      <c r="F319" s="2">
        <v>355891.0</v>
      </c>
      <c r="I319" s="2">
        <v>321172.0</v>
      </c>
      <c r="J319" s="2">
        <v>7036.0</v>
      </c>
      <c r="K319" s="2">
        <v>684099.0</v>
      </c>
      <c r="L319" s="2">
        <v>644144.0</v>
      </c>
      <c r="N319" s="2">
        <v>39955.0</v>
      </c>
      <c r="P319" s="3"/>
      <c r="Q319" s="3"/>
      <c r="R319" s="3"/>
      <c r="S319" s="3"/>
      <c r="T319" s="3"/>
      <c r="U319" s="3"/>
      <c r="V319" s="3"/>
      <c r="W319" s="3"/>
      <c r="X319" s="3"/>
      <c r="Y319" s="3"/>
      <c r="Z319" s="3"/>
      <c r="AA319" s="3"/>
      <c r="AB319" s="3"/>
      <c r="AC319" s="3"/>
      <c r="AD319" s="3"/>
      <c r="AE319" s="3"/>
      <c r="AF319" s="3"/>
      <c r="AG319" s="3"/>
    </row>
    <row r="320">
      <c r="A320" s="2">
        <v>2018.0</v>
      </c>
      <c r="B320" s="2" t="s">
        <v>26</v>
      </c>
      <c r="D320" s="2" t="s">
        <v>698</v>
      </c>
      <c r="E320" s="2" t="s">
        <v>114</v>
      </c>
      <c r="F320" s="2">
        <v>661815.0</v>
      </c>
      <c r="I320" s="2">
        <v>669482.0</v>
      </c>
      <c r="J320" s="2">
        <v>20424.0</v>
      </c>
      <c r="K320" s="2">
        <v>1351721.0</v>
      </c>
      <c r="L320" s="2">
        <v>918454.0</v>
      </c>
      <c r="N320" s="2">
        <v>433267.0</v>
      </c>
      <c r="P320" s="3"/>
      <c r="Q320" s="3"/>
      <c r="R320" s="3"/>
      <c r="S320" s="3"/>
      <c r="T320" s="3"/>
      <c r="U320" s="3"/>
      <c r="V320" s="3"/>
      <c r="W320" s="3"/>
      <c r="X320" s="3"/>
      <c r="Y320" s="3"/>
      <c r="Z320" s="3"/>
      <c r="AA320" s="3"/>
      <c r="AB320" s="3"/>
      <c r="AC320" s="3"/>
      <c r="AD320" s="3"/>
      <c r="AE320" s="3"/>
      <c r="AF320" s="3"/>
      <c r="AG320" s="3"/>
    </row>
    <row r="321">
      <c r="A321" s="2">
        <v>2018.0</v>
      </c>
      <c r="B321" s="2" t="s">
        <v>26</v>
      </c>
      <c r="D321" s="2" t="s">
        <v>698</v>
      </c>
      <c r="E321" s="2" t="s">
        <v>56</v>
      </c>
      <c r="F321" s="2">
        <v>13786.0</v>
      </c>
      <c r="I321" s="2">
        <v>155077.0</v>
      </c>
      <c r="J321" s="2">
        <v>782.0</v>
      </c>
      <c r="K321" s="2">
        <v>169645.0</v>
      </c>
      <c r="L321" s="2">
        <v>162494.0</v>
      </c>
      <c r="N321" s="2">
        <v>7151.0</v>
      </c>
      <c r="P321" s="3"/>
      <c r="Q321" s="3"/>
      <c r="R321" s="3"/>
      <c r="S321" s="3"/>
      <c r="T321" s="3"/>
      <c r="U321" s="3"/>
      <c r="V321" s="3"/>
      <c r="W321" s="3"/>
      <c r="X321" s="3"/>
      <c r="Y321" s="3"/>
      <c r="Z321" s="3"/>
      <c r="AA321" s="3"/>
      <c r="AB321" s="3"/>
      <c r="AC321" s="3"/>
      <c r="AD321" s="3"/>
      <c r="AE321" s="3"/>
      <c r="AF321" s="3"/>
      <c r="AG321" s="3"/>
    </row>
    <row r="322">
      <c r="A322" s="2">
        <v>2018.0</v>
      </c>
      <c r="B322" s="2" t="s">
        <v>26</v>
      </c>
      <c r="D322" s="2" t="s">
        <v>698</v>
      </c>
      <c r="E322" s="2" t="s">
        <v>32</v>
      </c>
      <c r="F322" s="2">
        <v>44904.0</v>
      </c>
      <c r="I322" s="2">
        <v>18670.0</v>
      </c>
      <c r="J322" s="2">
        <v>2194.0</v>
      </c>
      <c r="K322" s="2">
        <v>65768.0</v>
      </c>
      <c r="L322" s="2">
        <v>0.0</v>
      </c>
      <c r="N322" s="2">
        <v>65768.0</v>
      </c>
      <c r="P322" s="3"/>
      <c r="Q322" s="3"/>
      <c r="R322" s="3"/>
      <c r="S322" s="3"/>
      <c r="T322" s="3"/>
      <c r="U322" s="3"/>
      <c r="V322" s="3"/>
      <c r="W322" s="3"/>
      <c r="X322" s="3"/>
      <c r="Y322" s="3"/>
      <c r="Z322" s="3"/>
      <c r="AA322" s="3"/>
      <c r="AB322" s="3"/>
      <c r="AC322" s="3"/>
      <c r="AD322" s="3"/>
      <c r="AE322" s="3"/>
      <c r="AF322" s="3"/>
      <c r="AG322" s="3"/>
    </row>
    <row r="323">
      <c r="A323" s="2">
        <v>2018.0</v>
      </c>
      <c r="B323" s="2" t="s">
        <v>26</v>
      </c>
      <c r="D323" s="2" t="s">
        <v>706</v>
      </c>
      <c r="E323" s="2" t="s">
        <v>691</v>
      </c>
      <c r="F323" s="2">
        <v>394806.0</v>
      </c>
      <c r="I323" s="2">
        <v>321172.0</v>
      </c>
      <c r="J323" s="2">
        <v>8987.0</v>
      </c>
      <c r="K323" s="2">
        <v>724965.0</v>
      </c>
      <c r="L323" s="2">
        <v>607602.0</v>
      </c>
      <c r="N323" s="2">
        <v>117363.0</v>
      </c>
      <c r="P323" s="3"/>
      <c r="Q323" s="3"/>
      <c r="R323" s="3"/>
      <c r="S323" s="3"/>
      <c r="T323" s="3"/>
      <c r="U323" s="3"/>
      <c r="V323" s="3"/>
      <c r="W323" s="3"/>
      <c r="X323" s="3"/>
      <c r="Y323" s="3"/>
      <c r="Z323" s="3"/>
      <c r="AA323" s="3"/>
      <c r="AB323" s="3"/>
      <c r="AC323" s="3"/>
      <c r="AD323" s="3"/>
      <c r="AE323" s="3"/>
      <c r="AF323" s="3"/>
      <c r="AG323" s="3"/>
    </row>
    <row r="324">
      <c r="A324" s="2">
        <v>2018.0</v>
      </c>
      <c r="B324" s="2" t="s">
        <v>26</v>
      </c>
      <c r="D324" s="2" t="s">
        <v>706</v>
      </c>
      <c r="E324" s="2" t="s">
        <v>114</v>
      </c>
      <c r="F324" s="2">
        <v>402702.0</v>
      </c>
      <c r="I324" s="2">
        <v>669482.0</v>
      </c>
      <c r="J324" s="2">
        <v>19243.0</v>
      </c>
      <c r="K324" s="2">
        <v>1091427.0</v>
      </c>
      <c r="L324" s="2">
        <v>719934.0</v>
      </c>
      <c r="N324" s="2">
        <v>371493.0</v>
      </c>
      <c r="P324" s="3"/>
      <c r="Q324" s="3"/>
      <c r="R324" s="3"/>
      <c r="S324" s="3"/>
      <c r="T324" s="3"/>
      <c r="U324" s="3"/>
      <c r="V324" s="3"/>
      <c r="W324" s="3"/>
      <c r="X324" s="3"/>
      <c r="Y324" s="3"/>
      <c r="Z324" s="3"/>
      <c r="AA324" s="3"/>
      <c r="AB324" s="3"/>
      <c r="AC324" s="3"/>
      <c r="AD324" s="3"/>
      <c r="AE324" s="3"/>
      <c r="AF324" s="3"/>
      <c r="AG324" s="3"/>
    </row>
    <row r="325">
      <c r="A325" s="2">
        <v>2018.0</v>
      </c>
      <c r="B325" s="2" t="s">
        <v>26</v>
      </c>
      <c r="D325" s="2" t="s">
        <v>706</v>
      </c>
      <c r="E325" s="2" t="s">
        <v>711</v>
      </c>
      <c r="F325" s="2">
        <v>4306.0</v>
      </c>
      <c r="I325" s="2">
        <v>166165.0</v>
      </c>
      <c r="J325" s="2">
        <v>764.0</v>
      </c>
      <c r="K325" s="2">
        <v>171235.0</v>
      </c>
      <c r="L325" s="2">
        <v>166664.0</v>
      </c>
      <c r="N325" s="2">
        <v>4571.0</v>
      </c>
      <c r="P325" s="3"/>
      <c r="Q325" s="3"/>
      <c r="R325" s="3"/>
      <c r="S325" s="3"/>
      <c r="T325" s="3"/>
      <c r="U325" s="3"/>
      <c r="V325" s="3"/>
      <c r="W325" s="3"/>
      <c r="X325" s="3"/>
      <c r="Y325" s="3"/>
      <c r="Z325" s="3"/>
      <c r="AA325" s="3"/>
      <c r="AB325" s="3"/>
      <c r="AC325" s="3"/>
      <c r="AD325" s="3"/>
      <c r="AE325" s="3"/>
      <c r="AF325" s="3"/>
      <c r="AG325" s="3"/>
    </row>
    <row r="326">
      <c r="A326" s="2">
        <v>2018.0</v>
      </c>
      <c r="B326" s="2" t="s">
        <v>26</v>
      </c>
      <c r="D326" s="2" t="s">
        <v>706</v>
      </c>
      <c r="E326" s="2" t="s">
        <v>32</v>
      </c>
      <c r="F326" s="2">
        <v>151355.0</v>
      </c>
      <c r="I326" s="2">
        <v>58751.0</v>
      </c>
      <c r="J326" s="2">
        <v>7495.0</v>
      </c>
      <c r="K326" s="2">
        <v>217601.0</v>
      </c>
      <c r="L326" s="2">
        <v>60240.0</v>
      </c>
      <c r="N326" s="2">
        <v>157361.0</v>
      </c>
      <c r="P326" s="3"/>
      <c r="Q326" s="3"/>
      <c r="R326" s="3"/>
      <c r="S326" s="3"/>
      <c r="T326" s="3"/>
      <c r="U326" s="3"/>
      <c r="V326" s="3"/>
      <c r="W326" s="3"/>
      <c r="X326" s="3"/>
      <c r="Y326" s="3"/>
      <c r="Z326" s="3"/>
      <c r="AA326" s="3"/>
      <c r="AB326" s="3"/>
      <c r="AC326" s="3"/>
      <c r="AD326" s="3"/>
      <c r="AE326" s="3"/>
      <c r="AF326" s="3"/>
      <c r="AG326" s="3"/>
    </row>
    <row r="327">
      <c r="A327" s="2">
        <v>2018.0</v>
      </c>
      <c r="B327" s="2" t="s">
        <v>26</v>
      </c>
      <c r="D327" s="2" t="s">
        <v>713</v>
      </c>
      <c r="E327" s="2" t="s">
        <v>691</v>
      </c>
      <c r="F327" s="2">
        <v>297418.0</v>
      </c>
      <c r="I327" s="2">
        <v>321172.0</v>
      </c>
      <c r="J327" s="2">
        <v>5478.0</v>
      </c>
      <c r="K327" s="2">
        <v>624068.0</v>
      </c>
      <c r="L327" s="2">
        <v>537910.0</v>
      </c>
      <c r="N327" s="2">
        <v>86158.0</v>
      </c>
      <c r="P327" s="3"/>
      <c r="Q327" s="3"/>
      <c r="R327" s="3"/>
      <c r="S327" s="3"/>
      <c r="T327" s="3"/>
      <c r="U327" s="3"/>
      <c r="V327" s="3"/>
      <c r="W327" s="3"/>
      <c r="X327" s="3"/>
      <c r="Y327" s="3"/>
      <c r="Z327" s="3"/>
      <c r="AA327" s="3"/>
      <c r="AB327" s="3"/>
      <c r="AC327" s="3"/>
      <c r="AD327" s="3"/>
      <c r="AE327" s="3"/>
      <c r="AF327" s="3"/>
      <c r="AG327" s="3"/>
    </row>
    <row r="328">
      <c r="A328" s="2">
        <v>2018.0</v>
      </c>
      <c r="B328" s="2" t="s">
        <v>26</v>
      </c>
      <c r="D328" s="2" t="s">
        <v>713</v>
      </c>
      <c r="E328" s="2" t="s">
        <v>114</v>
      </c>
      <c r="F328" s="2">
        <v>373305.0</v>
      </c>
      <c r="I328" s="2">
        <v>669482.0</v>
      </c>
      <c r="J328" s="2">
        <v>12251.0</v>
      </c>
      <c r="K328" s="2">
        <v>1055038.0</v>
      </c>
      <c r="L328" s="2">
        <v>810572.0</v>
      </c>
      <c r="N328" s="2">
        <v>244466.0</v>
      </c>
      <c r="P328" s="3"/>
      <c r="Q328" s="3"/>
      <c r="R328" s="3"/>
      <c r="S328" s="3"/>
      <c r="T328" s="3"/>
      <c r="U328" s="3"/>
      <c r="V328" s="3"/>
      <c r="W328" s="3"/>
      <c r="X328" s="3"/>
      <c r="Y328" s="3"/>
      <c r="Z328" s="3"/>
      <c r="AA328" s="3"/>
      <c r="AB328" s="3"/>
      <c r="AC328" s="3"/>
      <c r="AD328" s="3"/>
      <c r="AE328" s="3"/>
      <c r="AF328" s="3"/>
      <c r="AG328" s="3"/>
    </row>
    <row r="329">
      <c r="A329" s="2">
        <v>2018.0</v>
      </c>
      <c r="B329" s="2" t="s">
        <v>26</v>
      </c>
      <c r="D329" s="2" t="s">
        <v>713</v>
      </c>
      <c r="E329" s="2" t="s">
        <v>460</v>
      </c>
      <c r="F329" s="2">
        <v>88032.0</v>
      </c>
      <c r="I329" s="2">
        <v>0.0</v>
      </c>
      <c r="J329" s="2">
        <v>2249.0</v>
      </c>
      <c r="K329" s="2">
        <v>90281.0</v>
      </c>
      <c r="L329" s="2">
        <v>48280.0</v>
      </c>
      <c r="N329" s="2">
        <v>42001.0</v>
      </c>
      <c r="P329" s="3"/>
      <c r="Q329" s="3"/>
      <c r="R329" s="3"/>
      <c r="S329" s="3"/>
      <c r="T329" s="3"/>
      <c r="U329" s="3"/>
      <c r="V329" s="3"/>
      <c r="W329" s="3"/>
      <c r="X329" s="3"/>
      <c r="Y329" s="3"/>
      <c r="Z329" s="3"/>
      <c r="AA329" s="3"/>
      <c r="AB329" s="3"/>
      <c r="AC329" s="3"/>
      <c r="AD329" s="3"/>
      <c r="AE329" s="3"/>
      <c r="AF329" s="3"/>
      <c r="AG329" s="3"/>
    </row>
    <row r="330">
      <c r="A330" s="2">
        <v>2018.0</v>
      </c>
      <c r="B330" s="2" t="s">
        <v>26</v>
      </c>
      <c r="D330" s="2" t="s">
        <v>713</v>
      </c>
      <c r="E330" s="2" t="s">
        <v>714</v>
      </c>
      <c r="F330" s="2">
        <v>2650.0</v>
      </c>
      <c r="I330" s="2">
        <v>93165.0</v>
      </c>
      <c r="J330" s="2">
        <v>452.0</v>
      </c>
      <c r="K330" s="2">
        <v>96267.0</v>
      </c>
      <c r="L330" s="2">
        <v>87802.0</v>
      </c>
      <c r="N330" s="2">
        <v>8465.0</v>
      </c>
      <c r="P330" s="3"/>
      <c r="Q330" s="3"/>
      <c r="R330" s="3"/>
      <c r="S330" s="3"/>
      <c r="T330" s="3"/>
      <c r="U330" s="3"/>
      <c r="V330" s="3"/>
      <c r="W330" s="3"/>
      <c r="X330" s="3"/>
      <c r="Y330" s="3"/>
      <c r="Z330" s="3"/>
      <c r="AA330" s="3"/>
      <c r="AB330" s="3"/>
      <c r="AC330" s="3"/>
      <c r="AD330" s="3"/>
      <c r="AE330" s="3"/>
      <c r="AF330" s="3"/>
      <c r="AG330" s="3"/>
    </row>
    <row r="331">
      <c r="A331" s="2">
        <v>2018.0</v>
      </c>
      <c r="B331" s="2" t="s">
        <v>26</v>
      </c>
      <c r="D331" s="2" t="s">
        <v>713</v>
      </c>
      <c r="E331" s="2" t="s">
        <v>32</v>
      </c>
      <c r="F331" s="2">
        <v>112783.0</v>
      </c>
      <c r="I331" s="2">
        <v>28660.0</v>
      </c>
      <c r="J331" s="2">
        <v>4435.0</v>
      </c>
      <c r="K331" s="2">
        <v>145878.0</v>
      </c>
      <c r="L331" s="2">
        <v>33420.0</v>
      </c>
      <c r="N331" s="2">
        <v>112458.0</v>
      </c>
      <c r="P331" s="3"/>
      <c r="Q331" s="3"/>
      <c r="R331" s="3"/>
      <c r="S331" s="3"/>
      <c r="T331" s="3"/>
      <c r="U331" s="3"/>
      <c r="V331" s="3"/>
      <c r="W331" s="3"/>
      <c r="X331" s="3"/>
      <c r="Y331" s="3"/>
      <c r="Z331" s="3"/>
      <c r="AA331" s="3"/>
      <c r="AB331" s="3"/>
      <c r="AC331" s="3"/>
      <c r="AD331" s="3"/>
      <c r="AE331" s="3"/>
      <c r="AF331" s="3"/>
      <c r="AG331" s="3"/>
    </row>
    <row r="332">
      <c r="A332" s="2">
        <v>2018.0</v>
      </c>
      <c r="B332" s="2" t="s">
        <v>26</v>
      </c>
      <c r="D332" s="2" t="s">
        <v>716</v>
      </c>
      <c r="E332" s="2" t="s">
        <v>691</v>
      </c>
      <c r="F332" s="2">
        <v>172777.0</v>
      </c>
      <c r="I332" s="2">
        <v>375937.0</v>
      </c>
      <c r="J332" s="2">
        <v>8203.0</v>
      </c>
      <c r="K332" s="2">
        <v>556917.0</v>
      </c>
      <c r="L332" s="2">
        <v>441740.0</v>
      </c>
      <c r="N332" s="2">
        <v>115177.0</v>
      </c>
      <c r="P332" s="3"/>
      <c r="Q332" s="3"/>
      <c r="R332" s="3"/>
      <c r="S332" s="3"/>
      <c r="T332" s="3"/>
      <c r="U332" s="3"/>
      <c r="V332" s="3"/>
      <c r="W332" s="3"/>
      <c r="X332" s="3"/>
      <c r="Y332" s="3"/>
      <c r="Z332" s="3"/>
      <c r="AA332" s="3"/>
      <c r="AB332" s="3"/>
      <c r="AC332" s="3"/>
      <c r="AD332" s="3"/>
      <c r="AE332" s="3"/>
      <c r="AF332" s="3"/>
      <c r="AG332" s="3"/>
    </row>
    <row r="333">
      <c r="A333" s="2">
        <v>2018.0</v>
      </c>
      <c r="B333" s="2" t="s">
        <v>26</v>
      </c>
      <c r="D333" s="2" t="s">
        <v>716</v>
      </c>
      <c r="E333" s="2" t="s">
        <v>114</v>
      </c>
      <c r="F333" s="2">
        <v>369444.0</v>
      </c>
      <c r="I333" s="2">
        <v>669482.0</v>
      </c>
      <c r="J333" s="2">
        <v>15228.0</v>
      </c>
      <c r="K333" s="2">
        <v>1054154.0</v>
      </c>
      <c r="L333" s="2">
        <v>993540.0</v>
      </c>
      <c r="N333" s="2">
        <v>60614.0</v>
      </c>
      <c r="P333" s="3"/>
      <c r="Q333" s="3"/>
      <c r="R333" s="3"/>
      <c r="S333" s="3"/>
      <c r="T333" s="3"/>
      <c r="U333" s="3"/>
      <c r="V333" s="3"/>
      <c r="W333" s="3"/>
      <c r="X333" s="3"/>
      <c r="Y333" s="3"/>
      <c r="Z333" s="3"/>
      <c r="AA333" s="3"/>
      <c r="AB333" s="3"/>
      <c r="AC333" s="3"/>
      <c r="AD333" s="3"/>
      <c r="AE333" s="3"/>
      <c r="AF333" s="3"/>
      <c r="AG333" s="3"/>
    </row>
    <row r="334">
      <c r="A334" s="2">
        <v>2018.0</v>
      </c>
      <c r="B334" s="2" t="s">
        <v>26</v>
      </c>
      <c r="D334" s="2" t="s">
        <v>716</v>
      </c>
      <c r="E334" s="2" t="s">
        <v>460</v>
      </c>
      <c r="F334" s="2">
        <v>29592.0</v>
      </c>
      <c r="I334" s="2">
        <v>0.0</v>
      </c>
      <c r="J334" s="2">
        <v>310.0</v>
      </c>
      <c r="K334" s="2">
        <v>29902.0</v>
      </c>
      <c r="L334" s="2">
        <v>26400.0</v>
      </c>
      <c r="N334" s="2">
        <v>3502.0</v>
      </c>
      <c r="P334" s="3"/>
      <c r="Q334" s="3"/>
      <c r="R334" s="3"/>
      <c r="S334" s="3"/>
      <c r="T334" s="3"/>
      <c r="U334" s="3"/>
      <c r="V334" s="3"/>
      <c r="W334" s="3"/>
      <c r="X334" s="3"/>
      <c r="Y334" s="3"/>
      <c r="Z334" s="3"/>
      <c r="AA334" s="3"/>
      <c r="AB334" s="3"/>
      <c r="AC334" s="3"/>
      <c r="AD334" s="3"/>
      <c r="AE334" s="3"/>
      <c r="AF334" s="3"/>
      <c r="AG334" s="3"/>
    </row>
    <row r="335">
      <c r="A335" s="2">
        <v>2018.0</v>
      </c>
      <c r="B335" s="2" t="s">
        <v>26</v>
      </c>
      <c r="D335" s="2" t="s">
        <v>716</v>
      </c>
      <c r="E335" s="2" t="s">
        <v>56</v>
      </c>
      <c r="F335" s="2">
        <v>3372.0</v>
      </c>
      <c r="I335" s="2">
        <v>178800.0</v>
      </c>
      <c r="J335" s="2">
        <v>1177.0</v>
      </c>
      <c r="K335" s="2">
        <v>183349.0</v>
      </c>
      <c r="L335" s="2">
        <v>178912.0</v>
      </c>
      <c r="N335" s="2">
        <v>4437.0</v>
      </c>
      <c r="P335" s="3"/>
      <c r="Q335" s="3"/>
      <c r="R335" s="3"/>
      <c r="S335" s="3"/>
      <c r="T335" s="3"/>
      <c r="U335" s="3"/>
      <c r="V335" s="3"/>
      <c r="W335" s="3"/>
      <c r="X335" s="3"/>
      <c r="Y335" s="3"/>
      <c r="Z335" s="3"/>
      <c r="AA335" s="3"/>
      <c r="AB335" s="3"/>
      <c r="AC335" s="3"/>
      <c r="AD335" s="3"/>
      <c r="AE335" s="3"/>
      <c r="AF335" s="3"/>
      <c r="AG335" s="3"/>
    </row>
    <row r="336">
      <c r="A336" s="2">
        <v>2018.0</v>
      </c>
      <c r="B336" s="2" t="s">
        <v>26</v>
      </c>
      <c r="D336" s="2" t="s">
        <v>718</v>
      </c>
      <c r="E336" s="2" t="s">
        <v>691</v>
      </c>
      <c r="F336" s="2">
        <v>172777.0</v>
      </c>
      <c r="I336" s="2">
        <v>375937.0</v>
      </c>
      <c r="J336" s="2">
        <v>8203.0</v>
      </c>
      <c r="K336" s="2">
        <v>556917.0</v>
      </c>
      <c r="L336" s="2">
        <v>441740.0</v>
      </c>
      <c r="N336" s="2">
        <v>115177.0</v>
      </c>
      <c r="P336" s="3"/>
      <c r="Q336" s="3"/>
      <c r="R336" s="3"/>
      <c r="S336" s="3"/>
      <c r="T336" s="3"/>
      <c r="U336" s="3"/>
      <c r="V336" s="3"/>
      <c r="W336" s="3"/>
      <c r="X336" s="3"/>
      <c r="Y336" s="3"/>
      <c r="Z336" s="3"/>
      <c r="AA336" s="3"/>
      <c r="AB336" s="3"/>
      <c r="AC336" s="3"/>
      <c r="AD336" s="3"/>
      <c r="AE336" s="3"/>
      <c r="AF336" s="3"/>
      <c r="AG336" s="3"/>
    </row>
    <row r="337">
      <c r="A337" s="2">
        <v>2018.0</v>
      </c>
      <c r="B337" s="2" t="s">
        <v>26</v>
      </c>
      <c r="D337" s="2" t="s">
        <v>718</v>
      </c>
      <c r="E337" s="2" t="s">
        <v>114</v>
      </c>
      <c r="F337" s="2">
        <v>369444.0</v>
      </c>
      <c r="I337" s="2">
        <v>669482.0</v>
      </c>
      <c r="J337" s="2">
        <v>15228.0</v>
      </c>
      <c r="K337" s="2">
        <v>1054154.0</v>
      </c>
      <c r="L337" s="2">
        <v>993540.0</v>
      </c>
      <c r="N337" s="2">
        <v>60614.0</v>
      </c>
      <c r="P337" s="3"/>
      <c r="Q337" s="3"/>
      <c r="R337" s="3"/>
      <c r="S337" s="3"/>
      <c r="T337" s="3"/>
      <c r="U337" s="3"/>
      <c r="V337" s="3"/>
      <c r="W337" s="3"/>
      <c r="X337" s="3"/>
      <c r="Y337" s="3"/>
      <c r="Z337" s="3"/>
      <c r="AA337" s="3"/>
      <c r="AB337" s="3"/>
      <c r="AC337" s="3"/>
      <c r="AD337" s="3"/>
      <c r="AE337" s="3"/>
      <c r="AF337" s="3"/>
      <c r="AG337" s="3"/>
    </row>
    <row r="338">
      <c r="A338" s="2">
        <v>2018.0</v>
      </c>
      <c r="B338" s="2" t="s">
        <v>26</v>
      </c>
      <c r="D338" s="2" t="s">
        <v>718</v>
      </c>
      <c r="E338" s="2" t="s">
        <v>460</v>
      </c>
      <c r="F338" s="2">
        <v>29592.0</v>
      </c>
      <c r="I338" s="2">
        <v>0.0</v>
      </c>
      <c r="J338" s="2">
        <v>310.0</v>
      </c>
      <c r="K338" s="2">
        <v>29902.0</v>
      </c>
      <c r="L338" s="2">
        <v>26400.0</v>
      </c>
      <c r="N338" s="2">
        <v>3502.0</v>
      </c>
      <c r="P338" s="3"/>
      <c r="Q338" s="3"/>
      <c r="R338" s="3"/>
      <c r="S338" s="3"/>
      <c r="T338" s="3"/>
      <c r="U338" s="3"/>
      <c r="V338" s="3"/>
      <c r="W338" s="3"/>
      <c r="X338" s="3"/>
      <c r="Y338" s="3"/>
      <c r="Z338" s="3"/>
      <c r="AA338" s="3"/>
      <c r="AB338" s="3"/>
      <c r="AC338" s="3"/>
      <c r="AD338" s="3"/>
      <c r="AE338" s="3"/>
      <c r="AF338" s="3"/>
      <c r="AG338" s="3"/>
    </row>
    <row r="339">
      <c r="A339" s="2">
        <v>2018.0</v>
      </c>
      <c r="B339" s="2" t="s">
        <v>26</v>
      </c>
      <c r="D339" s="2" t="s">
        <v>718</v>
      </c>
      <c r="E339" s="2" t="s">
        <v>32</v>
      </c>
      <c r="F339" s="2">
        <v>16503.0</v>
      </c>
      <c r="I339" s="2">
        <v>14720.0</v>
      </c>
      <c r="J339" s="2">
        <v>889.0</v>
      </c>
      <c r="K339" s="2">
        <v>32112.0</v>
      </c>
      <c r="L339" s="2">
        <v>0.0</v>
      </c>
      <c r="N339" s="2">
        <v>32112.0</v>
      </c>
      <c r="P339" s="3"/>
      <c r="Q339" s="3"/>
      <c r="R339" s="3"/>
      <c r="S339" s="3"/>
      <c r="T339" s="3"/>
      <c r="U339" s="3"/>
      <c r="V339" s="3"/>
      <c r="W339" s="3"/>
      <c r="X339" s="3"/>
      <c r="Y339" s="3"/>
      <c r="Z339" s="3"/>
      <c r="AA339" s="3"/>
      <c r="AB339" s="3"/>
      <c r="AC339" s="3"/>
      <c r="AD339" s="3"/>
      <c r="AE339" s="3"/>
      <c r="AF339" s="3"/>
      <c r="AG339" s="3"/>
    </row>
    <row r="340">
      <c r="A340" s="2">
        <v>2018.0</v>
      </c>
      <c r="B340" s="2" t="s">
        <v>26</v>
      </c>
      <c r="D340" s="2" t="s">
        <v>728</v>
      </c>
      <c r="E340" s="2" t="s">
        <v>729</v>
      </c>
      <c r="F340" s="2">
        <v>148807.0</v>
      </c>
      <c r="I340" s="2">
        <v>375937.0</v>
      </c>
      <c r="J340" s="2">
        <v>9340.0</v>
      </c>
      <c r="K340" s="2">
        <v>534084.0</v>
      </c>
      <c r="L340" s="2">
        <v>85277.0</v>
      </c>
      <c r="N340" s="2">
        <v>448807.0</v>
      </c>
      <c r="P340" s="3"/>
      <c r="Q340" s="3"/>
      <c r="R340" s="3"/>
      <c r="S340" s="3"/>
      <c r="T340" s="3"/>
      <c r="U340" s="3"/>
      <c r="V340" s="3"/>
      <c r="W340" s="3"/>
      <c r="X340" s="3"/>
      <c r="Y340" s="3"/>
      <c r="Z340" s="3"/>
      <c r="AA340" s="3"/>
      <c r="AB340" s="3"/>
      <c r="AC340" s="3"/>
      <c r="AD340" s="3"/>
      <c r="AE340" s="3"/>
      <c r="AF340" s="3"/>
      <c r="AG340" s="3"/>
    </row>
    <row r="341">
      <c r="A341" s="2">
        <v>2018.0</v>
      </c>
      <c r="B341" s="2" t="s">
        <v>26</v>
      </c>
      <c r="D341" s="2" t="s">
        <v>728</v>
      </c>
      <c r="E341" s="2" t="s">
        <v>460</v>
      </c>
      <c r="F341" s="2">
        <v>38228.0</v>
      </c>
      <c r="I341" s="2">
        <v>545294.0</v>
      </c>
      <c r="J341" s="2">
        <v>813.0</v>
      </c>
      <c r="K341" s="2">
        <v>584335.0</v>
      </c>
      <c r="L341" s="2">
        <v>574022.0</v>
      </c>
      <c r="N341" s="2">
        <v>10313.0</v>
      </c>
      <c r="P341" s="3"/>
      <c r="Q341" s="3"/>
      <c r="R341" s="3"/>
      <c r="S341" s="3"/>
      <c r="T341" s="3"/>
      <c r="U341" s="3"/>
      <c r="V341" s="3"/>
      <c r="W341" s="3"/>
      <c r="X341" s="3"/>
      <c r="Y341" s="3"/>
      <c r="Z341" s="3"/>
      <c r="AA341" s="3"/>
      <c r="AB341" s="3"/>
      <c r="AC341" s="3"/>
      <c r="AD341" s="3"/>
      <c r="AE341" s="3"/>
      <c r="AF341" s="3"/>
      <c r="AG341" s="3"/>
    </row>
    <row r="342">
      <c r="A342" s="2">
        <v>2018.0</v>
      </c>
      <c r="B342" s="2" t="s">
        <v>26</v>
      </c>
      <c r="D342" s="2" t="s">
        <v>728</v>
      </c>
      <c r="E342" s="2" t="s">
        <v>114</v>
      </c>
      <c r="F342" s="2">
        <v>67513.0</v>
      </c>
      <c r="I342" s="2">
        <v>669333.0</v>
      </c>
      <c r="J342" s="2">
        <v>12344.0</v>
      </c>
      <c r="K342" s="2">
        <v>749190.0</v>
      </c>
      <c r="L342" s="2">
        <v>279018.0</v>
      </c>
      <c r="N342" s="2">
        <v>470172.0</v>
      </c>
      <c r="P342" s="3"/>
      <c r="Q342" s="3"/>
      <c r="R342" s="3"/>
      <c r="S342" s="3"/>
      <c r="T342" s="3"/>
      <c r="U342" s="3"/>
      <c r="V342" s="3"/>
      <c r="W342" s="3"/>
      <c r="X342" s="3"/>
      <c r="Y342" s="3"/>
      <c r="Z342" s="3"/>
      <c r="AA342" s="3"/>
      <c r="AB342" s="3"/>
      <c r="AC342" s="3"/>
      <c r="AD342" s="3"/>
      <c r="AE342" s="3"/>
      <c r="AF342" s="3"/>
      <c r="AG342" s="3"/>
    </row>
    <row r="343">
      <c r="A343" s="2">
        <v>2018.0</v>
      </c>
      <c r="B343" s="2" t="s">
        <v>26</v>
      </c>
      <c r="D343" s="2" t="s">
        <v>728</v>
      </c>
      <c r="E343" s="2" t="s">
        <v>743</v>
      </c>
      <c r="F343" s="2">
        <v>54559.0</v>
      </c>
      <c r="I343" s="2">
        <v>230705.0</v>
      </c>
      <c r="J343" s="2">
        <v>2014.0</v>
      </c>
      <c r="K343" s="2">
        <v>287278.0</v>
      </c>
      <c r="L343" s="2">
        <v>255880.0</v>
      </c>
      <c r="N343" s="2">
        <v>31398.0</v>
      </c>
      <c r="P343" s="3"/>
      <c r="Q343" s="3"/>
      <c r="R343" s="3"/>
      <c r="S343" s="3"/>
      <c r="T343" s="3"/>
      <c r="U343" s="3"/>
      <c r="V343" s="3"/>
      <c r="W343" s="3"/>
      <c r="X343" s="3"/>
      <c r="Y343" s="3"/>
      <c r="Z343" s="3"/>
      <c r="AA343" s="3"/>
      <c r="AB343" s="3"/>
      <c r="AC343" s="3"/>
      <c r="AD343" s="3"/>
      <c r="AE343" s="3"/>
      <c r="AF343" s="3"/>
      <c r="AG343" s="3"/>
    </row>
    <row r="344">
      <c r="A344" s="2">
        <v>2018.0</v>
      </c>
      <c r="B344" s="2" t="s">
        <v>26</v>
      </c>
      <c r="D344" s="2" t="s">
        <v>728</v>
      </c>
      <c r="E344" s="2" t="s">
        <v>32</v>
      </c>
      <c r="F344" s="2">
        <v>14420.0</v>
      </c>
      <c r="I344" s="2">
        <v>2260.0</v>
      </c>
      <c r="J344" s="2">
        <v>0.0</v>
      </c>
      <c r="K344" s="2">
        <v>16680.0</v>
      </c>
      <c r="L344" s="2">
        <v>6000.0</v>
      </c>
      <c r="N344" s="2">
        <v>10680.0</v>
      </c>
      <c r="P344" s="3"/>
      <c r="Q344" s="3"/>
      <c r="R344" s="3"/>
      <c r="S344" s="3"/>
      <c r="T344" s="3"/>
      <c r="U344" s="3"/>
      <c r="V344" s="3"/>
      <c r="W344" s="3"/>
      <c r="X344" s="3"/>
      <c r="Y344" s="3"/>
      <c r="Z344" s="3"/>
      <c r="AA344" s="3"/>
      <c r="AB344" s="3"/>
      <c r="AC344" s="3"/>
      <c r="AD344" s="3"/>
      <c r="AE344" s="3"/>
      <c r="AF344" s="3"/>
      <c r="AG344" s="3"/>
    </row>
    <row r="345">
      <c r="A345" s="2">
        <v>2018.0</v>
      </c>
      <c r="B345" s="2" t="s">
        <v>26</v>
      </c>
      <c r="D345" s="2" t="s">
        <v>750</v>
      </c>
      <c r="E345" s="2" t="s">
        <v>173</v>
      </c>
      <c r="F345" s="2">
        <v>375156.0</v>
      </c>
      <c r="I345" s="2">
        <v>321172.0</v>
      </c>
      <c r="J345" s="2">
        <v>8755.0</v>
      </c>
      <c r="K345" s="2">
        <v>705083.0</v>
      </c>
      <c r="L345" s="2">
        <v>699420.0</v>
      </c>
      <c r="N345" s="2">
        <v>5663.0</v>
      </c>
      <c r="P345" s="3"/>
      <c r="Q345" s="3"/>
      <c r="R345" s="3"/>
      <c r="S345" s="3"/>
      <c r="T345" s="3"/>
      <c r="U345" s="3"/>
      <c r="V345" s="3"/>
      <c r="W345" s="3"/>
      <c r="X345" s="3"/>
      <c r="Y345" s="3"/>
      <c r="Z345" s="3"/>
      <c r="AA345" s="3"/>
      <c r="AB345" s="3"/>
      <c r="AC345" s="3"/>
      <c r="AD345" s="3"/>
      <c r="AE345" s="3"/>
      <c r="AF345" s="3"/>
      <c r="AG345" s="3"/>
    </row>
    <row r="346">
      <c r="A346" s="2">
        <v>2018.0</v>
      </c>
      <c r="B346" s="2" t="s">
        <v>26</v>
      </c>
      <c r="D346" s="2" t="s">
        <v>750</v>
      </c>
      <c r="E346" s="2" t="s">
        <v>114</v>
      </c>
      <c r="F346" s="2">
        <v>2930.0</v>
      </c>
      <c r="I346" s="2">
        <v>669333.0</v>
      </c>
      <c r="J346" s="2">
        <v>1936.0</v>
      </c>
      <c r="K346" s="2">
        <v>674199.0</v>
      </c>
      <c r="L346" s="2">
        <v>529018.0</v>
      </c>
      <c r="N346" s="2">
        <v>145181.0</v>
      </c>
      <c r="P346" s="3"/>
      <c r="Q346" s="3"/>
      <c r="R346" s="3"/>
      <c r="S346" s="3"/>
      <c r="T346" s="3"/>
      <c r="U346" s="3"/>
      <c r="V346" s="3"/>
      <c r="W346" s="3"/>
      <c r="X346" s="3"/>
      <c r="Y346" s="3"/>
      <c r="Z346" s="3"/>
      <c r="AA346" s="3"/>
      <c r="AB346" s="3"/>
      <c r="AC346" s="3"/>
      <c r="AD346" s="3"/>
      <c r="AE346" s="3"/>
      <c r="AF346" s="3"/>
      <c r="AG346" s="3"/>
    </row>
    <row r="347">
      <c r="A347" s="2">
        <v>2018.0</v>
      </c>
      <c r="B347" s="2" t="s">
        <v>26</v>
      </c>
      <c r="D347" s="2" t="s">
        <v>750</v>
      </c>
      <c r="E347" s="2" t="s">
        <v>507</v>
      </c>
      <c r="F347" s="2">
        <v>54897.0</v>
      </c>
      <c r="I347" s="2">
        <v>251365.0</v>
      </c>
      <c r="J347" s="2">
        <v>3034.0</v>
      </c>
      <c r="K347" s="2">
        <v>309296.0</v>
      </c>
      <c r="L347" s="2">
        <v>172619.0</v>
      </c>
      <c r="N347" s="2">
        <v>136677.0</v>
      </c>
      <c r="P347" s="3"/>
      <c r="Q347" s="3"/>
      <c r="R347" s="3"/>
      <c r="S347" s="3"/>
      <c r="T347" s="3"/>
      <c r="U347" s="3"/>
      <c r="V347" s="3"/>
      <c r="W347" s="3"/>
      <c r="X347" s="3"/>
      <c r="Y347" s="3"/>
      <c r="Z347" s="3"/>
      <c r="AA347" s="3"/>
      <c r="AB347" s="3"/>
      <c r="AC347" s="3"/>
      <c r="AD347" s="3"/>
      <c r="AE347" s="3"/>
      <c r="AF347" s="3"/>
      <c r="AG347" s="3"/>
    </row>
    <row r="348">
      <c r="A348" s="2">
        <v>2018.0</v>
      </c>
      <c r="B348" s="2" t="s">
        <v>26</v>
      </c>
      <c r="D348" s="2" t="s">
        <v>750</v>
      </c>
      <c r="E348" s="2" t="s">
        <v>32</v>
      </c>
      <c r="F348" s="2">
        <v>129125.0</v>
      </c>
      <c r="I348" s="2">
        <v>116289.0</v>
      </c>
      <c r="J348" s="2">
        <v>4048.0</v>
      </c>
      <c r="K348" s="2">
        <v>249462.0</v>
      </c>
      <c r="L348" s="2">
        <v>208589.0</v>
      </c>
      <c r="N348" s="2">
        <v>40873.0</v>
      </c>
      <c r="P348" s="3"/>
      <c r="Q348" s="3"/>
      <c r="R348" s="3"/>
      <c r="S348" s="3"/>
      <c r="T348" s="3"/>
      <c r="U348" s="3"/>
      <c r="V348" s="3"/>
      <c r="W348" s="3"/>
      <c r="X348" s="3"/>
      <c r="Y348" s="3"/>
      <c r="Z348" s="3"/>
      <c r="AA348" s="3"/>
      <c r="AB348" s="3"/>
      <c r="AC348" s="3"/>
      <c r="AD348" s="3"/>
      <c r="AE348" s="3"/>
      <c r="AF348" s="3"/>
      <c r="AG348" s="3"/>
    </row>
    <row r="349">
      <c r="A349" s="2">
        <v>2018.0</v>
      </c>
      <c r="B349" s="2" t="s">
        <v>26</v>
      </c>
      <c r="D349" s="2" t="s">
        <v>415</v>
      </c>
      <c r="E349" s="2" t="s">
        <v>759</v>
      </c>
      <c r="F349" s="2">
        <v>81378.0</v>
      </c>
      <c r="I349" s="2">
        <v>336372.0</v>
      </c>
      <c r="J349" s="2">
        <v>2633.0</v>
      </c>
      <c r="K349" s="2">
        <v>420383.0</v>
      </c>
      <c r="L349" s="2">
        <v>385200.0</v>
      </c>
      <c r="N349" s="2">
        <v>35183.0</v>
      </c>
      <c r="P349" s="3"/>
      <c r="Q349" s="3"/>
      <c r="R349" s="3"/>
      <c r="S349" s="3"/>
      <c r="T349" s="3"/>
      <c r="U349" s="3"/>
      <c r="V349" s="3"/>
      <c r="W349" s="3"/>
      <c r="X349" s="3"/>
      <c r="Y349" s="3"/>
      <c r="Z349" s="3"/>
      <c r="AA349" s="3"/>
      <c r="AB349" s="3"/>
      <c r="AC349" s="3"/>
      <c r="AD349" s="3"/>
      <c r="AE349" s="3"/>
      <c r="AF349" s="3"/>
      <c r="AG349" s="3"/>
    </row>
    <row r="350">
      <c r="A350" s="2">
        <v>2018.0</v>
      </c>
      <c r="B350" s="2" t="s">
        <v>26</v>
      </c>
      <c r="D350" s="2" t="s">
        <v>415</v>
      </c>
      <c r="E350" s="2" t="s">
        <v>114</v>
      </c>
      <c r="F350" s="2">
        <v>5377.0</v>
      </c>
      <c r="I350" s="2">
        <v>669482.0</v>
      </c>
      <c r="J350" s="2">
        <v>882.0</v>
      </c>
      <c r="K350" s="2">
        <v>675741.0</v>
      </c>
      <c r="L350" s="2">
        <v>671355.0</v>
      </c>
      <c r="N350" s="2">
        <v>4386.0</v>
      </c>
      <c r="P350" s="3"/>
      <c r="Q350" s="3"/>
      <c r="R350" s="3"/>
      <c r="S350" s="3"/>
      <c r="T350" s="3"/>
      <c r="U350" s="3"/>
      <c r="V350" s="3"/>
      <c r="W350" s="3"/>
      <c r="X350" s="3"/>
      <c r="Y350" s="3"/>
      <c r="Z350" s="3"/>
      <c r="AA350" s="3"/>
      <c r="AB350" s="3"/>
      <c r="AC350" s="3"/>
      <c r="AD350" s="3"/>
      <c r="AE350" s="3"/>
      <c r="AF350" s="3"/>
      <c r="AG350" s="3"/>
    </row>
    <row r="351">
      <c r="A351" s="2">
        <v>2018.0</v>
      </c>
      <c r="B351" s="2" t="s">
        <v>26</v>
      </c>
      <c r="D351" s="2" t="s">
        <v>415</v>
      </c>
      <c r="E351" s="2" t="s">
        <v>767</v>
      </c>
      <c r="F351" s="2">
        <v>3715.0</v>
      </c>
      <c r="I351" s="2">
        <v>241365.0</v>
      </c>
      <c r="J351" s="2">
        <v>615.0</v>
      </c>
      <c r="K351" s="2">
        <v>245695.0</v>
      </c>
      <c r="L351" s="2">
        <v>228176.0</v>
      </c>
      <c r="N351" s="2">
        <v>17519.0</v>
      </c>
      <c r="P351" s="3"/>
      <c r="Q351" s="3"/>
      <c r="R351" s="3"/>
      <c r="S351" s="3"/>
      <c r="T351" s="3"/>
      <c r="U351" s="3"/>
      <c r="V351" s="3"/>
      <c r="W351" s="3"/>
      <c r="X351" s="3"/>
      <c r="Y351" s="3"/>
      <c r="Z351" s="3"/>
      <c r="AA351" s="3"/>
      <c r="AB351" s="3"/>
      <c r="AC351" s="3"/>
      <c r="AD351" s="3"/>
      <c r="AE351" s="3"/>
      <c r="AF351" s="3"/>
      <c r="AG351" s="3"/>
    </row>
    <row r="352">
      <c r="A352" s="2">
        <v>2018.0</v>
      </c>
      <c r="B352" s="2" t="s">
        <v>26</v>
      </c>
      <c r="D352" s="2" t="s">
        <v>768</v>
      </c>
      <c r="E352" s="2" t="s">
        <v>460</v>
      </c>
      <c r="F352" s="2">
        <v>54555.0</v>
      </c>
      <c r="I352" s="2">
        <v>0.0</v>
      </c>
      <c r="J352" s="2">
        <v>524.0</v>
      </c>
      <c r="K352" s="2">
        <v>55079.0</v>
      </c>
      <c r="L352" s="2">
        <v>50000.0</v>
      </c>
      <c r="N352" s="2">
        <v>5079.0</v>
      </c>
      <c r="P352" s="3"/>
      <c r="Q352" s="3"/>
      <c r="R352" s="3"/>
      <c r="S352" s="3"/>
      <c r="T352" s="3"/>
      <c r="U352" s="3"/>
      <c r="V352" s="3"/>
      <c r="W352" s="3"/>
      <c r="X352" s="3"/>
      <c r="Y352" s="3"/>
      <c r="Z352" s="3"/>
      <c r="AA352" s="3"/>
      <c r="AB352" s="3"/>
      <c r="AC352" s="3"/>
      <c r="AD352" s="3"/>
      <c r="AE352" s="3"/>
      <c r="AF352" s="3"/>
      <c r="AG352" s="3"/>
    </row>
    <row r="353">
      <c r="A353" s="2">
        <v>2018.0</v>
      </c>
      <c r="B353" s="2" t="s">
        <v>26</v>
      </c>
      <c r="D353" s="2" t="s">
        <v>768</v>
      </c>
      <c r="E353" s="2" t="s">
        <v>114</v>
      </c>
      <c r="F353" s="2">
        <v>47741.0</v>
      </c>
      <c r="I353" s="2">
        <v>669333.0</v>
      </c>
      <c r="J353" s="2">
        <v>4509.0</v>
      </c>
      <c r="K353" s="2">
        <v>721583.0</v>
      </c>
      <c r="L353" s="2">
        <v>279355.0</v>
      </c>
      <c r="N353" s="2">
        <v>442228.0</v>
      </c>
      <c r="P353" s="3"/>
      <c r="Q353" s="3"/>
      <c r="R353" s="3"/>
      <c r="S353" s="3"/>
      <c r="T353" s="3"/>
      <c r="U353" s="3"/>
      <c r="V353" s="3"/>
      <c r="W353" s="3"/>
      <c r="X353" s="3"/>
      <c r="Y353" s="3"/>
      <c r="Z353" s="3"/>
      <c r="AA353" s="3"/>
      <c r="AB353" s="3"/>
      <c r="AC353" s="3"/>
      <c r="AD353" s="3"/>
      <c r="AE353" s="3"/>
      <c r="AF353" s="3"/>
      <c r="AG353" s="3"/>
    </row>
    <row r="354">
      <c r="A354" s="2">
        <v>2018.0</v>
      </c>
      <c r="B354" s="2" t="s">
        <v>26</v>
      </c>
      <c r="D354" s="2" t="s">
        <v>768</v>
      </c>
      <c r="E354" s="2" t="s">
        <v>507</v>
      </c>
      <c r="F354" s="2">
        <v>54530.0</v>
      </c>
      <c r="I354" s="2">
        <v>242253.0</v>
      </c>
      <c r="J354" s="2">
        <v>440.0</v>
      </c>
      <c r="K354" s="2">
        <v>297223.0</v>
      </c>
      <c r="L354" s="2">
        <v>279927.0</v>
      </c>
      <c r="N354" s="2">
        <v>17296.0</v>
      </c>
      <c r="P354" s="3"/>
      <c r="Q354" s="3"/>
      <c r="R354" s="3"/>
      <c r="S354" s="3"/>
      <c r="T354" s="3"/>
      <c r="U354" s="3"/>
      <c r="V354" s="3"/>
      <c r="W354" s="3"/>
      <c r="X354" s="3"/>
      <c r="Y354" s="3"/>
      <c r="Z354" s="3"/>
      <c r="AA354" s="3"/>
      <c r="AB354" s="3"/>
      <c r="AC354" s="3"/>
      <c r="AD354" s="3"/>
      <c r="AE354" s="3"/>
      <c r="AF354" s="3"/>
      <c r="AG354" s="3"/>
    </row>
    <row r="355">
      <c r="A355" s="2">
        <v>2018.0</v>
      </c>
      <c r="B355" s="2" t="s">
        <v>26</v>
      </c>
      <c r="D355" s="2" t="s">
        <v>768</v>
      </c>
      <c r="E355" s="2" t="s">
        <v>759</v>
      </c>
      <c r="F355" s="2">
        <v>140250.0</v>
      </c>
      <c r="I355" s="2">
        <v>321172.0</v>
      </c>
      <c r="J355" s="2">
        <v>6877.0</v>
      </c>
      <c r="K355" s="2">
        <v>468299.0</v>
      </c>
      <c r="L355" s="2">
        <v>381000.0</v>
      </c>
      <c r="N355" s="2">
        <v>87299.0</v>
      </c>
      <c r="P355" s="3"/>
      <c r="Q355" s="3"/>
      <c r="R355" s="3"/>
      <c r="S355" s="3"/>
      <c r="T355" s="3"/>
      <c r="U355" s="3"/>
      <c r="V355" s="3"/>
      <c r="W355" s="3"/>
      <c r="X355" s="3"/>
      <c r="Y355" s="3"/>
      <c r="Z355" s="3"/>
      <c r="AA355" s="3"/>
      <c r="AB355" s="3"/>
      <c r="AC355" s="3"/>
      <c r="AD355" s="3"/>
      <c r="AE355" s="3"/>
      <c r="AF355" s="3"/>
      <c r="AG355" s="3"/>
    </row>
    <row r="356">
      <c r="A356" s="2">
        <v>2018.0</v>
      </c>
      <c r="B356" s="2" t="s">
        <v>26</v>
      </c>
      <c r="D356" s="2" t="s">
        <v>769</v>
      </c>
      <c r="E356" s="2" t="s">
        <v>770</v>
      </c>
      <c r="F356" s="2">
        <v>695636.0</v>
      </c>
      <c r="I356" s="2">
        <v>623737.0</v>
      </c>
      <c r="J356" s="2">
        <v>14198.0</v>
      </c>
      <c r="K356" s="2">
        <v>1333571.0</v>
      </c>
      <c r="L356" s="2">
        <v>1000164.0</v>
      </c>
      <c r="N356" s="2">
        <v>333407.0</v>
      </c>
      <c r="P356" s="3"/>
      <c r="Q356" s="3"/>
      <c r="R356" s="3"/>
      <c r="S356" s="3"/>
      <c r="T356" s="3"/>
      <c r="U356" s="3"/>
      <c r="V356" s="3"/>
      <c r="W356" s="3"/>
      <c r="X356" s="3"/>
      <c r="Y356" s="3"/>
      <c r="Z356" s="3"/>
      <c r="AA356" s="3"/>
      <c r="AB356" s="3"/>
      <c r="AC356" s="3"/>
      <c r="AD356" s="3"/>
      <c r="AE356" s="3"/>
      <c r="AF356" s="3"/>
      <c r="AG356" s="3"/>
    </row>
    <row r="357">
      <c r="A357" s="2">
        <v>2018.0</v>
      </c>
      <c r="B357" s="2" t="s">
        <v>26</v>
      </c>
      <c r="D357" s="2" t="s">
        <v>769</v>
      </c>
      <c r="E357" s="2" t="s">
        <v>114</v>
      </c>
      <c r="F357" s="2">
        <v>6385.0</v>
      </c>
      <c r="I357" s="2">
        <v>671116.0</v>
      </c>
      <c r="J357" s="2">
        <v>1456.0</v>
      </c>
      <c r="K357" s="2">
        <v>678957.0</v>
      </c>
      <c r="L357" s="2">
        <v>474821.0</v>
      </c>
      <c r="N357" s="2">
        <v>204136.0</v>
      </c>
      <c r="P357" s="3"/>
      <c r="Q357" s="3"/>
      <c r="R357" s="3"/>
      <c r="S357" s="3"/>
      <c r="T357" s="3"/>
      <c r="U357" s="3"/>
      <c r="V357" s="3"/>
      <c r="W357" s="3"/>
      <c r="X357" s="3"/>
      <c r="Y357" s="3"/>
      <c r="Z357" s="3"/>
      <c r="AA357" s="3"/>
      <c r="AB357" s="3"/>
      <c r="AC357" s="3"/>
      <c r="AD357" s="3"/>
      <c r="AE357" s="3"/>
      <c r="AF357" s="3"/>
      <c r="AG357" s="3"/>
    </row>
    <row r="358">
      <c r="A358" s="2">
        <v>2018.0</v>
      </c>
      <c r="B358" s="2" t="s">
        <v>26</v>
      </c>
      <c r="D358" s="2" t="s">
        <v>769</v>
      </c>
      <c r="E358" s="2" t="s">
        <v>460</v>
      </c>
      <c r="F358" s="2">
        <v>57836.0</v>
      </c>
      <c r="I358" s="2">
        <v>0.0</v>
      </c>
      <c r="J358" s="2">
        <v>1226.0</v>
      </c>
      <c r="K358" s="2">
        <v>59062.0</v>
      </c>
      <c r="L358" s="2">
        <v>53460.0</v>
      </c>
      <c r="N358" s="2">
        <v>5602.0</v>
      </c>
      <c r="P358" s="3"/>
      <c r="Q358" s="3"/>
      <c r="R358" s="3"/>
      <c r="S358" s="3"/>
      <c r="T358" s="3"/>
      <c r="U358" s="3"/>
      <c r="V358" s="3"/>
      <c r="W358" s="3"/>
      <c r="X358" s="3"/>
      <c r="Y358" s="3"/>
      <c r="Z358" s="3"/>
      <c r="AA358" s="3"/>
      <c r="AB358" s="3"/>
      <c r="AC358" s="3"/>
      <c r="AD358" s="3"/>
      <c r="AE358" s="3"/>
      <c r="AF358" s="3"/>
      <c r="AG358" s="3"/>
    </row>
    <row r="359">
      <c r="A359" s="2">
        <v>2018.0</v>
      </c>
      <c r="B359" s="2" t="s">
        <v>26</v>
      </c>
      <c r="D359" s="2" t="s">
        <v>769</v>
      </c>
      <c r="E359" s="2" t="s">
        <v>32</v>
      </c>
      <c r="F359" s="2">
        <v>16503.0</v>
      </c>
      <c r="I359" s="2">
        <v>14720.0</v>
      </c>
      <c r="J359" s="2">
        <v>889.0</v>
      </c>
      <c r="K359" s="2">
        <v>32112.0</v>
      </c>
      <c r="L359" s="2">
        <v>0.0</v>
      </c>
      <c r="N359" s="2">
        <v>32112.0</v>
      </c>
      <c r="P359" s="3"/>
      <c r="Q359" s="3"/>
      <c r="R359" s="3"/>
      <c r="S359" s="3"/>
      <c r="T359" s="3"/>
      <c r="U359" s="3"/>
      <c r="V359" s="3"/>
      <c r="W359" s="3"/>
      <c r="X359" s="3"/>
      <c r="Y359" s="3"/>
      <c r="Z359" s="3"/>
      <c r="AA359" s="3"/>
      <c r="AB359" s="3"/>
      <c r="AC359" s="3"/>
      <c r="AD359" s="3"/>
      <c r="AE359" s="3"/>
      <c r="AF359" s="3"/>
      <c r="AG359" s="3"/>
    </row>
    <row r="360">
      <c r="A360" s="2">
        <v>2018.0</v>
      </c>
      <c r="B360" s="2" t="s">
        <v>26</v>
      </c>
      <c r="D360" s="2" t="s">
        <v>773</v>
      </c>
      <c r="E360" s="2" t="s">
        <v>729</v>
      </c>
      <c r="F360" s="2">
        <v>102552.0</v>
      </c>
      <c r="I360" s="2">
        <v>321172.0</v>
      </c>
      <c r="J360" s="2">
        <v>3115.0</v>
      </c>
      <c r="K360" s="2">
        <v>426839.0</v>
      </c>
      <c r="L360" s="2">
        <v>418987.0</v>
      </c>
      <c r="N360" s="2">
        <v>7852.0</v>
      </c>
      <c r="P360" s="3"/>
      <c r="Q360" s="3"/>
      <c r="R360" s="3"/>
      <c r="S360" s="3"/>
      <c r="T360" s="3"/>
      <c r="U360" s="3"/>
      <c r="V360" s="3"/>
      <c r="W360" s="3"/>
      <c r="X360" s="3"/>
      <c r="Y360" s="3"/>
      <c r="Z360" s="3"/>
      <c r="AA360" s="3"/>
      <c r="AB360" s="3"/>
      <c r="AC360" s="3"/>
      <c r="AD360" s="3"/>
      <c r="AE360" s="3"/>
      <c r="AF360" s="3"/>
      <c r="AG360" s="3"/>
    </row>
    <row r="361">
      <c r="A361" s="2">
        <v>2018.0</v>
      </c>
      <c r="B361" s="2" t="s">
        <v>26</v>
      </c>
      <c r="D361" s="2" t="s">
        <v>773</v>
      </c>
      <c r="E361" s="2" t="s">
        <v>114</v>
      </c>
      <c r="F361" s="2">
        <v>61718.0</v>
      </c>
      <c r="I361" s="2">
        <v>669482.0</v>
      </c>
      <c r="J361" s="2">
        <v>4367.0</v>
      </c>
      <c r="K361" s="2">
        <v>735567.0</v>
      </c>
      <c r="L361" s="2">
        <v>354068.0</v>
      </c>
      <c r="N361" s="2">
        <v>381499.0</v>
      </c>
      <c r="P361" s="3"/>
      <c r="Q361" s="3"/>
      <c r="R361" s="3"/>
      <c r="S361" s="3"/>
      <c r="T361" s="3"/>
      <c r="U361" s="3"/>
      <c r="V361" s="3"/>
      <c r="W361" s="3"/>
      <c r="X361" s="3"/>
      <c r="Y361" s="3"/>
      <c r="Z361" s="3"/>
      <c r="AA361" s="3"/>
      <c r="AB361" s="3"/>
      <c r="AC361" s="3"/>
      <c r="AD361" s="3"/>
      <c r="AE361" s="3"/>
      <c r="AF361" s="3"/>
      <c r="AG361" s="3"/>
    </row>
    <row r="362">
      <c r="A362" s="2">
        <v>2018.0</v>
      </c>
      <c r="B362" s="2" t="s">
        <v>26</v>
      </c>
      <c r="D362" s="2" t="s">
        <v>773</v>
      </c>
      <c r="E362" s="2" t="s">
        <v>507</v>
      </c>
      <c r="F362" s="2">
        <v>43700.0</v>
      </c>
      <c r="I362" s="2">
        <v>243930.0</v>
      </c>
      <c r="J362" s="2">
        <v>2263.0</v>
      </c>
      <c r="K362" s="2">
        <v>289893.0</v>
      </c>
      <c r="L362" s="2">
        <v>267892.0</v>
      </c>
      <c r="N362" s="2">
        <v>22001.0</v>
      </c>
      <c r="P362" s="3"/>
      <c r="Q362" s="3"/>
      <c r="R362" s="3"/>
      <c r="S362" s="3"/>
      <c r="T362" s="3"/>
      <c r="U362" s="3"/>
      <c r="V362" s="3"/>
      <c r="W362" s="3"/>
      <c r="X362" s="3"/>
      <c r="Y362" s="3"/>
      <c r="Z362" s="3"/>
      <c r="AA362" s="3"/>
      <c r="AB362" s="3"/>
      <c r="AC362" s="3"/>
      <c r="AD362" s="3"/>
      <c r="AE362" s="3"/>
      <c r="AF362" s="3"/>
      <c r="AG362" s="3"/>
    </row>
    <row r="363">
      <c r="A363" s="2">
        <v>2018.0</v>
      </c>
      <c r="B363" s="2" t="s">
        <v>26</v>
      </c>
      <c r="D363" s="2" t="s">
        <v>776</v>
      </c>
      <c r="E363" s="2" t="s">
        <v>173</v>
      </c>
      <c r="F363" s="2">
        <v>201170.0</v>
      </c>
      <c r="I363" s="2">
        <v>414337.0</v>
      </c>
      <c r="J363" s="2">
        <v>3366.0</v>
      </c>
      <c r="K363" s="2">
        <v>618873.0</v>
      </c>
      <c r="L363" s="2">
        <v>582663.0</v>
      </c>
      <c r="N363" s="2">
        <v>36210.0</v>
      </c>
      <c r="P363" s="3"/>
      <c r="Q363" s="3"/>
      <c r="R363" s="3"/>
      <c r="S363" s="3"/>
      <c r="T363" s="3"/>
      <c r="U363" s="3"/>
      <c r="V363" s="3"/>
      <c r="W363" s="3"/>
      <c r="X363" s="3"/>
      <c r="Y363" s="3"/>
      <c r="Z363" s="3"/>
      <c r="AA363" s="3"/>
      <c r="AB363" s="3"/>
      <c r="AC363" s="3"/>
      <c r="AD363" s="3"/>
      <c r="AE363" s="3"/>
      <c r="AF363" s="3"/>
      <c r="AG363" s="3"/>
    </row>
    <row r="364">
      <c r="A364" s="2">
        <v>2018.0</v>
      </c>
      <c r="B364" s="2" t="s">
        <v>26</v>
      </c>
      <c r="D364" s="2" t="s">
        <v>776</v>
      </c>
      <c r="E364" s="2" t="s">
        <v>114</v>
      </c>
      <c r="F364" s="2">
        <v>1513.0</v>
      </c>
      <c r="I364" s="2">
        <v>669482.0</v>
      </c>
      <c r="J364" s="2">
        <v>4709.0</v>
      </c>
      <c r="K364" s="2">
        <v>675704.0</v>
      </c>
      <c r="L364" s="2">
        <v>279355.0</v>
      </c>
      <c r="N364" s="2">
        <v>396349.0</v>
      </c>
      <c r="P364" s="3"/>
      <c r="Q364" s="3"/>
      <c r="R364" s="3"/>
      <c r="S364" s="3"/>
      <c r="T364" s="3"/>
      <c r="U364" s="3"/>
      <c r="V364" s="3"/>
      <c r="W364" s="3"/>
      <c r="X364" s="3"/>
      <c r="Y364" s="3"/>
      <c r="Z364" s="3"/>
      <c r="AA364" s="3"/>
      <c r="AB364" s="3"/>
      <c r="AC364" s="3"/>
      <c r="AD364" s="3"/>
      <c r="AE364" s="3"/>
      <c r="AF364" s="3"/>
      <c r="AG364" s="3"/>
    </row>
    <row r="365">
      <c r="A365" s="2">
        <v>2018.0</v>
      </c>
      <c r="B365" s="2" t="s">
        <v>26</v>
      </c>
      <c r="D365" s="2" t="s">
        <v>776</v>
      </c>
      <c r="E365" s="2" t="s">
        <v>460</v>
      </c>
      <c r="F365" s="2">
        <v>11641.0</v>
      </c>
      <c r="I365" s="2">
        <v>0.0</v>
      </c>
      <c r="J365" s="2">
        <v>470.0</v>
      </c>
      <c r="K365" s="2">
        <v>12111.0</v>
      </c>
      <c r="L365" s="2">
        <v>0.0</v>
      </c>
      <c r="N365" s="2">
        <v>12111.0</v>
      </c>
      <c r="P365" s="3"/>
      <c r="Q365" s="3"/>
      <c r="R365" s="3"/>
      <c r="S365" s="3"/>
      <c r="T365" s="3"/>
      <c r="U365" s="3"/>
      <c r="V365" s="3"/>
      <c r="W365" s="3"/>
      <c r="X365" s="3"/>
      <c r="Y365" s="3"/>
      <c r="Z365" s="3"/>
      <c r="AA365" s="3"/>
      <c r="AB365" s="3"/>
      <c r="AC365" s="3"/>
      <c r="AD365" s="3"/>
      <c r="AE365" s="3"/>
      <c r="AF365" s="3"/>
      <c r="AG365" s="3"/>
    </row>
    <row r="366">
      <c r="A366" s="2">
        <v>2018.0</v>
      </c>
      <c r="B366" s="2" t="s">
        <v>26</v>
      </c>
      <c r="D366" s="2" t="s">
        <v>776</v>
      </c>
      <c r="E366" s="2" t="s">
        <v>56</v>
      </c>
      <c r="F366" s="2">
        <v>14969.0</v>
      </c>
      <c r="I366" s="2">
        <v>115200.0</v>
      </c>
      <c r="J366" s="2">
        <v>601.0</v>
      </c>
      <c r="K366" s="2">
        <v>130770.0</v>
      </c>
      <c r="L366" s="2">
        <v>115639.0</v>
      </c>
      <c r="N366" s="2">
        <v>15131.0</v>
      </c>
      <c r="P366" s="3"/>
      <c r="Q366" s="3"/>
      <c r="R366" s="3"/>
      <c r="S366" s="3"/>
      <c r="T366" s="3"/>
      <c r="U366" s="3"/>
      <c r="V366" s="3"/>
      <c r="W366" s="3"/>
      <c r="X366" s="3"/>
      <c r="Y366" s="3"/>
      <c r="Z366" s="3"/>
      <c r="AA366" s="3"/>
      <c r="AB366" s="3"/>
      <c r="AC366" s="3"/>
      <c r="AD366" s="3"/>
      <c r="AE366" s="3"/>
      <c r="AF366" s="3"/>
      <c r="AG366" s="3"/>
    </row>
    <row r="367">
      <c r="A367" s="2">
        <v>2018.0</v>
      </c>
      <c r="B367" s="2" t="s">
        <v>26</v>
      </c>
      <c r="D367" s="2" t="s">
        <v>776</v>
      </c>
      <c r="E367" s="2" t="s">
        <v>32</v>
      </c>
      <c r="F367" s="2">
        <v>16980.0</v>
      </c>
      <c r="I367" s="2">
        <v>9075.0</v>
      </c>
      <c r="J367" s="2">
        <v>1031.0</v>
      </c>
      <c r="K367" s="2">
        <v>27086.0</v>
      </c>
      <c r="L367" s="2">
        <v>0.0</v>
      </c>
      <c r="N367" s="2">
        <v>27086.0</v>
      </c>
      <c r="P367" s="3"/>
      <c r="Q367" s="3"/>
      <c r="R367" s="3"/>
      <c r="S367" s="3"/>
      <c r="T367" s="3"/>
      <c r="U367" s="3"/>
      <c r="V367" s="3"/>
      <c r="W367" s="3"/>
      <c r="X367" s="3"/>
      <c r="Y367" s="3"/>
      <c r="Z367" s="3"/>
      <c r="AA367" s="3"/>
      <c r="AB367" s="3"/>
      <c r="AC367" s="3"/>
      <c r="AD367" s="3"/>
      <c r="AE367" s="3"/>
      <c r="AF367" s="3"/>
      <c r="AG367" s="3"/>
    </row>
    <row r="368">
      <c r="A368" s="2">
        <v>2018.0</v>
      </c>
      <c r="B368" s="2" t="s">
        <v>780</v>
      </c>
      <c r="D368" s="2" t="s">
        <v>489</v>
      </c>
      <c r="E368" s="2" t="s">
        <v>32</v>
      </c>
      <c r="F368" s="2">
        <v>47443.0</v>
      </c>
      <c r="I368" s="2">
        <v>28565.0</v>
      </c>
      <c r="J368" s="2">
        <v>900.0</v>
      </c>
      <c r="K368" s="2">
        <v>76908.0</v>
      </c>
      <c r="L368" s="2">
        <v>49600.0</v>
      </c>
      <c r="N368" s="2">
        <v>27308.0</v>
      </c>
      <c r="P368" s="3"/>
      <c r="Q368" s="3"/>
      <c r="R368" s="3"/>
      <c r="S368" s="3"/>
      <c r="T368" s="3"/>
      <c r="U368" s="3"/>
      <c r="V368" s="3"/>
      <c r="W368" s="3"/>
      <c r="X368" s="3"/>
      <c r="Y368" s="3"/>
      <c r="Z368" s="3"/>
      <c r="AA368" s="3"/>
      <c r="AB368" s="3"/>
      <c r="AC368" s="3"/>
      <c r="AD368" s="3"/>
      <c r="AE368" s="3"/>
      <c r="AF368" s="3"/>
      <c r="AG368" s="3"/>
    </row>
    <row r="369">
      <c r="A369" s="2">
        <v>2018.0</v>
      </c>
      <c r="B369" s="2" t="s">
        <v>780</v>
      </c>
      <c r="D369" s="2" t="s">
        <v>489</v>
      </c>
      <c r="E369" s="2" t="s">
        <v>781</v>
      </c>
      <c r="F369" s="2">
        <v>500.0</v>
      </c>
      <c r="I369" s="2">
        <v>27000.0</v>
      </c>
      <c r="J369" s="2">
        <v>18.0</v>
      </c>
      <c r="K369" s="2">
        <v>27518.0</v>
      </c>
      <c r="L369" s="2">
        <v>0.0</v>
      </c>
      <c r="N369" s="2">
        <v>27518.0</v>
      </c>
      <c r="P369" s="3"/>
      <c r="Q369" s="3"/>
      <c r="R369" s="3"/>
      <c r="S369" s="3"/>
      <c r="T369" s="3"/>
      <c r="U369" s="3"/>
      <c r="V369" s="3"/>
      <c r="W369" s="3"/>
      <c r="X369" s="3"/>
      <c r="Y369" s="3"/>
      <c r="Z369" s="3"/>
      <c r="AA369" s="3"/>
      <c r="AB369" s="3"/>
      <c r="AC369" s="3"/>
      <c r="AD369" s="3"/>
      <c r="AE369" s="3"/>
      <c r="AF369" s="3"/>
      <c r="AG369" s="3"/>
    </row>
    <row r="370">
      <c r="A370" s="2">
        <v>2018.0</v>
      </c>
      <c r="B370" s="2" t="s">
        <v>780</v>
      </c>
      <c r="D370" s="2" t="s">
        <v>489</v>
      </c>
      <c r="E370" s="2" t="s">
        <v>783</v>
      </c>
      <c r="F370" s="2">
        <v>1000.0</v>
      </c>
      <c r="I370" s="2">
        <v>244000.0</v>
      </c>
      <c r="J370" s="2">
        <v>87.0</v>
      </c>
      <c r="K370" s="2">
        <v>245087.0</v>
      </c>
      <c r="L370" s="2">
        <v>50000.0</v>
      </c>
      <c r="N370" s="2">
        <v>195087.0</v>
      </c>
      <c r="P370" s="3"/>
      <c r="Q370" s="3"/>
      <c r="R370" s="3"/>
      <c r="S370" s="3"/>
      <c r="T370" s="3"/>
      <c r="U370" s="3"/>
      <c r="V370" s="3"/>
      <c r="W370" s="3"/>
      <c r="X370" s="3"/>
      <c r="Y370" s="3"/>
      <c r="Z370" s="3"/>
      <c r="AA370" s="3"/>
      <c r="AB370" s="3"/>
      <c r="AC370" s="3"/>
      <c r="AD370" s="3"/>
      <c r="AE370" s="3"/>
      <c r="AF370" s="3"/>
      <c r="AG370" s="3"/>
    </row>
    <row r="371">
      <c r="A371" s="2">
        <v>2018.0</v>
      </c>
      <c r="B371" s="2" t="s">
        <v>780</v>
      </c>
      <c r="D371" s="2" t="s">
        <v>489</v>
      </c>
      <c r="E371" s="2" t="s">
        <v>114</v>
      </c>
      <c r="F371" s="2">
        <v>427360.0</v>
      </c>
      <c r="I371" s="2">
        <v>0.0</v>
      </c>
      <c r="J371" s="2">
        <v>2303.0</v>
      </c>
      <c r="K371" s="2">
        <v>429663.0</v>
      </c>
      <c r="L371" s="2">
        <v>428350.0</v>
      </c>
      <c r="N371" s="2">
        <v>1313.0</v>
      </c>
      <c r="P371" s="3"/>
      <c r="Q371" s="3"/>
      <c r="R371" s="3"/>
      <c r="S371" s="3"/>
      <c r="T371" s="3"/>
      <c r="U371" s="3"/>
      <c r="V371" s="3"/>
      <c r="W371" s="3"/>
      <c r="X371" s="3"/>
      <c r="Y371" s="3"/>
      <c r="Z371" s="3"/>
      <c r="AA371" s="3"/>
      <c r="AB371" s="3"/>
      <c r="AC371" s="3"/>
      <c r="AD371" s="3"/>
      <c r="AE371" s="3"/>
      <c r="AF371" s="3"/>
      <c r="AG371" s="3"/>
    </row>
    <row r="372">
      <c r="A372" s="2">
        <v>2018.0</v>
      </c>
      <c r="B372" s="2" t="s">
        <v>780</v>
      </c>
      <c r="D372" s="2" t="s">
        <v>489</v>
      </c>
      <c r="E372" s="2" t="s">
        <v>460</v>
      </c>
      <c r="F372" s="2">
        <v>8025.0</v>
      </c>
      <c r="I372" s="2">
        <v>50000.0</v>
      </c>
      <c r="J372" s="2">
        <v>489.0</v>
      </c>
      <c r="K372" s="2">
        <v>58514.0</v>
      </c>
      <c r="L372" s="2">
        <v>46420.0</v>
      </c>
      <c r="N372" s="2">
        <v>12094.0</v>
      </c>
      <c r="P372" s="3"/>
      <c r="Q372" s="3"/>
      <c r="R372" s="3"/>
      <c r="S372" s="3"/>
      <c r="T372" s="3"/>
      <c r="U372" s="3"/>
      <c r="V372" s="3"/>
      <c r="W372" s="3"/>
      <c r="X372" s="3"/>
      <c r="Y372" s="3"/>
      <c r="Z372" s="3"/>
      <c r="AA372" s="3"/>
      <c r="AB372" s="3"/>
      <c r="AC372" s="3"/>
      <c r="AD372" s="3"/>
      <c r="AE372" s="3"/>
      <c r="AF372" s="3"/>
      <c r="AG372" s="3"/>
    </row>
    <row r="373">
      <c r="A373" s="2">
        <v>2018.0</v>
      </c>
      <c r="B373" s="2" t="s">
        <v>780</v>
      </c>
      <c r="D373" s="2" t="s">
        <v>493</v>
      </c>
      <c r="E373" s="2" t="s">
        <v>32</v>
      </c>
      <c r="F373" s="2">
        <v>110713.0</v>
      </c>
      <c r="I373" s="2">
        <v>133814.0</v>
      </c>
      <c r="J373" s="2">
        <v>0.0</v>
      </c>
      <c r="K373" s="2">
        <v>244527.0</v>
      </c>
      <c r="L373" s="2">
        <v>189100.0</v>
      </c>
      <c r="N373" s="2">
        <v>55427.0</v>
      </c>
      <c r="P373" s="3"/>
      <c r="Q373" s="3"/>
      <c r="R373" s="3"/>
      <c r="S373" s="3"/>
      <c r="T373" s="3"/>
      <c r="U373" s="3"/>
      <c r="V373" s="3"/>
      <c r="W373" s="3"/>
      <c r="X373" s="3"/>
      <c r="Y373" s="3"/>
      <c r="Z373" s="3"/>
      <c r="AA373" s="3"/>
      <c r="AB373" s="3"/>
      <c r="AC373" s="3"/>
      <c r="AD373" s="3"/>
      <c r="AE373" s="3"/>
      <c r="AF373" s="3"/>
      <c r="AG373" s="3"/>
    </row>
    <row r="374">
      <c r="A374" s="2">
        <v>2018.0</v>
      </c>
      <c r="B374" s="2" t="s">
        <v>780</v>
      </c>
      <c r="D374" s="2" t="s">
        <v>493</v>
      </c>
      <c r="E374" s="2" t="s">
        <v>786</v>
      </c>
      <c r="F374" s="2">
        <v>340000.0</v>
      </c>
      <c r="I374" s="2">
        <v>340000.0</v>
      </c>
      <c r="J374" s="2">
        <v>7133.0</v>
      </c>
      <c r="K374" s="2">
        <v>687133.0</v>
      </c>
      <c r="L374" s="2">
        <v>449420.0</v>
      </c>
      <c r="N374" s="2">
        <v>237713.0</v>
      </c>
      <c r="P374" s="3"/>
      <c r="Q374" s="3"/>
      <c r="R374" s="3"/>
      <c r="S374" s="3"/>
      <c r="T374" s="3"/>
      <c r="U374" s="3"/>
      <c r="V374" s="3"/>
      <c r="W374" s="3"/>
      <c r="X374" s="3"/>
      <c r="Y374" s="3"/>
      <c r="Z374" s="3"/>
      <c r="AA374" s="3"/>
      <c r="AB374" s="3"/>
      <c r="AC374" s="3"/>
      <c r="AD374" s="3"/>
      <c r="AE374" s="3"/>
      <c r="AF374" s="3"/>
      <c r="AG374" s="3"/>
    </row>
    <row r="375">
      <c r="A375" s="2">
        <v>2018.0</v>
      </c>
      <c r="B375" s="2" t="s">
        <v>780</v>
      </c>
      <c r="D375" s="2" t="s">
        <v>493</v>
      </c>
      <c r="E375" s="2" t="s">
        <v>114</v>
      </c>
      <c r="F375" s="2">
        <v>27985.0</v>
      </c>
      <c r="I375" s="2">
        <v>0.0</v>
      </c>
      <c r="J375" s="2">
        <v>1133.0</v>
      </c>
      <c r="K375" s="2">
        <v>29118.0</v>
      </c>
      <c r="L375" s="2">
        <v>0.0</v>
      </c>
      <c r="N375" s="2">
        <v>29118.0</v>
      </c>
      <c r="P375" s="3"/>
      <c r="Q375" s="3"/>
      <c r="R375" s="3"/>
      <c r="S375" s="3"/>
      <c r="T375" s="3"/>
      <c r="U375" s="3"/>
      <c r="V375" s="3"/>
      <c r="W375" s="3"/>
      <c r="X375" s="3"/>
      <c r="Y375" s="3"/>
      <c r="Z375" s="3"/>
      <c r="AA375" s="3"/>
      <c r="AB375" s="3"/>
      <c r="AC375" s="3"/>
      <c r="AD375" s="3"/>
      <c r="AE375" s="3"/>
      <c r="AF375" s="3"/>
      <c r="AG375" s="3"/>
    </row>
    <row r="376">
      <c r="A376" s="2">
        <v>2018.0</v>
      </c>
      <c r="B376" s="2" t="s">
        <v>780</v>
      </c>
      <c r="D376" s="2" t="s">
        <v>493</v>
      </c>
      <c r="E376" s="2" t="s">
        <v>460</v>
      </c>
      <c r="F376" s="2">
        <v>47459.0</v>
      </c>
      <c r="I376" s="2">
        <v>74000.0</v>
      </c>
      <c r="J376" s="2">
        <v>1671.0</v>
      </c>
      <c r="K376" s="2">
        <v>123130.0</v>
      </c>
      <c r="L376" s="2">
        <v>111600.0</v>
      </c>
      <c r="N376" s="2">
        <v>11530.0</v>
      </c>
      <c r="P376" s="3"/>
      <c r="Q376" s="3"/>
      <c r="R376" s="3"/>
      <c r="S376" s="3"/>
      <c r="T376" s="3"/>
      <c r="U376" s="3"/>
      <c r="V376" s="3"/>
      <c r="W376" s="3"/>
      <c r="X376" s="3"/>
      <c r="Y376" s="3"/>
      <c r="Z376" s="3"/>
      <c r="AA376" s="3"/>
      <c r="AB376" s="3"/>
      <c r="AC376" s="3"/>
      <c r="AD376" s="3"/>
      <c r="AE376" s="3"/>
      <c r="AF376" s="3"/>
      <c r="AG376" s="3"/>
    </row>
    <row r="377">
      <c r="A377" s="2">
        <v>2018.0</v>
      </c>
      <c r="B377" s="2" t="s">
        <v>780</v>
      </c>
      <c r="D377" s="2" t="s">
        <v>496</v>
      </c>
      <c r="E377" s="2" t="s">
        <v>32</v>
      </c>
      <c r="F377" s="2">
        <v>78794.0</v>
      </c>
      <c r="I377" s="2">
        <v>153950.0</v>
      </c>
      <c r="J377" s="2">
        <v>4179.0</v>
      </c>
      <c r="K377" s="2">
        <v>236923.0</v>
      </c>
      <c r="L377" s="2">
        <v>0.0</v>
      </c>
      <c r="N377" s="2">
        <v>236923.0</v>
      </c>
      <c r="P377" s="3"/>
      <c r="Q377" s="3"/>
      <c r="R377" s="3"/>
      <c r="S377" s="3"/>
      <c r="T377" s="3"/>
      <c r="U377" s="3"/>
      <c r="V377" s="3"/>
      <c r="W377" s="3"/>
      <c r="X377" s="3"/>
      <c r="Y377" s="3"/>
      <c r="Z377" s="3"/>
      <c r="AA377" s="3"/>
      <c r="AB377" s="3"/>
      <c r="AC377" s="3"/>
      <c r="AD377" s="3"/>
      <c r="AE377" s="3"/>
      <c r="AF377" s="3"/>
      <c r="AG377" s="3"/>
    </row>
    <row r="378">
      <c r="A378" s="2">
        <v>2018.0</v>
      </c>
      <c r="B378" s="2" t="s">
        <v>780</v>
      </c>
      <c r="D378" s="2" t="s">
        <v>496</v>
      </c>
      <c r="E378" s="2" t="s">
        <v>789</v>
      </c>
      <c r="F378" s="2">
        <v>194412.0</v>
      </c>
      <c r="I378" s="2">
        <v>1526023.0</v>
      </c>
      <c r="J378" s="2">
        <v>27908.0</v>
      </c>
      <c r="K378" s="2">
        <v>1748343.0</v>
      </c>
      <c r="L378" s="2">
        <v>1042418.0</v>
      </c>
      <c r="N378" s="2">
        <v>705925.0</v>
      </c>
      <c r="P378" s="3"/>
      <c r="Q378" s="3"/>
      <c r="R378" s="3"/>
      <c r="S378" s="3"/>
      <c r="T378" s="3"/>
      <c r="U378" s="3"/>
      <c r="V378" s="3"/>
      <c r="W378" s="3"/>
      <c r="X378" s="3"/>
      <c r="Y378" s="3"/>
      <c r="Z378" s="3"/>
      <c r="AA378" s="3"/>
      <c r="AB378" s="3"/>
      <c r="AC378" s="3"/>
      <c r="AD378" s="3"/>
      <c r="AE378" s="3"/>
      <c r="AF378" s="3"/>
      <c r="AG378" s="3"/>
    </row>
    <row r="379">
      <c r="A379" s="2">
        <v>2018.0</v>
      </c>
      <c r="B379" s="2" t="s">
        <v>780</v>
      </c>
      <c r="D379" s="2" t="s">
        <v>496</v>
      </c>
      <c r="E379" s="2" t="s">
        <v>114</v>
      </c>
      <c r="F379" s="2">
        <v>403232.0</v>
      </c>
      <c r="I379" s="2">
        <v>0.0</v>
      </c>
      <c r="J379" s="2">
        <v>16325.0</v>
      </c>
      <c r="K379" s="2">
        <v>419557.0</v>
      </c>
      <c r="L379" s="2">
        <v>0.0</v>
      </c>
      <c r="N379" s="2">
        <v>419557.0</v>
      </c>
      <c r="P379" s="3"/>
      <c r="Q379" s="3"/>
      <c r="R379" s="3"/>
      <c r="S379" s="3"/>
      <c r="T379" s="3"/>
      <c r="U379" s="3"/>
      <c r="V379" s="3"/>
      <c r="W379" s="3"/>
      <c r="X379" s="3"/>
      <c r="Y379" s="3"/>
      <c r="Z379" s="3"/>
      <c r="AA379" s="3"/>
      <c r="AB379" s="3"/>
      <c r="AC379" s="3"/>
      <c r="AD379" s="3"/>
      <c r="AE379" s="3"/>
      <c r="AF379" s="3"/>
      <c r="AG379" s="3"/>
    </row>
    <row r="380">
      <c r="A380" s="2">
        <v>2018.0</v>
      </c>
      <c r="B380" s="2" t="s">
        <v>780</v>
      </c>
      <c r="D380" s="2" t="s">
        <v>496</v>
      </c>
      <c r="E380" s="2" t="s">
        <v>460</v>
      </c>
      <c r="F380" s="2">
        <v>2977.0</v>
      </c>
      <c r="I380" s="2">
        <v>50000.0</v>
      </c>
      <c r="J380" s="2">
        <v>471.0</v>
      </c>
      <c r="K380" s="2">
        <v>53448.0</v>
      </c>
      <c r="L380" s="2">
        <v>46200.0</v>
      </c>
      <c r="N380" s="2">
        <v>7248.0</v>
      </c>
      <c r="P380" s="3"/>
      <c r="Q380" s="3"/>
      <c r="R380" s="3"/>
      <c r="S380" s="3"/>
      <c r="T380" s="3"/>
      <c r="U380" s="3"/>
      <c r="V380" s="3"/>
      <c r="W380" s="3"/>
      <c r="X380" s="3"/>
      <c r="Y380" s="3"/>
      <c r="Z380" s="3"/>
      <c r="AA380" s="3"/>
      <c r="AB380" s="3"/>
      <c r="AC380" s="3"/>
      <c r="AD380" s="3"/>
      <c r="AE380" s="3"/>
      <c r="AF380" s="3"/>
      <c r="AG380" s="3"/>
    </row>
    <row r="381">
      <c r="A381" s="2">
        <v>2018.0</v>
      </c>
      <c r="B381" s="2" t="s">
        <v>780</v>
      </c>
      <c r="D381" s="2" t="s">
        <v>499</v>
      </c>
      <c r="E381" s="2" t="s">
        <v>32</v>
      </c>
      <c r="F381" s="2">
        <v>101972.0</v>
      </c>
      <c r="I381" s="2">
        <v>77395.0</v>
      </c>
      <c r="J381" s="2">
        <v>4663.0</v>
      </c>
      <c r="K381" s="2">
        <v>184030.0</v>
      </c>
      <c r="L381" s="2">
        <v>46424.0</v>
      </c>
      <c r="N381" s="2">
        <v>137606.0</v>
      </c>
      <c r="P381" s="3"/>
      <c r="Q381" s="3"/>
      <c r="R381" s="3"/>
      <c r="S381" s="3"/>
      <c r="T381" s="3"/>
      <c r="U381" s="3"/>
      <c r="V381" s="3"/>
      <c r="W381" s="3"/>
      <c r="X381" s="3"/>
      <c r="Y381" s="3"/>
      <c r="Z381" s="3"/>
      <c r="AA381" s="3"/>
      <c r="AB381" s="3"/>
      <c r="AC381" s="3"/>
      <c r="AD381" s="3"/>
      <c r="AE381" s="3"/>
      <c r="AF381" s="3"/>
      <c r="AG381" s="3"/>
    </row>
    <row r="382">
      <c r="A382" s="2">
        <v>2018.0</v>
      </c>
      <c r="B382" s="2" t="s">
        <v>780</v>
      </c>
      <c r="D382" s="2" t="s">
        <v>499</v>
      </c>
      <c r="E382" s="2" t="s">
        <v>792</v>
      </c>
      <c r="F382" s="2">
        <v>201917.0</v>
      </c>
      <c r="I382" s="2">
        <v>1317747.0</v>
      </c>
      <c r="J382" s="2">
        <v>27018.0</v>
      </c>
      <c r="K382" s="2">
        <v>1546682.0</v>
      </c>
      <c r="L382" s="2">
        <v>1301270.0</v>
      </c>
      <c r="N382" s="2">
        <v>245412.0</v>
      </c>
      <c r="P382" s="3"/>
      <c r="Q382" s="3"/>
      <c r="R382" s="3"/>
      <c r="S382" s="3"/>
      <c r="T382" s="3"/>
      <c r="U382" s="3"/>
      <c r="V382" s="3"/>
      <c r="W382" s="3"/>
      <c r="X382" s="3"/>
      <c r="Y382" s="3"/>
      <c r="Z382" s="3"/>
      <c r="AA382" s="3"/>
      <c r="AB382" s="3"/>
      <c r="AC382" s="3"/>
      <c r="AD382" s="3"/>
      <c r="AE382" s="3"/>
      <c r="AF382" s="3"/>
      <c r="AG382" s="3"/>
    </row>
    <row r="383">
      <c r="A383" s="2">
        <v>2018.0</v>
      </c>
      <c r="B383" s="2" t="s">
        <v>780</v>
      </c>
      <c r="D383" s="2" t="s">
        <v>499</v>
      </c>
      <c r="E383" s="2" t="s">
        <v>794</v>
      </c>
      <c r="F383" s="2">
        <v>1000.0</v>
      </c>
      <c r="I383" s="2">
        <v>462200.0</v>
      </c>
      <c r="J383" s="2">
        <v>24.0</v>
      </c>
      <c r="K383" s="2">
        <v>463224.0</v>
      </c>
      <c r="L383" s="2">
        <v>153885.0</v>
      </c>
      <c r="N383" s="2">
        <v>309339.0</v>
      </c>
      <c r="P383" s="3"/>
      <c r="Q383" s="3"/>
      <c r="R383" s="3"/>
      <c r="S383" s="3"/>
      <c r="T383" s="3"/>
      <c r="U383" s="3"/>
      <c r="V383" s="3"/>
      <c r="W383" s="3"/>
      <c r="X383" s="3"/>
      <c r="Y383" s="3"/>
      <c r="Z383" s="3"/>
      <c r="AA383" s="3"/>
      <c r="AB383" s="3"/>
      <c r="AC383" s="3"/>
      <c r="AD383" s="3"/>
      <c r="AE383" s="3"/>
      <c r="AF383" s="3"/>
      <c r="AG383" s="3"/>
    </row>
    <row r="384">
      <c r="A384" s="2">
        <v>2018.0</v>
      </c>
      <c r="B384" s="2" t="s">
        <v>780</v>
      </c>
      <c r="D384" s="2" t="s">
        <v>499</v>
      </c>
      <c r="E384" s="2" t="s">
        <v>783</v>
      </c>
      <c r="F384" s="2">
        <v>0.0</v>
      </c>
      <c r="I384" s="2">
        <v>502000.0</v>
      </c>
      <c r="J384" s="2">
        <v>0.0</v>
      </c>
      <c r="K384" s="2">
        <v>502000.0</v>
      </c>
      <c r="L384" s="2">
        <v>286.0</v>
      </c>
      <c r="N384" s="2">
        <v>501714.0</v>
      </c>
      <c r="P384" s="3"/>
      <c r="Q384" s="3"/>
      <c r="R384" s="3"/>
      <c r="S384" s="3"/>
      <c r="T384" s="3"/>
      <c r="U384" s="3"/>
      <c r="V384" s="3"/>
      <c r="W384" s="3"/>
      <c r="X384" s="3"/>
      <c r="Y384" s="3"/>
      <c r="Z384" s="3"/>
      <c r="AA384" s="3"/>
      <c r="AB384" s="3"/>
      <c r="AC384" s="3"/>
      <c r="AD384" s="3"/>
      <c r="AE384" s="3"/>
      <c r="AF384" s="3"/>
      <c r="AG384" s="3"/>
    </row>
    <row r="385">
      <c r="A385" s="2">
        <v>2018.0</v>
      </c>
      <c r="B385" s="2" t="s">
        <v>780</v>
      </c>
      <c r="D385" s="2" t="s">
        <v>499</v>
      </c>
      <c r="E385" s="2" t="s">
        <v>114</v>
      </c>
      <c r="F385" s="2">
        <v>474138.0</v>
      </c>
      <c r="I385" s="2">
        <v>0.0</v>
      </c>
      <c r="J385" s="2">
        <v>12080.0</v>
      </c>
      <c r="K385" s="2">
        <v>486218.0</v>
      </c>
      <c r="L385" s="2">
        <v>389076.0</v>
      </c>
      <c r="N385" s="2">
        <v>97142.0</v>
      </c>
      <c r="P385" s="3"/>
      <c r="Q385" s="3"/>
      <c r="R385" s="3"/>
      <c r="S385" s="3"/>
      <c r="T385" s="3"/>
      <c r="U385" s="3"/>
      <c r="V385" s="3"/>
      <c r="W385" s="3"/>
      <c r="X385" s="3"/>
      <c r="Y385" s="3"/>
      <c r="Z385" s="3"/>
      <c r="AA385" s="3"/>
      <c r="AB385" s="3"/>
      <c r="AC385" s="3"/>
      <c r="AD385" s="3"/>
      <c r="AE385" s="3"/>
      <c r="AF385" s="3"/>
      <c r="AG385" s="3"/>
    </row>
    <row r="386">
      <c r="A386" s="2">
        <v>2018.0</v>
      </c>
      <c r="B386" s="2" t="s">
        <v>780</v>
      </c>
      <c r="D386" s="2" t="s">
        <v>499</v>
      </c>
      <c r="E386" s="2" t="s">
        <v>460</v>
      </c>
      <c r="F386" s="2">
        <v>59705.0</v>
      </c>
      <c r="I386" s="2">
        <v>0.0</v>
      </c>
      <c r="J386" s="2">
        <v>2412.0</v>
      </c>
      <c r="K386" s="2">
        <v>62117.0</v>
      </c>
      <c r="L386" s="2">
        <v>0.0</v>
      </c>
      <c r="N386" s="2">
        <v>62117.0</v>
      </c>
      <c r="P386" s="3"/>
      <c r="Q386" s="3"/>
      <c r="R386" s="3"/>
      <c r="S386" s="3"/>
      <c r="T386" s="3"/>
      <c r="U386" s="3"/>
      <c r="V386" s="3"/>
      <c r="W386" s="3"/>
      <c r="X386" s="3"/>
      <c r="Y386" s="3"/>
      <c r="Z386" s="3"/>
      <c r="AA386" s="3"/>
      <c r="AB386" s="3"/>
      <c r="AC386" s="3"/>
      <c r="AD386" s="3"/>
      <c r="AE386" s="3"/>
      <c r="AF386" s="3"/>
      <c r="AG386" s="3"/>
    </row>
    <row r="387">
      <c r="A387" s="2">
        <v>2018.0</v>
      </c>
      <c r="B387" s="2" t="s">
        <v>780</v>
      </c>
      <c r="D387" s="2" t="s">
        <v>501</v>
      </c>
      <c r="E387" s="2" t="s">
        <v>32</v>
      </c>
      <c r="F387" s="2">
        <v>179079.0</v>
      </c>
      <c r="I387" s="2">
        <v>40484.0</v>
      </c>
      <c r="J387" s="2">
        <v>0.0</v>
      </c>
      <c r="K387" s="2">
        <v>219563.0</v>
      </c>
      <c r="L387" s="2">
        <v>54000.0</v>
      </c>
      <c r="N387" s="2">
        <v>165563.0</v>
      </c>
      <c r="P387" s="3"/>
      <c r="Q387" s="3"/>
      <c r="R387" s="3"/>
      <c r="S387" s="3"/>
      <c r="T387" s="3"/>
      <c r="U387" s="3"/>
      <c r="V387" s="3"/>
      <c r="W387" s="3"/>
      <c r="X387" s="3"/>
      <c r="Y387" s="3"/>
      <c r="Z387" s="3"/>
      <c r="AA387" s="3"/>
      <c r="AB387" s="3"/>
      <c r="AC387" s="3"/>
      <c r="AD387" s="3"/>
      <c r="AE387" s="3"/>
      <c r="AF387" s="3"/>
      <c r="AG387" s="3"/>
    </row>
    <row r="388">
      <c r="A388" s="2">
        <v>2018.0</v>
      </c>
      <c r="B388" s="2" t="s">
        <v>780</v>
      </c>
      <c r="D388" s="2" t="s">
        <v>501</v>
      </c>
      <c r="E388" s="2" t="s">
        <v>795</v>
      </c>
      <c r="F388" s="2">
        <v>964112.0</v>
      </c>
      <c r="I388" s="2">
        <v>1345647.0</v>
      </c>
      <c r="J388" s="2">
        <v>34316.0</v>
      </c>
      <c r="K388" s="2">
        <v>2344075.0</v>
      </c>
      <c r="L388" s="2">
        <v>1114177.0</v>
      </c>
      <c r="N388" s="2">
        <v>1229898.0</v>
      </c>
      <c r="P388" s="3"/>
      <c r="Q388" s="3"/>
      <c r="R388" s="3"/>
      <c r="S388" s="3"/>
      <c r="T388" s="3"/>
      <c r="U388" s="3"/>
      <c r="V388" s="3"/>
      <c r="W388" s="3"/>
      <c r="X388" s="3"/>
      <c r="Y388" s="3"/>
      <c r="Z388" s="3"/>
      <c r="AA388" s="3"/>
      <c r="AB388" s="3"/>
      <c r="AC388" s="3"/>
      <c r="AD388" s="3"/>
      <c r="AE388" s="3"/>
      <c r="AF388" s="3"/>
      <c r="AG388" s="3"/>
    </row>
    <row r="389">
      <c r="A389" s="2">
        <v>2018.0</v>
      </c>
      <c r="B389" s="2" t="s">
        <v>780</v>
      </c>
      <c r="D389" s="2" t="s">
        <v>501</v>
      </c>
      <c r="E389" s="2" t="s">
        <v>798</v>
      </c>
      <c r="F389" s="2">
        <v>1000.0</v>
      </c>
      <c r="I389" s="2">
        <v>370500.0</v>
      </c>
      <c r="J389" s="2">
        <v>0.0</v>
      </c>
      <c r="K389" s="2">
        <v>371500.0</v>
      </c>
      <c r="L389" s="2">
        <v>286.0</v>
      </c>
      <c r="N389" s="2">
        <v>371214.0</v>
      </c>
      <c r="P389" s="3"/>
      <c r="Q389" s="3"/>
      <c r="R389" s="3"/>
      <c r="S389" s="3"/>
      <c r="T389" s="3"/>
      <c r="U389" s="3"/>
      <c r="V389" s="3"/>
      <c r="W389" s="3"/>
      <c r="X389" s="3"/>
      <c r="Y389" s="3"/>
      <c r="Z389" s="3"/>
      <c r="AA389" s="3"/>
      <c r="AB389" s="3"/>
      <c r="AC389" s="3"/>
      <c r="AD389" s="3"/>
      <c r="AE389" s="3"/>
      <c r="AF389" s="3"/>
      <c r="AG389" s="3"/>
    </row>
    <row r="390">
      <c r="A390" s="2">
        <v>2018.0</v>
      </c>
      <c r="B390" s="2" t="s">
        <v>780</v>
      </c>
      <c r="D390" s="2" t="s">
        <v>501</v>
      </c>
      <c r="E390" s="2" t="s">
        <v>114</v>
      </c>
      <c r="F390" s="2">
        <v>449273.0</v>
      </c>
      <c r="I390" s="2">
        <v>0.0</v>
      </c>
      <c r="J390" s="2">
        <v>7439.0</v>
      </c>
      <c r="K390" s="2">
        <v>456712.0</v>
      </c>
      <c r="L390" s="2">
        <v>429783.0</v>
      </c>
      <c r="N390" s="2">
        <v>26929.0</v>
      </c>
      <c r="P390" s="3"/>
      <c r="Q390" s="3"/>
      <c r="R390" s="3"/>
      <c r="S390" s="3"/>
      <c r="T390" s="3"/>
      <c r="U390" s="3"/>
      <c r="V390" s="3"/>
      <c r="W390" s="3"/>
      <c r="X390" s="3"/>
      <c r="Y390" s="3"/>
      <c r="Z390" s="3"/>
      <c r="AA390" s="3"/>
      <c r="AB390" s="3"/>
      <c r="AC390" s="3"/>
      <c r="AD390" s="3"/>
      <c r="AE390" s="3"/>
      <c r="AF390" s="3"/>
      <c r="AG390" s="3"/>
    </row>
    <row r="391">
      <c r="A391" s="2">
        <v>2018.0</v>
      </c>
      <c r="B391" s="2" t="s">
        <v>780</v>
      </c>
      <c r="D391" s="2" t="s">
        <v>501</v>
      </c>
      <c r="E391" s="2" t="s">
        <v>460</v>
      </c>
      <c r="F391" s="2">
        <v>22489.0</v>
      </c>
      <c r="I391" s="2">
        <v>50000.0</v>
      </c>
      <c r="J391" s="2">
        <v>1033.0</v>
      </c>
      <c r="K391" s="2">
        <v>73522.0</v>
      </c>
      <c r="L391" s="2">
        <v>72160.0</v>
      </c>
      <c r="N391" s="2">
        <v>1362.0</v>
      </c>
      <c r="P391" s="3"/>
      <c r="Q391" s="3"/>
      <c r="R391" s="3"/>
      <c r="S391" s="3"/>
      <c r="T391" s="3"/>
      <c r="U391" s="3"/>
      <c r="V391" s="3"/>
      <c r="W391" s="3"/>
      <c r="X391" s="3"/>
      <c r="Y391" s="3"/>
      <c r="Z391" s="3"/>
      <c r="AA391" s="3"/>
      <c r="AB391" s="3"/>
      <c r="AC391" s="3"/>
      <c r="AD391" s="3"/>
      <c r="AE391" s="3"/>
      <c r="AF391" s="3"/>
      <c r="AG391" s="3"/>
    </row>
    <row r="392">
      <c r="A392" s="2">
        <v>2018.0</v>
      </c>
      <c r="B392" s="2" t="s">
        <v>780</v>
      </c>
      <c r="D392" s="2" t="s">
        <v>505</v>
      </c>
      <c r="E392" s="2" t="s">
        <v>32</v>
      </c>
      <c r="F392" s="2">
        <v>9537.0</v>
      </c>
      <c r="I392" s="2">
        <v>39980.0</v>
      </c>
      <c r="J392" s="2">
        <v>1298.0</v>
      </c>
      <c r="K392" s="2">
        <v>50815.0</v>
      </c>
      <c r="L392" s="2">
        <v>6000.0</v>
      </c>
      <c r="N392" s="2">
        <v>44815.0</v>
      </c>
      <c r="P392" s="3"/>
      <c r="Q392" s="3"/>
      <c r="R392" s="3"/>
      <c r="S392" s="3"/>
      <c r="T392" s="3"/>
      <c r="U392" s="3"/>
      <c r="V392" s="3"/>
      <c r="W392" s="3"/>
      <c r="X392" s="3"/>
      <c r="Y392" s="3"/>
      <c r="Z392" s="3"/>
      <c r="AA392" s="3"/>
      <c r="AB392" s="3"/>
      <c r="AC392" s="3"/>
      <c r="AD392" s="3"/>
      <c r="AE392" s="3"/>
      <c r="AF392" s="3"/>
      <c r="AG392" s="3"/>
    </row>
    <row r="393">
      <c r="A393" s="2">
        <v>2018.0</v>
      </c>
      <c r="B393" s="2" t="s">
        <v>780</v>
      </c>
      <c r="D393" s="2" t="s">
        <v>505</v>
      </c>
      <c r="E393" s="2" t="s">
        <v>801</v>
      </c>
      <c r="F393" s="2">
        <v>20489.0</v>
      </c>
      <c r="I393" s="2">
        <v>215700.0</v>
      </c>
      <c r="J393" s="2">
        <v>595.0</v>
      </c>
      <c r="K393" s="2">
        <v>236784.0</v>
      </c>
      <c r="L393" s="2">
        <v>165700.0</v>
      </c>
      <c r="N393" s="2">
        <v>71084.0</v>
      </c>
      <c r="P393" s="3"/>
      <c r="Q393" s="3"/>
      <c r="R393" s="3"/>
      <c r="S393" s="3"/>
      <c r="T393" s="3"/>
      <c r="U393" s="3"/>
      <c r="V393" s="3"/>
      <c r="W393" s="3"/>
      <c r="X393" s="3"/>
      <c r="Y393" s="3"/>
      <c r="Z393" s="3"/>
      <c r="AA393" s="3"/>
      <c r="AB393" s="3"/>
      <c r="AC393" s="3"/>
      <c r="AD393" s="3"/>
      <c r="AE393" s="3"/>
      <c r="AF393" s="3"/>
      <c r="AG393" s="3"/>
    </row>
    <row r="394">
      <c r="A394" s="2">
        <v>2018.0</v>
      </c>
      <c r="B394" s="2" t="s">
        <v>780</v>
      </c>
      <c r="D394" s="2" t="s">
        <v>505</v>
      </c>
      <c r="E394" s="2" t="s">
        <v>795</v>
      </c>
      <c r="F394" s="2">
        <v>262027.0</v>
      </c>
      <c r="I394" s="2">
        <v>878715.0</v>
      </c>
      <c r="J394" s="2">
        <v>20130.0</v>
      </c>
      <c r="K394" s="2">
        <v>1160872.0</v>
      </c>
      <c r="L394" s="2">
        <v>917797.0</v>
      </c>
      <c r="N394" s="2">
        <v>243075.0</v>
      </c>
      <c r="P394" s="3"/>
      <c r="Q394" s="3"/>
      <c r="R394" s="3"/>
      <c r="S394" s="3"/>
      <c r="T394" s="3"/>
      <c r="U394" s="3"/>
      <c r="V394" s="3"/>
      <c r="W394" s="3"/>
      <c r="X394" s="3"/>
      <c r="Y394" s="3"/>
      <c r="Z394" s="3"/>
      <c r="AA394" s="3"/>
      <c r="AB394" s="3"/>
      <c r="AC394" s="3"/>
      <c r="AD394" s="3"/>
      <c r="AE394" s="3"/>
      <c r="AF394" s="3"/>
      <c r="AG394" s="3"/>
    </row>
    <row r="395">
      <c r="A395" s="2">
        <v>2018.0</v>
      </c>
      <c r="B395" s="2" t="s">
        <v>780</v>
      </c>
      <c r="D395" s="2" t="s">
        <v>505</v>
      </c>
      <c r="E395" s="2" t="s">
        <v>114</v>
      </c>
      <c r="F395" s="2">
        <v>418984.0</v>
      </c>
      <c r="I395" s="2">
        <v>17232.0</v>
      </c>
      <c r="J395" s="2">
        <v>10432.0</v>
      </c>
      <c r="K395" s="2">
        <v>446648.0</v>
      </c>
      <c r="L395" s="2">
        <v>388752.0</v>
      </c>
      <c r="N395" s="2">
        <v>57896.0</v>
      </c>
      <c r="P395" s="3"/>
      <c r="Q395" s="3"/>
      <c r="R395" s="3"/>
      <c r="S395" s="3"/>
      <c r="T395" s="3"/>
      <c r="U395" s="3"/>
      <c r="V395" s="3"/>
      <c r="W395" s="3"/>
      <c r="X395" s="3"/>
      <c r="Y395" s="3"/>
      <c r="Z395" s="3"/>
      <c r="AA395" s="3"/>
      <c r="AB395" s="3"/>
      <c r="AC395" s="3"/>
      <c r="AD395" s="3"/>
      <c r="AE395" s="3"/>
      <c r="AF395" s="3"/>
      <c r="AG395" s="3"/>
    </row>
    <row r="396">
      <c r="A396" s="2">
        <v>2018.0</v>
      </c>
      <c r="B396" s="2" t="s">
        <v>780</v>
      </c>
      <c r="D396" s="2" t="s">
        <v>505</v>
      </c>
      <c r="E396" s="2" t="s">
        <v>460</v>
      </c>
      <c r="F396" s="2">
        <v>48951.0</v>
      </c>
      <c r="I396" s="2">
        <v>51000.0</v>
      </c>
      <c r="J396" s="2">
        <v>685.0</v>
      </c>
      <c r="K396" s="2">
        <v>100636.0</v>
      </c>
      <c r="L396" s="2">
        <v>98959.0</v>
      </c>
      <c r="N396" s="2">
        <v>1677.0</v>
      </c>
      <c r="P396" s="3"/>
      <c r="Q396" s="3"/>
      <c r="R396" s="3"/>
      <c r="S396" s="3"/>
      <c r="T396" s="3"/>
      <c r="U396" s="3"/>
      <c r="V396" s="3"/>
      <c r="W396" s="3"/>
      <c r="X396" s="3"/>
      <c r="Y396" s="3"/>
      <c r="Z396" s="3"/>
      <c r="AA396" s="3"/>
      <c r="AB396" s="3"/>
      <c r="AC396" s="3"/>
      <c r="AD396" s="3"/>
      <c r="AE396" s="3"/>
      <c r="AF396" s="3"/>
      <c r="AG396" s="3"/>
    </row>
    <row r="397">
      <c r="A397" s="2">
        <v>2018.0</v>
      </c>
      <c r="B397" s="2" t="s">
        <v>780</v>
      </c>
      <c r="D397" s="2" t="s">
        <v>505</v>
      </c>
      <c r="E397" s="2" t="s">
        <v>804</v>
      </c>
      <c r="F397" s="2">
        <v>49922.0</v>
      </c>
      <c r="I397" s="2">
        <v>344876.0</v>
      </c>
      <c r="J397" s="2">
        <v>6062.0</v>
      </c>
      <c r="K397" s="2">
        <v>400860.0</v>
      </c>
      <c r="L397" s="2">
        <v>250678.0</v>
      </c>
      <c r="N397" s="2">
        <v>150182.0</v>
      </c>
      <c r="P397" s="3"/>
      <c r="Q397" s="3"/>
      <c r="R397" s="3"/>
      <c r="S397" s="3"/>
      <c r="T397" s="3"/>
      <c r="U397" s="3"/>
      <c r="V397" s="3"/>
      <c r="W397" s="3"/>
      <c r="X397" s="3"/>
      <c r="Y397" s="3"/>
      <c r="Z397" s="3"/>
      <c r="AA397" s="3"/>
      <c r="AB397" s="3"/>
      <c r="AC397" s="3"/>
      <c r="AD397" s="3"/>
      <c r="AE397" s="3"/>
      <c r="AF397" s="3"/>
      <c r="AG397" s="3"/>
    </row>
    <row r="398">
      <c r="A398" s="2">
        <v>2018.0</v>
      </c>
      <c r="B398" s="2" t="s">
        <v>780</v>
      </c>
      <c r="D398" s="2" t="s">
        <v>508</v>
      </c>
      <c r="E398" s="2" t="s">
        <v>32</v>
      </c>
      <c r="F398" s="2">
        <v>51466.0</v>
      </c>
      <c r="I398" s="2">
        <v>15460.0</v>
      </c>
      <c r="J398" s="2">
        <v>2424.0</v>
      </c>
      <c r="K398" s="2">
        <v>69350.0</v>
      </c>
      <c r="L398" s="2">
        <v>0.0</v>
      </c>
      <c r="N398" s="2">
        <v>69350.0</v>
      </c>
      <c r="P398" s="3"/>
      <c r="Q398" s="3"/>
      <c r="R398" s="3"/>
      <c r="S398" s="3"/>
      <c r="T398" s="3"/>
      <c r="U398" s="3"/>
      <c r="V398" s="3"/>
      <c r="W398" s="3"/>
      <c r="X398" s="3"/>
      <c r="Y398" s="3"/>
      <c r="Z398" s="3"/>
      <c r="AA398" s="3"/>
      <c r="AB398" s="3"/>
      <c r="AC398" s="3"/>
      <c r="AD398" s="3"/>
      <c r="AE398" s="3"/>
      <c r="AF398" s="3"/>
      <c r="AG398" s="3"/>
    </row>
    <row r="399">
      <c r="A399" s="2">
        <v>2018.0</v>
      </c>
      <c r="B399" s="2" t="s">
        <v>780</v>
      </c>
      <c r="D399" s="2" t="s">
        <v>508</v>
      </c>
      <c r="E399" s="2" t="s">
        <v>801</v>
      </c>
      <c r="F399" s="2">
        <v>95791.0</v>
      </c>
      <c r="I399" s="2">
        <v>369900.0</v>
      </c>
      <c r="J399" s="2">
        <v>3475.0</v>
      </c>
      <c r="K399" s="2">
        <v>469166.0</v>
      </c>
      <c r="L399" s="2">
        <v>307558.0</v>
      </c>
      <c r="N399" s="2">
        <v>161608.0</v>
      </c>
      <c r="P399" s="3"/>
      <c r="Q399" s="3"/>
      <c r="R399" s="3"/>
      <c r="S399" s="3"/>
      <c r="T399" s="3"/>
      <c r="U399" s="3"/>
      <c r="V399" s="3"/>
      <c r="W399" s="3"/>
      <c r="X399" s="3"/>
      <c r="Y399" s="3"/>
      <c r="Z399" s="3"/>
      <c r="AA399" s="3"/>
      <c r="AB399" s="3"/>
      <c r="AC399" s="3"/>
      <c r="AD399" s="3"/>
      <c r="AE399" s="3"/>
      <c r="AF399" s="3"/>
      <c r="AG399" s="3"/>
    </row>
    <row r="400">
      <c r="A400" s="2">
        <v>2018.0</v>
      </c>
      <c r="B400" s="2" t="s">
        <v>780</v>
      </c>
      <c r="D400" s="2" t="s">
        <v>508</v>
      </c>
      <c r="E400" s="2" t="s">
        <v>807</v>
      </c>
      <c r="F400" s="2">
        <v>805337.0</v>
      </c>
      <c r="I400" s="2">
        <v>1180515.0</v>
      </c>
      <c r="J400" s="2">
        <v>54753.0</v>
      </c>
      <c r="K400" s="2">
        <v>2040605.0</v>
      </c>
      <c r="L400" s="2">
        <v>1518208.0</v>
      </c>
      <c r="N400" s="2">
        <v>522397.0</v>
      </c>
      <c r="P400" s="3"/>
      <c r="Q400" s="3"/>
      <c r="R400" s="3"/>
      <c r="S400" s="3"/>
      <c r="T400" s="3"/>
      <c r="U400" s="3"/>
      <c r="V400" s="3"/>
      <c r="W400" s="3"/>
      <c r="X400" s="3"/>
      <c r="Y400" s="3"/>
      <c r="Z400" s="3"/>
      <c r="AA400" s="3"/>
      <c r="AB400" s="3"/>
      <c r="AC400" s="3"/>
      <c r="AD400" s="3"/>
      <c r="AE400" s="3"/>
      <c r="AF400" s="3"/>
      <c r="AG400" s="3"/>
    </row>
    <row r="401">
      <c r="A401" s="2">
        <v>2018.0</v>
      </c>
      <c r="B401" s="2" t="s">
        <v>780</v>
      </c>
      <c r="D401" s="2" t="s">
        <v>508</v>
      </c>
      <c r="E401" s="2" t="s">
        <v>114</v>
      </c>
      <c r="F401" s="2">
        <v>521366.0</v>
      </c>
      <c r="I401" s="2">
        <v>17232.0</v>
      </c>
      <c r="J401" s="2">
        <v>18350.0</v>
      </c>
      <c r="K401" s="2">
        <v>556948.0</v>
      </c>
      <c r="L401" s="2">
        <v>180870.0</v>
      </c>
      <c r="N401" s="2">
        <v>376078.0</v>
      </c>
      <c r="P401" s="3"/>
      <c r="Q401" s="3"/>
      <c r="R401" s="3"/>
      <c r="S401" s="3"/>
      <c r="T401" s="3"/>
      <c r="U401" s="3"/>
      <c r="V401" s="3"/>
      <c r="W401" s="3"/>
      <c r="X401" s="3"/>
      <c r="Y401" s="3"/>
      <c r="Z401" s="3"/>
      <c r="AA401" s="3"/>
      <c r="AB401" s="3"/>
      <c r="AC401" s="3"/>
      <c r="AD401" s="3"/>
      <c r="AE401" s="3"/>
      <c r="AF401" s="3"/>
      <c r="AG401" s="3"/>
    </row>
    <row r="402">
      <c r="A402" s="2">
        <v>2018.0</v>
      </c>
      <c r="B402" s="2" t="s">
        <v>780</v>
      </c>
      <c r="D402" s="2" t="s">
        <v>508</v>
      </c>
      <c r="E402" s="2" t="s">
        <v>460</v>
      </c>
      <c r="F402" s="2">
        <v>11217.0</v>
      </c>
      <c r="I402" s="2">
        <v>50000.0</v>
      </c>
      <c r="J402" s="2">
        <v>865.0</v>
      </c>
      <c r="K402" s="2">
        <v>62082.0</v>
      </c>
      <c r="L402" s="2">
        <v>44528.0</v>
      </c>
      <c r="N402" s="2">
        <v>17554.0</v>
      </c>
      <c r="P402" s="3"/>
      <c r="Q402" s="3"/>
      <c r="R402" s="3"/>
      <c r="S402" s="3"/>
      <c r="T402" s="3"/>
      <c r="U402" s="3"/>
      <c r="V402" s="3"/>
      <c r="W402" s="3"/>
      <c r="X402" s="3"/>
      <c r="Y402" s="3"/>
      <c r="Z402" s="3"/>
      <c r="AA402" s="3"/>
      <c r="AB402" s="3"/>
      <c r="AC402" s="3"/>
      <c r="AD402" s="3"/>
      <c r="AE402" s="3"/>
      <c r="AF402" s="3"/>
      <c r="AG402" s="3"/>
    </row>
    <row r="403">
      <c r="A403" s="2">
        <v>2018.0</v>
      </c>
      <c r="B403" s="2" t="s">
        <v>780</v>
      </c>
      <c r="D403" s="2" t="s">
        <v>510</v>
      </c>
      <c r="E403" s="2" t="s">
        <v>32</v>
      </c>
      <c r="F403" s="2">
        <v>19545.0</v>
      </c>
      <c r="I403" s="2">
        <v>44872.0</v>
      </c>
      <c r="J403" s="2">
        <v>1042.0</v>
      </c>
      <c r="K403" s="2">
        <v>65459.0</v>
      </c>
      <c r="L403" s="2">
        <v>0.0</v>
      </c>
      <c r="N403" s="2">
        <v>65459.0</v>
      </c>
      <c r="P403" s="3"/>
      <c r="Q403" s="3"/>
      <c r="R403" s="3"/>
      <c r="S403" s="3"/>
      <c r="T403" s="3"/>
      <c r="U403" s="3"/>
      <c r="V403" s="3"/>
      <c r="W403" s="3"/>
      <c r="X403" s="3"/>
      <c r="Y403" s="3"/>
      <c r="Z403" s="3"/>
      <c r="AA403" s="3"/>
      <c r="AB403" s="3"/>
      <c r="AC403" s="3"/>
      <c r="AD403" s="3"/>
      <c r="AE403" s="3"/>
      <c r="AF403" s="3"/>
      <c r="AG403" s="3"/>
    </row>
    <row r="404">
      <c r="A404" s="2">
        <v>2018.0</v>
      </c>
      <c r="B404" s="2" t="s">
        <v>780</v>
      </c>
      <c r="D404" s="2" t="s">
        <v>510</v>
      </c>
      <c r="E404" s="2" t="s">
        <v>810</v>
      </c>
      <c r="F404" s="2">
        <v>20866.0</v>
      </c>
      <c r="I404" s="2">
        <v>227080.0</v>
      </c>
      <c r="J404" s="2">
        <v>1157.0</v>
      </c>
      <c r="K404" s="2">
        <v>249103.0</v>
      </c>
      <c r="L404" s="2">
        <v>227252.0</v>
      </c>
      <c r="N404" s="2">
        <v>21851.0</v>
      </c>
      <c r="P404" s="3"/>
      <c r="Q404" s="3"/>
      <c r="R404" s="3"/>
      <c r="S404" s="3"/>
      <c r="T404" s="3"/>
      <c r="U404" s="3"/>
      <c r="V404" s="3"/>
      <c r="W404" s="3"/>
      <c r="X404" s="3"/>
      <c r="Y404" s="3"/>
      <c r="Z404" s="3"/>
      <c r="AA404" s="3"/>
      <c r="AB404" s="3"/>
      <c r="AC404" s="3"/>
      <c r="AD404" s="3"/>
      <c r="AE404" s="3"/>
      <c r="AF404" s="3"/>
      <c r="AG404" s="3"/>
    </row>
    <row r="405">
      <c r="A405" s="2">
        <v>2018.0</v>
      </c>
      <c r="B405" s="2" t="s">
        <v>780</v>
      </c>
      <c r="D405" s="2" t="s">
        <v>510</v>
      </c>
      <c r="E405" s="2" t="s">
        <v>812</v>
      </c>
      <c r="F405" s="2">
        <v>500.0</v>
      </c>
      <c r="I405" s="2">
        <v>252000.0</v>
      </c>
      <c r="J405" s="2">
        <v>0.0</v>
      </c>
      <c r="K405" s="2">
        <v>252500.0</v>
      </c>
      <c r="L405" s="2">
        <v>148372.0</v>
      </c>
      <c r="N405" s="2">
        <v>104128.0</v>
      </c>
      <c r="P405" s="3"/>
      <c r="Q405" s="3"/>
      <c r="R405" s="3"/>
      <c r="S405" s="3"/>
      <c r="T405" s="3"/>
      <c r="U405" s="3"/>
      <c r="V405" s="3"/>
      <c r="W405" s="3"/>
      <c r="X405" s="3"/>
      <c r="Y405" s="3"/>
      <c r="Z405" s="3"/>
      <c r="AA405" s="3"/>
      <c r="AB405" s="3"/>
      <c r="AC405" s="3"/>
      <c r="AD405" s="3"/>
      <c r="AE405" s="3"/>
      <c r="AF405" s="3"/>
      <c r="AG405" s="3"/>
    </row>
    <row r="406">
      <c r="A406" s="2">
        <v>2018.0</v>
      </c>
      <c r="B406" s="2" t="s">
        <v>780</v>
      </c>
      <c r="D406" s="2" t="s">
        <v>510</v>
      </c>
      <c r="E406" s="2" t="s">
        <v>807</v>
      </c>
      <c r="F406" s="2">
        <v>146024.0</v>
      </c>
      <c r="I406" s="2">
        <v>955515.0</v>
      </c>
      <c r="J406" s="2">
        <v>21383.0</v>
      </c>
      <c r="K406" s="2">
        <v>1122922.0</v>
      </c>
      <c r="L406" s="2">
        <v>1121248.0</v>
      </c>
      <c r="N406" s="2">
        <v>1674.0</v>
      </c>
      <c r="P406" s="3"/>
      <c r="Q406" s="3"/>
      <c r="R406" s="3"/>
      <c r="S406" s="3"/>
      <c r="T406" s="3"/>
      <c r="U406" s="3"/>
      <c r="V406" s="3"/>
      <c r="W406" s="3"/>
      <c r="X406" s="3"/>
      <c r="Y406" s="3"/>
      <c r="Z406" s="3"/>
      <c r="AA406" s="3"/>
      <c r="AB406" s="3"/>
      <c r="AC406" s="3"/>
      <c r="AD406" s="3"/>
      <c r="AE406" s="3"/>
      <c r="AF406" s="3"/>
      <c r="AG406" s="3"/>
    </row>
    <row r="407">
      <c r="A407" s="2">
        <v>2018.0</v>
      </c>
      <c r="B407" s="2" t="s">
        <v>780</v>
      </c>
      <c r="D407" s="2" t="s">
        <v>510</v>
      </c>
      <c r="E407" s="2" t="s">
        <v>114</v>
      </c>
      <c r="F407" s="2">
        <v>229768.0</v>
      </c>
      <c r="I407" s="2">
        <v>17232.0</v>
      </c>
      <c r="J407" s="2">
        <v>8752.0</v>
      </c>
      <c r="K407" s="2">
        <v>255752.0</v>
      </c>
      <c r="L407" s="2">
        <v>93576.0</v>
      </c>
      <c r="N407" s="2">
        <v>162176.0</v>
      </c>
      <c r="P407" s="3"/>
      <c r="Q407" s="3"/>
      <c r="R407" s="3"/>
      <c r="S407" s="3"/>
      <c r="T407" s="3"/>
      <c r="U407" s="3"/>
      <c r="V407" s="3"/>
      <c r="W407" s="3"/>
      <c r="X407" s="3"/>
      <c r="Y407" s="3"/>
      <c r="Z407" s="3"/>
      <c r="AA407" s="3"/>
      <c r="AB407" s="3"/>
      <c r="AC407" s="3"/>
      <c r="AD407" s="3"/>
      <c r="AE407" s="3"/>
      <c r="AF407" s="3"/>
      <c r="AG407" s="3"/>
    </row>
    <row r="408">
      <c r="A408" s="2">
        <v>2018.0</v>
      </c>
      <c r="B408" s="2" t="s">
        <v>780</v>
      </c>
      <c r="D408" s="2" t="s">
        <v>510</v>
      </c>
      <c r="E408" s="2" t="s">
        <v>460</v>
      </c>
      <c r="F408" s="2">
        <v>10547.0</v>
      </c>
      <c r="I408" s="2">
        <v>50000.0</v>
      </c>
      <c r="J408" s="2">
        <v>1106.0</v>
      </c>
      <c r="K408" s="2">
        <v>61653.0</v>
      </c>
      <c r="L408" s="2">
        <v>48000.0</v>
      </c>
      <c r="N408" s="2">
        <v>13653.0</v>
      </c>
      <c r="P408" s="3"/>
      <c r="Q408" s="3"/>
      <c r="R408" s="3"/>
      <c r="S408" s="3"/>
      <c r="T408" s="3"/>
      <c r="U408" s="3"/>
      <c r="V408" s="3"/>
      <c r="W408" s="3"/>
      <c r="X408" s="3"/>
      <c r="Y408" s="3"/>
      <c r="Z408" s="3"/>
      <c r="AA408" s="3"/>
      <c r="AB408" s="3"/>
      <c r="AC408" s="3"/>
      <c r="AD408" s="3"/>
      <c r="AE408" s="3"/>
      <c r="AF408" s="3"/>
      <c r="AG408" s="3"/>
    </row>
    <row r="409">
      <c r="A409" s="2">
        <v>2018.0</v>
      </c>
      <c r="B409" s="2" t="s">
        <v>780</v>
      </c>
      <c r="D409" s="2" t="s">
        <v>518</v>
      </c>
      <c r="E409" s="2" t="s">
        <v>32</v>
      </c>
      <c r="F409" s="2">
        <v>28370.0</v>
      </c>
      <c r="I409" s="2">
        <v>20500.0</v>
      </c>
      <c r="J409" s="2">
        <v>1382.0</v>
      </c>
      <c r="K409" s="2">
        <v>50252.0</v>
      </c>
      <c r="L409" s="2">
        <v>0.0</v>
      </c>
      <c r="N409" s="2">
        <v>50252.0</v>
      </c>
      <c r="P409" s="3"/>
      <c r="Q409" s="3"/>
      <c r="R409" s="3"/>
      <c r="S409" s="3"/>
      <c r="T409" s="3"/>
      <c r="U409" s="3"/>
      <c r="V409" s="3"/>
      <c r="W409" s="3"/>
      <c r="X409" s="3"/>
      <c r="Y409" s="3"/>
      <c r="Z409" s="3"/>
      <c r="AA409" s="3"/>
      <c r="AB409" s="3"/>
      <c r="AC409" s="3"/>
      <c r="AD409" s="3"/>
      <c r="AE409" s="3"/>
      <c r="AF409" s="3"/>
      <c r="AG409" s="3"/>
    </row>
    <row r="410">
      <c r="A410" s="2">
        <v>2018.0</v>
      </c>
      <c r="B410" s="2" t="s">
        <v>780</v>
      </c>
      <c r="D410" s="2" t="s">
        <v>518</v>
      </c>
      <c r="E410" s="2" t="s">
        <v>817</v>
      </c>
      <c r="F410" s="2">
        <v>153114.0</v>
      </c>
      <c r="I410" s="2">
        <v>1609727.0</v>
      </c>
      <c r="J410" s="2">
        <v>16731.0</v>
      </c>
      <c r="K410" s="2">
        <v>1779572.0</v>
      </c>
      <c r="L410" s="2">
        <v>1371678.0</v>
      </c>
      <c r="N410" s="2">
        <v>407894.0</v>
      </c>
      <c r="P410" s="3"/>
      <c r="Q410" s="3"/>
      <c r="R410" s="3"/>
      <c r="S410" s="3"/>
      <c r="T410" s="3"/>
      <c r="U410" s="3"/>
      <c r="V410" s="3"/>
      <c r="W410" s="3"/>
      <c r="X410" s="3"/>
      <c r="Y410" s="3"/>
      <c r="Z410" s="3"/>
      <c r="AA410" s="3"/>
      <c r="AB410" s="3"/>
      <c r="AC410" s="3"/>
      <c r="AD410" s="3"/>
      <c r="AE410" s="3"/>
      <c r="AF410" s="3"/>
      <c r="AG410" s="3"/>
    </row>
    <row r="411">
      <c r="A411" s="2">
        <v>2018.0</v>
      </c>
      <c r="B411" s="2" t="s">
        <v>780</v>
      </c>
      <c r="D411" s="2" t="s">
        <v>518</v>
      </c>
      <c r="E411" s="2" t="s">
        <v>114</v>
      </c>
      <c r="F411" s="2">
        <v>402559.0</v>
      </c>
      <c r="I411" s="2">
        <v>17232.0</v>
      </c>
      <c r="J411" s="2">
        <v>6663.0</v>
      </c>
      <c r="K411" s="2">
        <v>426454.0</v>
      </c>
      <c r="L411" s="2">
        <v>426012.0</v>
      </c>
      <c r="N411" s="2">
        <v>442.0</v>
      </c>
      <c r="P411" s="3"/>
      <c r="Q411" s="3"/>
      <c r="R411" s="3"/>
      <c r="S411" s="3"/>
      <c r="T411" s="3"/>
      <c r="U411" s="3"/>
      <c r="V411" s="3"/>
      <c r="W411" s="3"/>
      <c r="X411" s="3"/>
      <c r="Y411" s="3"/>
      <c r="Z411" s="3"/>
      <c r="AA411" s="3"/>
      <c r="AB411" s="3"/>
      <c r="AC411" s="3"/>
      <c r="AD411" s="3"/>
      <c r="AE411" s="3"/>
      <c r="AF411" s="3"/>
      <c r="AG411" s="3"/>
    </row>
    <row r="412">
      <c r="A412" s="2">
        <v>2018.0</v>
      </c>
      <c r="B412" s="2" t="s">
        <v>780</v>
      </c>
      <c r="D412" s="2" t="s">
        <v>518</v>
      </c>
      <c r="E412" s="2" t="s">
        <v>460</v>
      </c>
      <c r="F412" s="2">
        <v>5576.0</v>
      </c>
      <c r="I412" s="2">
        <v>50000.0</v>
      </c>
      <c r="J412" s="2">
        <v>740.0</v>
      </c>
      <c r="K412" s="2">
        <v>56316.0</v>
      </c>
      <c r="L412" s="2">
        <v>55736.0</v>
      </c>
      <c r="N412" s="2">
        <v>580.0</v>
      </c>
      <c r="P412" s="3"/>
      <c r="Q412" s="3"/>
      <c r="R412" s="3"/>
      <c r="S412" s="3"/>
      <c r="T412" s="3"/>
      <c r="U412" s="3"/>
      <c r="V412" s="3"/>
      <c r="W412" s="3"/>
      <c r="X412" s="3"/>
      <c r="Y412" s="3"/>
      <c r="Z412" s="3"/>
      <c r="AA412" s="3"/>
      <c r="AB412" s="3"/>
      <c r="AC412" s="3"/>
      <c r="AD412" s="3"/>
      <c r="AE412" s="3"/>
      <c r="AF412" s="3"/>
      <c r="AG412" s="3"/>
    </row>
    <row r="413">
      <c r="A413" s="2">
        <v>2018.0</v>
      </c>
      <c r="B413" s="2" t="s">
        <v>780</v>
      </c>
      <c r="D413" s="2" t="s">
        <v>661</v>
      </c>
      <c r="F413" s="2">
        <v>2781654.0</v>
      </c>
      <c r="I413" s="2">
        <v>2550621.0</v>
      </c>
      <c r="K413" s="2">
        <v>5332275.0</v>
      </c>
      <c r="L413" s="2">
        <v>1382041.0</v>
      </c>
      <c r="N413" s="2">
        <v>3950234.0</v>
      </c>
      <c r="P413" s="3"/>
      <c r="Q413" s="3"/>
      <c r="R413" s="3"/>
      <c r="S413" s="3"/>
      <c r="T413" s="3"/>
      <c r="U413" s="3"/>
      <c r="V413" s="3"/>
      <c r="W413" s="3"/>
      <c r="X413" s="3"/>
      <c r="Y413" s="3"/>
      <c r="Z413" s="3"/>
      <c r="AA413" s="3"/>
      <c r="AB413" s="3"/>
      <c r="AC413" s="3"/>
      <c r="AD413" s="3"/>
      <c r="AE413" s="3"/>
      <c r="AF413" s="3"/>
      <c r="AG413" s="3"/>
    </row>
    <row r="414">
      <c r="A414" s="2">
        <v>2018.0</v>
      </c>
      <c r="B414" s="2" t="s">
        <v>780</v>
      </c>
      <c r="D414" s="2" t="s">
        <v>662</v>
      </c>
      <c r="F414" s="2">
        <v>772529.0</v>
      </c>
      <c r="I414" s="2">
        <v>2950549.0</v>
      </c>
      <c r="K414" s="2">
        <v>3723078.0</v>
      </c>
      <c r="L414" s="2">
        <v>2375323.0</v>
      </c>
      <c r="N414" s="2">
        <v>1347755.0</v>
      </c>
      <c r="P414" s="3"/>
      <c r="Q414" s="3"/>
      <c r="R414" s="3"/>
      <c r="S414" s="3"/>
      <c r="T414" s="3"/>
      <c r="U414" s="3"/>
      <c r="V414" s="3"/>
      <c r="W414" s="3"/>
      <c r="X414" s="3"/>
      <c r="Y414" s="3"/>
      <c r="Z414" s="3"/>
      <c r="AA414" s="3"/>
      <c r="AB414" s="3"/>
      <c r="AC414" s="3"/>
      <c r="AD414" s="3"/>
      <c r="AE414" s="3"/>
      <c r="AF414" s="3"/>
      <c r="AG414" s="3"/>
    </row>
    <row r="415">
      <c r="A415" s="2">
        <v>2018.0</v>
      </c>
      <c r="B415" s="2" t="s">
        <v>780</v>
      </c>
      <c r="D415" s="2" t="s">
        <v>664</v>
      </c>
      <c r="F415" s="2">
        <v>988923.0</v>
      </c>
      <c r="I415" s="2">
        <v>2864739.0</v>
      </c>
      <c r="K415" s="2">
        <v>3853662.0</v>
      </c>
      <c r="L415" s="2">
        <v>1931625.0</v>
      </c>
      <c r="N415" s="2">
        <v>1922037.0</v>
      </c>
      <c r="P415" s="3"/>
      <c r="Q415" s="3"/>
      <c r="R415" s="3"/>
      <c r="S415" s="3"/>
      <c r="T415" s="3"/>
      <c r="U415" s="3"/>
      <c r="V415" s="3"/>
      <c r="W415" s="3"/>
      <c r="X415" s="3"/>
      <c r="Y415" s="3"/>
      <c r="Z415" s="3"/>
      <c r="AA415" s="3"/>
      <c r="AB415" s="3"/>
      <c r="AC415" s="3"/>
      <c r="AD415" s="3"/>
      <c r="AE415" s="3"/>
      <c r="AF415" s="3"/>
      <c r="AG415" s="3"/>
    </row>
    <row r="416">
      <c r="A416" s="2">
        <v>2018.0</v>
      </c>
      <c r="B416" s="2" t="s">
        <v>780</v>
      </c>
      <c r="D416" s="2" t="s">
        <v>666</v>
      </c>
      <c r="F416" s="2">
        <v>1376667.0</v>
      </c>
      <c r="I416" s="2">
        <v>3816180.0</v>
      </c>
      <c r="K416" s="2">
        <v>5192847.0</v>
      </c>
      <c r="L416" s="2">
        <v>3030578.0</v>
      </c>
      <c r="N416" s="2">
        <v>2162269.0</v>
      </c>
      <c r="P416" s="3"/>
      <c r="Q416" s="3"/>
      <c r="R416" s="3"/>
      <c r="S416" s="3"/>
      <c r="T416" s="3"/>
      <c r="U416" s="3"/>
      <c r="V416" s="3"/>
      <c r="W416" s="3"/>
      <c r="X416" s="3"/>
      <c r="Y416" s="3"/>
      <c r="Z416" s="3"/>
      <c r="AA416" s="3"/>
      <c r="AB416" s="3"/>
      <c r="AC416" s="3"/>
      <c r="AD416" s="3"/>
      <c r="AE416" s="3"/>
      <c r="AF416" s="3"/>
      <c r="AG416" s="3"/>
    </row>
    <row r="417">
      <c r="A417" s="2">
        <v>2018.0</v>
      </c>
      <c r="B417" s="2" t="s">
        <v>780</v>
      </c>
      <c r="D417" s="2" t="s">
        <v>668</v>
      </c>
      <c r="F417" s="2">
        <v>1335250.0</v>
      </c>
      <c r="I417" s="2">
        <v>2445583.0</v>
      </c>
      <c r="K417" s="2">
        <v>3780833.0</v>
      </c>
      <c r="L417" s="2">
        <v>1728233.0</v>
      </c>
      <c r="N417" s="2">
        <v>2052600.0</v>
      </c>
      <c r="P417" s="3"/>
      <c r="Q417" s="3"/>
      <c r="R417" s="3"/>
      <c r="S417" s="3"/>
      <c r="T417" s="3"/>
      <c r="U417" s="3"/>
      <c r="V417" s="3"/>
      <c r="W417" s="3"/>
      <c r="X417" s="3"/>
      <c r="Y417" s="3"/>
      <c r="Z417" s="3"/>
      <c r="AA417" s="3"/>
      <c r="AB417" s="3"/>
      <c r="AC417" s="3"/>
      <c r="AD417" s="3"/>
      <c r="AE417" s="3"/>
      <c r="AF417" s="3"/>
      <c r="AG417" s="3"/>
    </row>
    <row r="418">
      <c r="A418" s="2">
        <v>2018.0</v>
      </c>
      <c r="B418" s="2" t="s">
        <v>780</v>
      </c>
      <c r="D418" s="2" t="s">
        <v>671</v>
      </c>
      <c r="F418" s="2">
        <v>1278724.0</v>
      </c>
      <c r="I418" s="2">
        <v>2907171.0</v>
      </c>
      <c r="K418" s="2">
        <v>4185895.0</v>
      </c>
      <c r="L418" s="2">
        <v>2853481.0</v>
      </c>
      <c r="N418" s="2">
        <v>133414.0</v>
      </c>
      <c r="P418" s="3"/>
      <c r="Q418" s="3"/>
      <c r="R418" s="3"/>
      <c r="S418" s="3"/>
      <c r="T418" s="3"/>
      <c r="U418" s="3"/>
      <c r="V418" s="3"/>
      <c r="W418" s="3"/>
      <c r="X418" s="3"/>
      <c r="Y418" s="3"/>
      <c r="Z418" s="3"/>
      <c r="AA418" s="3"/>
      <c r="AB418" s="3"/>
      <c r="AC418" s="3"/>
      <c r="AD418" s="3"/>
      <c r="AE418" s="3"/>
      <c r="AF418" s="3"/>
      <c r="AG418" s="3"/>
    </row>
    <row r="419">
      <c r="A419" s="2">
        <v>2018.0</v>
      </c>
      <c r="B419" s="2" t="s">
        <v>780</v>
      </c>
      <c r="D419" s="2" t="s">
        <v>673</v>
      </c>
      <c r="F419" s="2">
        <v>832398.0</v>
      </c>
      <c r="I419" s="2">
        <v>3454931.0</v>
      </c>
      <c r="K419" s="2">
        <v>4287329.0</v>
      </c>
      <c r="L419" s="2">
        <v>2806615.0</v>
      </c>
      <c r="N419" s="2">
        <v>1480714.0</v>
      </c>
      <c r="P419" s="3"/>
      <c r="Q419" s="3"/>
      <c r="R419" s="3"/>
      <c r="S419" s="3"/>
      <c r="T419" s="3"/>
      <c r="U419" s="3"/>
      <c r="V419" s="3"/>
      <c r="W419" s="3"/>
      <c r="X419" s="3"/>
      <c r="Y419" s="3"/>
      <c r="Z419" s="3"/>
      <c r="AA419" s="3"/>
      <c r="AB419" s="3"/>
      <c r="AC419" s="3"/>
      <c r="AD419" s="3"/>
      <c r="AE419" s="3"/>
      <c r="AF419" s="3"/>
      <c r="AG419" s="3"/>
    </row>
    <row r="420">
      <c r="A420" s="2">
        <v>2018.0</v>
      </c>
      <c r="B420" s="2" t="s">
        <v>780</v>
      </c>
      <c r="D420" s="2" t="s">
        <v>675</v>
      </c>
      <c r="F420" s="2">
        <v>474089.0</v>
      </c>
      <c r="I420" s="2">
        <v>2565672.0</v>
      </c>
      <c r="K420" s="2">
        <v>3039761.0</v>
      </c>
      <c r="L420" s="2">
        <v>2181625.0</v>
      </c>
      <c r="N420" s="2">
        <v>858136.0</v>
      </c>
      <c r="P420" s="3"/>
      <c r="Q420" s="3"/>
      <c r="R420" s="3"/>
      <c r="S420" s="3"/>
      <c r="T420" s="3"/>
      <c r="U420" s="3"/>
      <c r="V420" s="3"/>
      <c r="W420" s="3"/>
      <c r="X420" s="3"/>
      <c r="Y420" s="3"/>
      <c r="Z420" s="3"/>
      <c r="AA420" s="3"/>
      <c r="AB420" s="3"/>
      <c r="AC420" s="3"/>
      <c r="AD420" s="3"/>
      <c r="AE420" s="3"/>
      <c r="AF420" s="3"/>
      <c r="AG420" s="3"/>
    </row>
    <row r="421">
      <c r="A421" s="2">
        <v>2018.0</v>
      </c>
      <c r="B421" s="2" t="s">
        <v>780</v>
      </c>
      <c r="D421" s="2" t="s">
        <v>677</v>
      </c>
      <c r="F421" s="2">
        <v>1591612.0</v>
      </c>
      <c r="I421" s="2">
        <v>1843797.0</v>
      </c>
      <c r="K421" s="2">
        <v>3435409.0</v>
      </c>
      <c r="L421" s="2">
        <v>2074617.0</v>
      </c>
      <c r="N421" s="2">
        <v>1360792.0</v>
      </c>
      <c r="P421" s="3"/>
      <c r="Q421" s="3"/>
      <c r="R421" s="3"/>
      <c r="S421" s="3"/>
      <c r="T421" s="3"/>
      <c r="U421" s="3"/>
      <c r="V421" s="3"/>
      <c r="W421" s="3"/>
      <c r="X421" s="3"/>
      <c r="Y421" s="3"/>
      <c r="Z421" s="3"/>
      <c r="AA421" s="3"/>
      <c r="AB421" s="3"/>
      <c r="AC421" s="3"/>
      <c r="AD421" s="3"/>
      <c r="AE421" s="3"/>
      <c r="AF421" s="3"/>
      <c r="AG421" s="3"/>
    </row>
    <row r="422">
      <c r="A422" s="2">
        <v>2018.0</v>
      </c>
      <c r="B422" s="2" t="s">
        <v>780</v>
      </c>
      <c r="D422" s="2" t="s">
        <v>680</v>
      </c>
      <c r="F422" s="2">
        <v>2550544.0</v>
      </c>
      <c r="I422" s="2">
        <v>1858830.0</v>
      </c>
      <c r="K422" s="2">
        <v>4409374.0</v>
      </c>
      <c r="L422" s="2">
        <v>3296194.0</v>
      </c>
      <c r="N422" s="2">
        <v>1113180.0</v>
      </c>
      <c r="P422" s="3"/>
      <c r="Q422" s="3"/>
      <c r="R422" s="3"/>
      <c r="S422" s="3"/>
      <c r="T422" s="3"/>
      <c r="U422" s="3"/>
      <c r="V422" s="3"/>
      <c r="W422" s="3"/>
      <c r="X422" s="3"/>
      <c r="Y422" s="3"/>
      <c r="Z422" s="3"/>
      <c r="AA422" s="3"/>
      <c r="AB422" s="3"/>
      <c r="AC422" s="3"/>
      <c r="AD422" s="3"/>
      <c r="AE422" s="3"/>
      <c r="AF422" s="3"/>
      <c r="AG422" s="3"/>
    </row>
    <row r="423">
      <c r="A423" s="2">
        <v>2018.0</v>
      </c>
      <c r="B423" s="2" t="s">
        <v>780</v>
      </c>
      <c r="D423" s="2" t="s">
        <v>681</v>
      </c>
      <c r="F423" s="2">
        <v>575830.0</v>
      </c>
      <c r="I423" s="2">
        <v>1770177.0</v>
      </c>
      <c r="K423" s="2">
        <v>2346007.0</v>
      </c>
      <c r="L423" s="2">
        <v>2080985.0</v>
      </c>
      <c r="N423" s="2">
        <v>265022.0</v>
      </c>
      <c r="P423" s="3"/>
      <c r="Q423" s="3"/>
      <c r="R423" s="3"/>
      <c r="S423" s="3"/>
      <c r="T423" s="3"/>
      <c r="U423" s="3"/>
      <c r="V423" s="3"/>
      <c r="W423" s="3"/>
      <c r="X423" s="3"/>
      <c r="Y423" s="3"/>
      <c r="Z423" s="3"/>
      <c r="AA423" s="3"/>
      <c r="AB423" s="3"/>
      <c r="AC423" s="3"/>
      <c r="AD423" s="3"/>
      <c r="AE423" s="3"/>
      <c r="AF423" s="3"/>
      <c r="AG423" s="3"/>
    </row>
    <row r="424">
      <c r="A424" s="2">
        <v>2018.0</v>
      </c>
      <c r="B424" s="2" t="s">
        <v>780</v>
      </c>
      <c r="D424" s="2" t="s">
        <v>684</v>
      </c>
      <c r="F424" s="2">
        <v>21233.0</v>
      </c>
      <c r="I424" s="2">
        <v>1681068.0</v>
      </c>
      <c r="K424" s="2">
        <v>1702301.0</v>
      </c>
      <c r="L424" s="2">
        <v>1507600.0</v>
      </c>
      <c r="N424" s="2">
        <v>194701.0</v>
      </c>
      <c r="P424" s="3"/>
      <c r="Q424" s="3"/>
      <c r="R424" s="3"/>
      <c r="S424" s="3"/>
      <c r="T424" s="3"/>
      <c r="U424" s="3"/>
      <c r="V424" s="3"/>
      <c r="W424" s="3"/>
      <c r="X424" s="3"/>
      <c r="Y424" s="3"/>
      <c r="Z424" s="3"/>
      <c r="AA424" s="3"/>
      <c r="AB424" s="3"/>
      <c r="AC424" s="3"/>
      <c r="AD424" s="3"/>
      <c r="AE424" s="3"/>
      <c r="AF424" s="3"/>
      <c r="AG424" s="3"/>
    </row>
    <row r="425">
      <c r="A425" s="2">
        <v>2018.0</v>
      </c>
      <c r="B425" s="2" t="s">
        <v>780</v>
      </c>
      <c r="D425" s="2" t="s">
        <v>688</v>
      </c>
      <c r="F425" s="2">
        <v>215595.0</v>
      </c>
      <c r="I425" s="2">
        <v>2240872.0</v>
      </c>
      <c r="K425" s="2">
        <v>2456467.0</v>
      </c>
      <c r="L425" s="2">
        <v>2281001.0</v>
      </c>
      <c r="N425" s="2">
        <v>175466.0</v>
      </c>
      <c r="P425" s="3"/>
      <c r="Q425" s="3"/>
      <c r="R425" s="3"/>
      <c r="S425" s="3"/>
      <c r="T425" s="3"/>
      <c r="U425" s="3"/>
      <c r="V425" s="3"/>
      <c r="W425" s="3"/>
      <c r="X425" s="3"/>
      <c r="Y425" s="3"/>
      <c r="Z425" s="3"/>
      <c r="AA425" s="3"/>
      <c r="AB425" s="3"/>
      <c r="AC425" s="3"/>
      <c r="AD425" s="3"/>
      <c r="AE425" s="3"/>
      <c r="AF425" s="3"/>
      <c r="AG425" s="3"/>
    </row>
    <row r="426">
      <c r="A426" s="2">
        <v>2018.0</v>
      </c>
      <c r="B426" s="2" t="s">
        <v>780</v>
      </c>
      <c r="D426" s="2" t="s">
        <v>489</v>
      </c>
      <c r="E426" s="2" t="s">
        <v>831</v>
      </c>
      <c r="F426" s="2">
        <v>127556.0</v>
      </c>
      <c r="I426" s="2">
        <v>1326547.0</v>
      </c>
      <c r="J426" s="2">
        <v>18021.0</v>
      </c>
      <c r="K426" s="2">
        <v>1472124.0</v>
      </c>
      <c r="L426" s="2">
        <v>1258632.0</v>
      </c>
      <c r="N426" s="2">
        <v>213492.0</v>
      </c>
      <c r="P426" s="3"/>
      <c r="Q426" s="3"/>
      <c r="R426" s="3"/>
      <c r="S426" s="3"/>
      <c r="T426" s="3"/>
      <c r="U426" s="3"/>
      <c r="V426" s="3"/>
      <c r="W426" s="3"/>
      <c r="X426" s="3"/>
      <c r="Y426" s="3"/>
      <c r="Z426" s="3"/>
      <c r="AA426" s="3"/>
      <c r="AB426" s="3"/>
      <c r="AC426" s="3"/>
      <c r="AD426" s="3"/>
      <c r="AE426" s="3"/>
      <c r="AF426" s="3"/>
      <c r="AG426" s="3"/>
    </row>
    <row r="427">
      <c r="A427" s="2">
        <v>2018.0</v>
      </c>
      <c r="B427" s="2" t="s">
        <v>780</v>
      </c>
      <c r="D427" s="2" t="s">
        <v>493</v>
      </c>
      <c r="E427" s="2" t="s">
        <v>831</v>
      </c>
      <c r="F427" s="2">
        <v>272915.0</v>
      </c>
      <c r="I427" s="2">
        <v>874647.0</v>
      </c>
      <c r="J427" s="2">
        <v>24729.0</v>
      </c>
      <c r="K427" s="2">
        <v>1172291.0</v>
      </c>
      <c r="L427" s="2">
        <v>753824.0</v>
      </c>
      <c r="N427" s="2">
        <v>418467.0</v>
      </c>
      <c r="P427" s="3"/>
      <c r="Q427" s="3"/>
      <c r="R427" s="3"/>
      <c r="S427" s="3"/>
      <c r="T427" s="3"/>
      <c r="U427" s="3"/>
      <c r="V427" s="3"/>
      <c r="W427" s="3"/>
      <c r="X427" s="3"/>
      <c r="Y427" s="3"/>
      <c r="Z427" s="3"/>
      <c r="AA427" s="3"/>
      <c r="AB427" s="3"/>
      <c r="AC427" s="3"/>
      <c r="AD427" s="3"/>
      <c r="AE427" s="3"/>
      <c r="AF427" s="3"/>
      <c r="AG427" s="3"/>
    </row>
    <row r="428">
      <c r="A428" s="2">
        <v>2018.0</v>
      </c>
      <c r="B428" s="2" t="s">
        <v>780</v>
      </c>
      <c r="D428" s="2" t="s">
        <v>501</v>
      </c>
      <c r="E428" s="2" t="s">
        <v>801</v>
      </c>
      <c r="F428" s="2">
        <v>64930.0</v>
      </c>
      <c r="I428" s="2">
        <v>269400.0</v>
      </c>
      <c r="J428" s="2">
        <v>2995.0</v>
      </c>
      <c r="K428" s="2">
        <v>337325.0</v>
      </c>
      <c r="L428" s="2">
        <v>269457.0</v>
      </c>
      <c r="N428" s="2">
        <v>67868.0</v>
      </c>
      <c r="P428" s="3"/>
      <c r="Q428" s="3"/>
      <c r="R428" s="3"/>
      <c r="S428" s="3"/>
      <c r="T428" s="3"/>
      <c r="U428" s="3"/>
      <c r="V428" s="3"/>
      <c r="W428" s="3"/>
      <c r="X428" s="3"/>
      <c r="Y428" s="3"/>
      <c r="Z428" s="3"/>
      <c r="AA428" s="3"/>
      <c r="AB428" s="3"/>
      <c r="AC428" s="3"/>
      <c r="AD428" s="3"/>
      <c r="AE428" s="3"/>
      <c r="AF428" s="3"/>
      <c r="AG428" s="3"/>
    </row>
    <row r="429">
      <c r="A429" s="2">
        <v>2018.0</v>
      </c>
      <c r="B429" s="2" t="s">
        <v>780</v>
      </c>
      <c r="D429" s="2" t="s">
        <v>690</v>
      </c>
      <c r="E429" s="2" t="s">
        <v>691</v>
      </c>
      <c r="F429" s="2">
        <v>117363.0</v>
      </c>
      <c r="I429" s="2">
        <v>1704547.0</v>
      </c>
      <c r="J429" s="2">
        <v>23302.0</v>
      </c>
      <c r="K429" s="2">
        <v>1845212.0</v>
      </c>
      <c r="L429" s="2">
        <v>1521902.0</v>
      </c>
      <c r="N429" s="2">
        <v>323310.0</v>
      </c>
      <c r="P429" s="3"/>
      <c r="Q429" s="3"/>
      <c r="R429" s="3"/>
      <c r="S429" s="3"/>
      <c r="T429" s="3"/>
      <c r="U429" s="3"/>
      <c r="V429" s="3"/>
      <c r="W429" s="3"/>
      <c r="X429" s="3"/>
      <c r="Y429" s="3"/>
      <c r="Z429" s="3"/>
      <c r="AA429" s="3"/>
      <c r="AB429" s="3"/>
      <c r="AC429" s="3"/>
      <c r="AD429" s="3"/>
      <c r="AE429" s="3"/>
      <c r="AF429" s="3"/>
      <c r="AG429" s="3"/>
    </row>
    <row r="430">
      <c r="A430" s="2">
        <v>2018.0</v>
      </c>
      <c r="B430" s="2" t="s">
        <v>780</v>
      </c>
      <c r="D430" s="2" t="s">
        <v>690</v>
      </c>
      <c r="E430" s="2" t="s">
        <v>114</v>
      </c>
      <c r="F430" s="2">
        <v>371493.0</v>
      </c>
      <c r="I430" s="2">
        <v>214127.0</v>
      </c>
      <c r="J430" s="2">
        <v>3504.0</v>
      </c>
      <c r="K430" s="2">
        <v>589124.0</v>
      </c>
      <c r="L430" s="2">
        <v>587130.0</v>
      </c>
      <c r="N430" s="2">
        <v>1994.0</v>
      </c>
      <c r="P430" s="3"/>
      <c r="Q430" s="3"/>
      <c r="R430" s="3"/>
      <c r="S430" s="3"/>
      <c r="T430" s="3"/>
      <c r="U430" s="3"/>
      <c r="V430" s="3"/>
      <c r="W430" s="3"/>
      <c r="X430" s="3"/>
      <c r="Y430" s="3"/>
      <c r="Z430" s="3"/>
      <c r="AA430" s="3"/>
      <c r="AB430" s="3"/>
      <c r="AC430" s="3"/>
      <c r="AD430" s="3"/>
      <c r="AE430" s="3"/>
      <c r="AF430" s="3"/>
      <c r="AG430" s="3"/>
    </row>
    <row r="431">
      <c r="A431" s="2">
        <v>2018.0</v>
      </c>
      <c r="B431" s="2" t="s">
        <v>780</v>
      </c>
      <c r="D431" s="2" t="s">
        <v>690</v>
      </c>
      <c r="E431" s="2" t="s">
        <v>695</v>
      </c>
      <c r="F431" s="2">
        <v>4571.0</v>
      </c>
      <c r="I431" s="2">
        <v>479150.0</v>
      </c>
      <c r="J431" s="2">
        <v>2333.0</v>
      </c>
      <c r="K431" s="2">
        <v>486054.0</v>
      </c>
      <c r="L431" s="2">
        <v>230855.0</v>
      </c>
      <c r="N431" s="2">
        <v>255199.0</v>
      </c>
      <c r="P431" s="3"/>
      <c r="Q431" s="3"/>
      <c r="R431" s="3"/>
      <c r="S431" s="3"/>
      <c r="T431" s="3"/>
      <c r="U431" s="3"/>
      <c r="V431" s="3"/>
      <c r="W431" s="3"/>
      <c r="X431" s="3"/>
      <c r="Y431" s="3"/>
      <c r="Z431" s="3"/>
      <c r="AA431" s="3"/>
      <c r="AB431" s="3"/>
      <c r="AC431" s="3"/>
      <c r="AD431" s="3"/>
      <c r="AE431" s="3"/>
      <c r="AF431" s="3"/>
      <c r="AG431" s="3"/>
    </row>
    <row r="432">
      <c r="A432" s="2">
        <v>2018.0</v>
      </c>
      <c r="B432" s="2" t="s">
        <v>780</v>
      </c>
      <c r="D432" s="2" t="s">
        <v>690</v>
      </c>
      <c r="E432" s="2" t="s">
        <v>32</v>
      </c>
      <c r="F432" s="2">
        <v>157361.0</v>
      </c>
      <c r="I432" s="2">
        <v>307696.0</v>
      </c>
      <c r="J432" s="2">
        <v>5441.0</v>
      </c>
      <c r="K432" s="2">
        <v>470498.0</v>
      </c>
      <c r="L432" s="2">
        <v>253914.0</v>
      </c>
      <c r="N432" s="2">
        <v>216584.0</v>
      </c>
      <c r="P432" s="3"/>
      <c r="Q432" s="3"/>
      <c r="R432" s="3"/>
      <c r="S432" s="3"/>
      <c r="T432" s="3"/>
      <c r="U432" s="3"/>
      <c r="V432" s="3"/>
      <c r="W432" s="3"/>
      <c r="X432" s="3"/>
      <c r="Y432" s="3"/>
      <c r="Z432" s="3"/>
      <c r="AA432" s="3"/>
      <c r="AB432" s="3"/>
      <c r="AC432" s="3"/>
      <c r="AD432" s="3"/>
      <c r="AE432" s="3"/>
      <c r="AF432" s="3"/>
      <c r="AG432" s="3"/>
    </row>
    <row r="433">
      <c r="A433" s="2">
        <v>2018.0</v>
      </c>
      <c r="B433" s="2" t="s">
        <v>780</v>
      </c>
      <c r="D433" s="2" t="s">
        <v>698</v>
      </c>
      <c r="E433" s="2" t="s">
        <v>173</v>
      </c>
      <c r="F433" s="2">
        <v>39955.0</v>
      </c>
      <c r="I433" s="2">
        <v>703127.0</v>
      </c>
      <c r="J433" s="2">
        <v>7990.0</v>
      </c>
      <c r="K433" s="2">
        <v>751072.0</v>
      </c>
      <c r="L433" s="2">
        <v>739079.0</v>
      </c>
      <c r="N433" s="2">
        <v>11993.0</v>
      </c>
      <c r="P433" s="3"/>
      <c r="Q433" s="3"/>
      <c r="R433" s="3"/>
      <c r="S433" s="3"/>
      <c r="T433" s="3"/>
      <c r="U433" s="3"/>
      <c r="V433" s="3"/>
      <c r="W433" s="3"/>
      <c r="X433" s="3"/>
      <c r="Y433" s="3"/>
      <c r="Z433" s="3"/>
      <c r="AA433" s="3"/>
      <c r="AB433" s="3"/>
      <c r="AC433" s="3"/>
      <c r="AD433" s="3"/>
      <c r="AE433" s="3"/>
      <c r="AF433" s="3"/>
      <c r="AG433" s="3"/>
    </row>
    <row r="434">
      <c r="A434" s="2">
        <v>2018.0</v>
      </c>
      <c r="B434" s="2" t="s">
        <v>780</v>
      </c>
      <c r="D434" s="2" t="s">
        <v>698</v>
      </c>
      <c r="E434" s="2" t="s">
        <v>114</v>
      </c>
      <c r="F434" s="2">
        <v>433267.0</v>
      </c>
      <c r="I434" s="2">
        <v>17206.0</v>
      </c>
      <c r="J434" s="2">
        <v>2080.0</v>
      </c>
      <c r="K434" s="2">
        <v>452553.0</v>
      </c>
      <c r="L434" s="2">
        <v>447551.0</v>
      </c>
      <c r="N434" s="2">
        <v>5002.0</v>
      </c>
      <c r="P434" s="3"/>
      <c r="Q434" s="3"/>
      <c r="R434" s="3"/>
      <c r="S434" s="3"/>
      <c r="T434" s="3"/>
      <c r="U434" s="3"/>
      <c r="V434" s="3"/>
      <c r="W434" s="3"/>
      <c r="X434" s="3"/>
      <c r="Y434" s="3"/>
      <c r="Z434" s="3"/>
      <c r="AA434" s="3"/>
      <c r="AB434" s="3"/>
      <c r="AC434" s="3"/>
      <c r="AD434" s="3"/>
      <c r="AE434" s="3"/>
      <c r="AF434" s="3"/>
      <c r="AG434" s="3"/>
    </row>
    <row r="435">
      <c r="A435" s="2">
        <v>2018.0</v>
      </c>
      <c r="B435" s="2" t="s">
        <v>780</v>
      </c>
      <c r="D435" s="2" t="s">
        <v>698</v>
      </c>
      <c r="E435" s="2" t="s">
        <v>56</v>
      </c>
      <c r="F435" s="2">
        <v>7151.0</v>
      </c>
      <c r="I435" s="2">
        <v>604800.0</v>
      </c>
      <c r="J435" s="2">
        <v>63.0</v>
      </c>
      <c r="K435" s="2">
        <v>612014.0</v>
      </c>
      <c r="L435" s="2">
        <v>610893.0</v>
      </c>
      <c r="N435" s="2">
        <v>1121.0</v>
      </c>
      <c r="P435" s="3"/>
      <c r="Q435" s="3"/>
      <c r="R435" s="3"/>
      <c r="S435" s="3"/>
      <c r="T435" s="3"/>
      <c r="U435" s="3"/>
      <c r="V435" s="3"/>
      <c r="W435" s="3"/>
      <c r="X435" s="3"/>
      <c r="Y435" s="3"/>
      <c r="Z435" s="3"/>
      <c r="AA435" s="3"/>
      <c r="AB435" s="3"/>
      <c r="AC435" s="3"/>
      <c r="AD435" s="3"/>
      <c r="AE435" s="3"/>
      <c r="AF435" s="3"/>
      <c r="AG435" s="3"/>
    </row>
    <row r="436">
      <c r="A436" s="2">
        <v>2018.0</v>
      </c>
      <c r="B436" s="2" t="s">
        <v>780</v>
      </c>
      <c r="D436" s="2" t="s">
        <v>698</v>
      </c>
      <c r="E436" s="2" t="s">
        <v>173</v>
      </c>
      <c r="F436" s="2">
        <v>1000.0</v>
      </c>
      <c r="I436" s="2">
        <v>904000.0</v>
      </c>
      <c r="J436" s="2">
        <v>12235.0</v>
      </c>
      <c r="K436" s="2">
        <v>917235.0</v>
      </c>
      <c r="L436" s="2">
        <v>655735.0</v>
      </c>
      <c r="N436" s="2">
        <v>261500.0</v>
      </c>
      <c r="P436" s="3"/>
      <c r="Q436" s="3"/>
      <c r="R436" s="3"/>
      <c r="S436" s="3"/>
      <c r="T436" s="3"/>
      <c r="U436" s="3"/>
      <c r="V436" s="3"/>
      <c r="W436" s="3"/>
      <c r="X436" s="3"/>
      <c r="Y436" s="3"/>
      <c r="Z436" s="3"/>
      <c r="AA436" s="3"/>
      <c r="AB436" s="3"/>
      <c r="AC436" s="3"/>
      <c r="AD436" s="3"/>
      <c r="AE436" s="3"/>
      <c r="AF436" s="3"/>
      <c r="AG436" s="3"/>
    </row>
    <row r="437">
      <c r="A437" s="2">
        <v>2018.0</v>
      </c>
      <c r="B437" s="2" t="s">
        <v>780</v>
      </c>
      <c r="D437" s="2" t="s">
        <v>698</v>
      </c>
      <c r="E437" s="2" t="s">
        <v>32</v>
      </c>
      <c r="F437" s="2">
        <v>65768.0</v>
      </c>
      <c r="I437" s="2">
        <v>109378.0</v>
      </c>
      <c r="J437" s="2">
        <v>2395.0</v>
      </c>
      <c r="K437" s="2">
        <v>177541.0</v>
      </c>
      <c r="L437" s="2">
        <v>104885.0</v>
      </c>
      <c r="N437" s="2">
        <v>72656.0</v>
      </c>
      <c r="P437" s="3"/>
      <c r="Q437" s="3"/>
      <c r="R437" s="3"/>
      <c r="S437" s="3"/>
      <c r="T437" s="3"/>
      <c r="U437" s="3"/>
      <c r="V437" s="3"/>
      <c r="W437" s="3"/>
      <c r="X437" s="3"/>
      <c r="Y437" s="3"/>
      <c r="Z437" s="3"/>
      <c r="AA437" s="3"/>
      <c r="AB437" s="3"/>
      <c r="AC437" s="3"/>
      <c r="AD437" s="3"/>
      <c r="AE437" s="3"/>
      <c r="AF437" s="3"/>
      <c r="AG437" s="3"/>
    </row>
    <row r="438">
      <c r="A438" s="2">
        <v>2018.0</v>
      </c>
      <c r="B438" s="2" t="s">
        <v>780</v>
      </c>
      <c r="D438" s="2" t="s">
        <v>706</v>
      </c>
      <c r="E438" s="2" t="s">
        <v>691</v>
      </c>
      <c r="F438" s="2">
        <v>117363.0</v>
      </c>
      <c r="I438" s="2">
        <v>1704547.0</v>
      </c>
      <c r="J438" s="2">
        <v>23302.0</v>
      </c>
      <c r="K438" s="2">
        <v>1845212.0</v>
      </c>
      <c r="L438" s="2">
        <v>1521902.0</v>
      </c>
      <c r="N438" s="2">
        <v>323310.0</v>
      </c>
      <c r="P438" s="3"/>
      <c r="Q438" s="3"/>
      <c r="R438" s="3"/>
      <c r="S438" s="3"/>
      <c r="T438" s="3"/>
      <c r="U438" s="3"/>
      <c r="V438" s="3"/>
      <c r="W438" s="3"/>
      <c r="X438" s="3"/>
      <c r="Y438" s="3"/>
      <c r="Z438" s="3"/>
      <c r="AA438" s="3"/>
      <c r="AB438" s="3"/>
      <c r="AC438" s="3"/>
      <c r="AD438" s="3"/>
      <c r="AE438" s="3"/>
      <c r="AF438" s="3"/>
      <c r="AG438" s="3"/>
    </row>
    <row r="439">
      <c r="A439" s="2">
        <v>2018.0</v>
      </c>
      <c r="B439" s="2" t="s">
        <v>780</v>
      </c>
      <c r="D439" s="2" t="s">
        <v>706</v>
      </c>
      <c r="E439" s="2" t="s">
        <v>114</v>
      </c>
      <c r="F439" s="2">
        <v>371493.0</v>
      </c>
      <c r="I439" s="2">
        <v>214127.0</v>
      </c>
      <c r="J439" s="2">
        <v>3504.0</v>
      </c>
      <c r="K439" s="2">
        <v>589124.0</v>
      </c>
      <c r="L439" s="2">
        <v>587130.0</v>
      </c>
      <c r="N439" s="2">
        <v>1994.0</v>
      </c>
      <c r="P439" s="3"/>
      <c r="Q439" s="3"/>
      <c r="R439" s="3"/>
      <c r="S439" s="3"/>
      <c r="T439" s="3"/>
      <c r="U439" s="3"/>
      <c r="V439" s="3"/>
      <c r="W439" s="3"/>
      <c r="X439" s="3"/>
      <c r="Y439" s="3"/>
      <c r="Z439" s="3"/>
      <c r="AA439" s="3"/>
      <c r="AB439" s="3"/>
      <c r="AC439" s="3"/>
      <c r="AD439" s="3"/>
      <c r="AE439" s="3"/>
      <c r="AF439" s="3"/>
      <c r="AG439" s="3"/>
    </row>
    <row r="440">
      <c r="A440" s="2">
        <v>2018.0</v>
      </c>
      <c r="B440" s="2" t="s">
        <v>780</v>
      </c>
      <c r="D440" s="2" t="s">
        <v>706</v>
      </c>
      <c r="E440" s="2" t="s">
        <v>711</v>
      </c>
      <c r="F440" s="2">
        <v>4571.0</v>
      </c>
      <c r="I440" s="2">
        <v>479150.0</v>
      </c>
      <c r="J440" s="2">
        <v>2333.0</v>
      </c>
      <c r="K440" s="2">
        <v>486054.0</v>
      </c>
      <c r="L440" s="2">
        <v>230855.0</v>
      </c>
      <c r="N440" s="2">
        <v>255199.0</v>
      </c>
      <c r="P440" s="3"/>
      <c r="Q440" s="3"/>
      <c r="R440" s="3"/>
      <c r="S440" s="3"/>
      <c r="T440" s="3"/>
      <c r="U440" s="3"/>
      <c r="V440" s="3"/>
      <c r="W440" s="3"/>
      <c r="X440" s="3"/>
      <c r="Y440" s="3"/>
      <c r="Z440" s="3"/>
      <c r="AA440" s="3"/>
      <c r="AB440" s="3"/>
      <c r="AC440" s="3"/>
      <c r="AD440" s="3"/>
      <c r="AE440" s="3"/>
      <c r="AF440" s="3"/>
      <c r="AG440" s="3"/>
    </row>
    <row r="441">
      <c r="A441" s="2">
        <v>2018.0</v>
      </c>
      <c r="B441" s="2" t="s">
        <v>780</v>
      </c>
      <c r="D441" s="2" t="s">
        <v>706</v>
      </c>
      <c r="E441" s="2" t="s">
        <v>32</v>
      </c>
      <c r="F441" s="2">
        <v>157361.0</v>
      </c>
      <c r="I441" s="2">
        <v>307696.0</v>
      </c>
      <c r="J441" s="2">
        <v>5441.0</v>
      </c>
      <c r="K441" s="2">
        <v>470498.0</v>
      </c>
      <c r="L441" s="2">
        <v>253914.0</v>
      </c>
      <c r="N441" s="2">
        <v>216584.0</v>
      </c>
      <c r="P441" s="3"/>
      <c r="Q441" s="3"/>
      <c r="R441" s="3"/>
      <c r="S441" s="3"/>
      <c r="T441" s="3"/>
      <c r="U441" s="3"/>
      <c r="V441" s="3"/>
      <c r="W441" s="3"/>
      <c r="X441" s="3"/>
      <c r="Y441" s="3"/>
      <c r="Z441" s="3"/>
      <c r="AA441" s="3"/>
      <c r="AB441" s="3"/>
      <c r="AC441" s="3"/>
      <c r="AD441" s="3"/>
      <c r="AE441" s="3"/>
      <c r="AF441" s="3"/>
      <c r="AG441" s="3"/>
    </row>
    <row r="442">
      <c r="A442" s="2">
        <v>2018.0</v>
      </c>
      <c r="B442" s="2" t="s">
        <v>780</v>
      </c>
      <c r="D442" s="2" t="s">
        <v>713</v>
      </c>
      <c r="E442" s="2" t="s">
        <v>691</v>
      </c>
      <c r="F442" s="2">
        <v>86158.0</v>
      </c>
      <c r="I442" s="2">
        <v>1652127.0</v>
      </c>
      <c r="J442" s="2">
        <v>24642.0</v>
      </c>
      <c r="K442" s="2">
        <v>1762927.0</v>
      </c>
      <c r="L442" s="2">
        <v>1482411.0</v>
      </c>
      <c r="N442" s="2">
        <v>280516.0</v>
      </c>
      <c r="P442" s="3"/>
      <c r="Q442" s="3"/>
      <c r="R442" s="3"/>
      <c r="S442" s="3"/>
      <c r="T442" s="3"/>
      <c r="U442" s="3"/>
      <c r="V442" s="3"/>
      <c r="W442" s="3"/>
      <c r="X442" s="3"/>
      <c r="Y442" s="3"/>
      <c r="Z442" s="3"/>
      <c r="AA442" s="3"/>
      <c r="AB442" s="3"/>
      <c r="AC442" s="3"/>
      <c r="AD442" s="3"/>
      <c r="AE442" s="3"/>
      <c r="AF442" s="3"/>
      <c r="AG442" s="3"/>
    </row>
    <row r="443">
      <c r="A443" s="2">
        <v>2018.0</v>
      </c>
      <c r="B443" s="2" t="s">
        <v>780</v>
      </c>
      <c r="D443" s="2" t="s">
        <v>713</v>
      </c>
      <c r="E443" s="2" t="s">
        <v>114</v>
      </c>
      <c r="F443" s="2">
        <v>244466.0</v>
      </c>
      <c r="I443" s="2">
        <v>17206.0</v>
      </c>
      <c r="J443" s="2">
        <v>5170.0</v>
      </c>
      <c r="K443" s="2">
        <v>266842.0</v>
      </c>
      <c r="L443" s="2">
        <v>265164.0</v>
      </c>
      <c r="N443" s="2">
        <v>1678.0</v>
      </c>
      <c r="P443" s="3"/>
      <c r="Q443" s="3"/>
      <c r="R443" s="3"/>
      <c r="S443" s="3"/>
      <c r="T443" s="3"/>
      <c r="U443" s="3"/>
      <c r="V443" s="3"/>
      <c r="W443" s="3"/>
      <c r="X443" s="3"/>
      <c r="Y443" s="3"/>
      <c r="Z443" s="3"/>
      <c r="AA443" s="3"/>
      <c r="AB443" s="3"/>
      <c r="AC443" s="3"/>
      <c r="AD443" s="3"/>
      <c r="AE443" s="3"/>
      <c r="AF443" s="3"/>
      <c r="AG443" s="3"/>
    </row>
    <row r="444">
      <c r="A444" s="2">
        <v>2018.0</v>
      </c>
      <c r="B444" s="2" t="s">
        <v>780</v>
      </c>
      <c r="D444" s="2" t="s">
        <v>713</v>
      </c>
      <c r="E444" s="2" t="s">
        <v>460</v>
      </c>
      <c r="F444" s="2">
        <v>42001.0</v>
      </c>
      <c r="I444" s="2">
        <v>52000.0</v>
      </c>
      <c r="J444" s="2">
        <v>1629.0</v>
      </c>
      <c r="K444" s="2">
        <v>95630.0</v>
      </c>
      <c r="L444" s="2">
        <v>93523.0</v>
      </c>
      <c r="N444" s="2">
        <v>2107.0</v>
      </c>
      <c r="P444" s="3"/>
      <c r="Q444" s="3"/>
      <c r="R444" s="3"/>
      <c r="S444" s="3"/>
      <c r="T444" s="3"/>
      <c r="U444" s="3"/>
      <c r="V444" s="3"/>
      <c r="W444" s="3"/>
      <c r="X444" s="3"/>
      <c r="Y444" s="3"/>
      <c r="Z444" s="3"/>
      <c r="AA444" s="3"/>
      <c r="AB444" s="3"/>
      <c r="AC444" s="3"/>
      <c r="AD444" s="3"/>
      <c r="AE444" s="3"/>
      <c r="AF444" s="3"/>
      <c r="AG444" s="3"/>
    </row>
    <row r="445">
      <c r="A445" s="2">
        <v>2018.0</v>
      </c>
      <c r="B445" s="2" t="s">
        <v>780</v>
      </c>
      <c r="D445" s="2" t="s">
        <v>713</v>
      </c>
      <c r="E445" s="2" t="s">
        <v>714</v>
      </c>
      <c r="F445" s="2">
        <v>8465.0</v>
      </c>
      <c r="I445" s="2">
        <v>486500.0</v>
      </c>
      <c r="J445" s="2">
        <v>511.0</v>
      </c>
      <c r="K445" s="2">
        <v>495476.0</v>
      </c>
      <c r="L445" s="2">
        <v>240450.0</v>
      </c>
      <c r="N445" s="2">
        <v>255026.0</v>
      </c>
      <c r="P445" s="3"/>
      <c r="Q445" s="3"/>
      <c r="R445" s="3"/>
      <c r="S445" s="3"/>
      <c r="T445" s="3"/>
      <c r="U445" s="3"/>
      <c r="V445" s="3"/>
      <c r="W445" s="3"/>
      <c r="X445" s="3"/>
      <c r="Y445" s="3"/>
      <c r="Z445" s="3"/>
      <c r="AA445" s="3"/>
      <c r="AB445" s="3"/>
      <c r="AC445" s="3"/>
      <c r="AD445" s="3"/>
      <c r="AE445" s="3"/>
      <c r="AF445" s="3"/>
      <c r="AG445" s="3"/>
    </row>
    <row r="446">
      <c r="A446" s="2">
        <v>2018.0</v>
      </c>
      <c r="B446" s="2" t="s">
        <v>780</v>
      </c>
      <c r="D446" s="2" t="s">
        <v>713</v>
      </c>
      <c r="E446" s="2" t="s">
        <v>32</v>
      </c>
      <c r="F446" s="2">
        <v>112458.0</v>
      </c>
      <c r="I446" s="2">
        <v>42180.0</v>
      </c>
      <c r="J446" s="2">
        <v>4831.0</v>
      </c>
      <c r="K446" s="2">
        <v>159469.0</v>
      </c>
      <c r="L446" s="2">
        <v>27820.0</v>
      </c>
      <c r="N446" s="2">
        <v>131649.0</v>
      </c>
      <c r="P446" s="3"/>
      <c r="Q446" s="3"/>
      <c r="R446" s="3"/>
      <c r="S446" s="3"/>
      <c r="T446" s="3"/>
      <c r="U446" s="3"/>
      <c r="V446" s="3"/>
      <c r="W446" s="3"/>
      <c r="X446" s="3"/>
      <c r="Y446" s="3"/>
      <c r="Z446" s="3"/>
      <c r="AA446" s="3"/>
      <c r="AB446" s="3"/>
      <c r="AC446" s="3"/>
      <c r="AD446" s="3"/>
      <c r="AE446" s="3"/>
      <c r="AF446" s="3"/>
      <c r="AG446" s="3"/>
    </row>
    <row r="447">
      <c r="A447" s="2">
        <v>2018.0</v>
      </c>
      <c r="B447" s="2" t="s">
        <v>780</v>
      </c>
      <c r="D447" s="2" t="s">
        <v>716</v>
      </c>
      <c r="E447" s="2" t="s">
        <v>691</v>
      </c>
      <c r="F447" s="2">
        <v>115177.0</v>
      </c>
      <c r="I447" s="2">
        <v>2245127.0</v>
      </c>
      <c r="J447" s="2">
        <v>36683.0</v>
      </c>
      <c r="K447" s="2">
        <v>2396987.0</v>
      </c>
      <c r="L447" s="2">
        <v>1073691.0</v>
      </c>
      <c r="N447" s="2">
        <v>1323296.0</v>
      </c>
      <c r="P447" s="3"/>
      <c r="Q447" s="3"/>
      <c r="R447" s="3"/>
      <c r="S447" s="3"/>
      <c r="T447" s="3"/>
      <c r="U447" s="3"/>
      <c r="V447" s="3"/>
      <c r="W447" s="3"/>
      <c r="X447" s="3"/>
      <c r="Y447" s="3"/>
      <c r="Z447" s="3"/>
      <c r="AA447" s="3"/>
      <c r="AB447" s="3"/>
      <c r="AC447" s="3"/>
      <c r="AD447" s="3"/>
      <c r="AE447" s="3"/>
      <c r="AF447" s="3"/>
      <c r="AG447" s="3"/>
    </row>
    <row r="448">
      <c r="A448" s="2">
        <v>2018.0</v>
      </c>
      <c r="B448" s="2" t="s">
        <v>780</v>
      </c>
      <c r="D448" s="2" t="s">
        <v>716</v>
      </c>
      <c r="E448" s="2" t="s">
        <v>114</v>
      </c>
      <c r="F448" s="2">
        <v>60614.0</v>
      </c>
      <c r="I448" s="2">
        <v>17206.0</v>
      </c>
      <c r="J448" s="2">
        <v>1584.0</v>
      </c>
      <c r="K448" s="2">
        <v>79404.0</v>
      </c>
      <c r="L448" s="2">
        <v>77478.0</v>
      </c>
      <c r="N448" s="2">
        <v>1926.0</v>
      </c>
      <c r="P448" s="3"/>
      <c r="Q448" s="3"/>
      <c r="R448" s="3"/>
      <c r="S448" s="3"/>
      <c r="T448" s="3"/>
      <c r="U448" s="3"/>
      <c r="V448" s="3"/>
      <c r="W448" s="3"/>
      <c r="X448" s="3"/>
      <c r="Y448" s="3"/>
      <c r="Z448" s="3"/>
      <c r="AA448" s="3"/>
      <c r="AB448" s="3"/>
      <c r="AC448" s="3"/>
      <c r="AD448" s="3"/>
      <c r="AE448" s="3"/>
      <c r="AF448" s="3"/>
      <c r="AG448" s="3"/>
    </row>
    <row r="449">
      <c r="A449" s="2">
        <v>2018.0</v>
      </c>
      <c r="B449" s="2" t="s">
        <v>780</v>
      </c>
      <c r="D449" s="2" t="s">
        <v>716</v>
      </c>
      <c r="E449" s="2" t="s">
        <v>460</v>
      </c>
      <c r="F449" s="2">
        <v>3502.0</v>
      </c>
      <c r="I449" s="2">
        <v>50000.0</v>
      </c>
      <c r="J449" s="2">
        <v>1361.0</v>
      </c>
      <c r="K449" s="2">
        <v>54863.0</v>
      </c>
      <c r="L449" s="2">
        <v>51652.0</v>
      </c>
      <c r="N449" s="2">
        <v>3211.0</v>
      </c>
      <c r="P449" s="3"/>
      <c r="Q449" s="3"/>
      <c r="R449" s="3"/>
      <c r="S449" s="3"/>
      <c r="T449" s="3"/>
      <c r="U449" s="3"/>
      <c r="V449" s="3"/>
      <c r="W449" s="3"/>
      <c r="X449" s="3"/>
      <c r="Y449" s="3"/>
      <c r="Z449" s="3"/>
      <c r="AA449" s="3"/>
      <c r="AB449" s="3"/>
      <c r="AC449" s="3"/>
      <c r="AD449" s="3"/>
      <c r="AE449" s="3"/>
      <c r="AF449" s="3"/>
      <c r="AG449" s="3"/>
    </row>
    <row r="450">
      <c r="A450" s="2">
        <v>2018.0</v>
      </c>
      <c r="B450" s="2" t="s">
        <v>780</v>
      </c>
      <c r="D450" s="2" t="s">
        <v>716</v>
      </c>
      <c r="E450" s="2" t="s">
        <v>56</v>
      </c>
      <c r="F450" s="2">
        <v>4437.0</v>
      </c>
      <c r="I450" s="2">
        <v>852580.0</v>
      </c>
      <c r="J450" s="2">
        <v>694.0</v>
      </c>
      <c r="K450" s="2">
        <v>857711.0</v>
      </c>
      <c r="L450" s="2">
        <v>509230.0</v>
      </c>
      <c r="N450" s="2">
        <v>348481.0</v>
      </c>
      <c r="P450" s="3"/>
      <c r="Q450" s="3"/>
      <c r="R450" s="3"/>
      <c r="S450" s="3"/>
      <c r="T450" s="3"/>
      <c r="U450" s="3"/>
      <c r="V450" s="3"/>
      <c r="W450" s="3"/>
      <c r="X450" s="3"/>
      <c r="Y450" s="3"/>
      <c r="Z450" s="3"/>
      <c r="AA450" s="3"/>
      <c r="AB450" s="3"/>
      <c r="AC450" s="3"/>
      <c r="AD450" s="3"/>
      <c r="AE450" s="3"/>
      <c r="AF450" s="3"/>
      <c r="AG450" s="3"/>
    </row>
    <row r="451">
      <c r="A451" s="2">
        <v>2018.0</v>
      </c>
      <c r="B451" s="2" t="s">
        <v>780</v>
      </c>
      <c r="D451" s="2" t="s">
        <v>718</v>
      </c>
      <c r="E451" s="2" t="s">
        <v>691</v>
      </c>
      <c r="F451" s="2">
        <v>115177.0</v>
      </c>
      <c r="I451" s="2">
        <v>2245127.0</v>
      </c>
      <c r="J451" s="2">
        <v>36683.0</v>
      </c>
      <c r="K451" s="2">
        <v>2396987.0</v>
      </c>
      <c r="L451" s="2">
        <v>1073691.0</v>
      </c>
      <c r="N451" s="2">
        <v>1323296.0</v>
      </c>
      <c r="P451" s="3"/>
      <c r="Q451" s="3"/>
      <c r="R451" s="3"/>
      <c r="S451" s="3"/>
      <c r="T451" s="3"/>
      <c r="U451" s="3"/>
      <c r="V451" s="3"/>
      <c r="W451" s="3"/>
      <c r="X451" s="3"/>
      <c r="Y451" s="3"/>
      <c r="Z451" s="3"/>
      <c r="AA451" s="3"/>
      <c r="AB451" s="3"/>
      <c r="AC451" s="3"/>
      <c r="AD451" s="3"/>
      <c r="AE451" s="3"/>
      <c r="AF451" s="3"/>
      <c r="AG451" s="3"/>
    </row>
    <row r="452">
      <c r="A452" s="2">
        <v>2018.0</v>
      </c>
      <c r="B452" s="2" t="s">
        <v>780</v>
      </c>
      <c r="D452" s="2" t="s">
        <v>718</v>
      </c>
      <c r="E452" s="2" t="s">
        <v>114</v>
      </c>
      <c r="F452" s="2">
        <v>60614.0</v>
      </c>
      <c r="I452" s="2">
        <v>17206.0</v>
      </c>
      <c r="J452" s="2">
        <v>1584.0</v>
      </c>
      <c r="K452" s="2">
        <v>79404.0</v>
      </c>
      <c r="L452" s="2">
        <v>77478.0</v>
      </c>
      <c r="N452" s="2">
        <v>1926.0</v>
      </c>
      <c r="P452" s="3"/>
      <c r="Q452" s="3"/>
      <c r="R452" s="3"/>
      <c r="S452" s="3"/>
      <c r="T452" s="3"/>
      <c r="U452" s="3"/>
      <c r="V452" s="3"/>
      <c r="W452" s="3"/>
      <c r="X452" s="3"/>
      <c r="Y452" s="3"/>
      <c r="Z452" s="3"/>
      <c r="AA452" s="3"/>
      <c r="AB452" s="3"/>
      <c r="AC452" s="3"/>
      <c r="AD452" s="3"/>
      <c r="AE452" s="3"/>
      <c r="AF452" s="3"/>
      <c r="AG452" s="3"/>
    </row>
    <row r="453">
      <c r="A453" s="2">
        <v>2018.0</v>
      </c>
      <c r="B453" s="2" t="s">
        <v>780</v>
      </c>
      <c r="D453" s="2" t="s">
        <v>718</v>
      </c>
      <c r="E453" s="2" t="s">
        <v>460</v>
      </c>
      <c r="F453" s="2">
        <v>3502.0</v>
      </c>
      <c r="I453" s="2">
        <v>50000.0</v>
      </c>
      <c r="J453" s="2">
        <v>1361.0</v>
      </c>
      <c r="K453" s="2">
        <v>54863.0</v>
      </c>
      <c r="L453" s="2">
        <v>51652.0</v>
      </c>
      <c r="N453" s="2">
        <v>3211.0</v>
      </c>
      <c r="P453" s="3"/>
      <c r="Q453" s="3"/>
      <c r="R453" s="3"/>
      <c r="S453" s="3"/>
      <c r="T453" s="3"/>
      <c r="U453" s="3"/>
      <c r="V453" s="3"/>
      <c r="W453" s="3"/>
      <c r="X453" s="3"/>
      <c r="Y453" s="3"/>
      <c r="Z453" s="3"/>
      <c r="AA453" s="3"/>
      <c r="AB453" s="3"/>
      <c r="AC453" s="3"/>
      <c r="AD453" s="3"/>
      <c r="AE453" s="3"/>
      <c r="AF453" s="3"/>
      <c r="AG453" s="3"/>
    </row>
    <row r="454">
      <c r="A454" s="2">
        <v>2018.0</v>
      </c>
      <c r="B454" s="2" t="s">
        <v>780</v>
      </c>
      <c r="D454" s="2" t="s">
        <v>718</v>
      </c>
      <c r="E454" s="2" t="s">
        <v>32</v>
      </c>
      <c r="F454" s="2">
        <v>32112.0</v>
      </c>
      <c r="I454" s="2">
        <v>21800.0</v>
      </c>
      <c r="J454" s="2">
        <v>1719.0</v>
      </c>
      <c r="K454" s="2">
        <v>55631.0</v>
      </c>
      <c r="L454" s="2">
        <v>114.0</v>
      </c>
      <c r="N454" s="2">
        <v>55517.0</v>
      </c>
      <c r="P454" s="3"/>
      <c r="Q454" s="3"/>
      <c r="R454" s="3"/>
      <c r="S454" s="3"/>
      <c r="T454" s="3"/>
      <c r="U454" s="3"/>
      <c r="V454" s="3"/>
      <c r="W454" s="3"/>
      <c r="X454" s="3"/>
      <c r="Y454" s="3"/>
      <c r="Z454" s="3"/>
      <c r="AA454" s="3"/>
      <c r="AB454" s="3"/>
      <c r="AC454" s="3"/>
      <c r="AD454" s="3"/>
      <c r="AE454" s="3"/>
      <c r="AF454" s="3"/>
      <c r="AG454" s="3"/>
    </row>
    <row r="455">
      <c r="A455" s="2">
        <v>2018.0</v>
      </c>
      <c r="B455" s="2" t="s">
        <v>780</v>
      </c>
      <c r="D455" s="2" t="s">
        <v>728</v>
      </c>
      <c r="E455" s="2" t="s">
        <v>729</v>
      </c>
      <c r="F455" s="2">
        <v>448807.0</v>
      </c>
      <c r="I455" s="2">
        <v>1897248.0</v>
      </c>
      <c r="J455" s="2">
        <v>6496.0</v>
      </c>
      <c r="K455" s="2">
        <v>2352551.0</v>
      </c>
      <c r="L455" s="2">
        <v>1285750.0</v>
      </c>
      <c r="N455" s="2">
        <v>1066801.0</v>
      </c>
      <c r="P455" s="3"/>
      <c r="Q455" s="3"/>
      <c r="R455" s="3"/>
      <c r="S455" s="3"/>
      <c r="T455" s="3"/>
      <c r="U455" s="3"/>
      <c r="V455" s="3"/>
      <c r="W455" s="3"/>
      <c r="X455" s="3"/>
      <c r="Y455" s="3"/>
      <c r="Z455" s="3"/>
      <c r="AA455" s="3"/>
      <c r="AB455" s="3"/>
      <c r="AC455" s="3"/>
      <c r="AD455" s="3"/>
      <c r="AE455" s="3"/>
      <c r="AF455" s="3"/>
      <c r="AG455" s="3"/>
    </row>
    <row r="456">
      <c r="A456" s="2">
        <v>2018.0</v>
      </c>
      <c r="B456" s="2" t="s">
        <v>780</v>
      </c>
      <c r="D456" s="2" t="s">
        <v>728</v>
      </c>
      <c r="E456" s="2" t="s">
        <v>460</v>
      </c>
      <c r="F456" s="2">
        <v>10313.0</v>
      </c>
      <c r="I456" s="2">
        <v>50000.0</v>
      </c>
      <c r="J456" s="2">
        <v>430.0</v>
      </c>
      <c r="K456" s="2">
        <v>60743.0</v>
      </c>
      <c r="L456" s="2">
        <v>53624.0</v>
      </c>
      <c r="N456" s="2">
        <v>7119.0</v>
      </c>
      <c r="P456" s="3"/>
      <c r="Q456" s="3"/>
      <c r="R456" s="3"/>
      <c r="S456" s="3"/>
      <c r="T456" s="3"/>
      <c r="U456" s="3"/>
      <c r="V456" s="3"/>
      <c r="W456" s="3"/>
      <c r="X456" s="3"/>
      <c r="Y456" s="3"/>
      <c r="Z456" s="3"/>
      <c r="AA456" s="3"/>
      <c r="AB456" s="3"/>
      <c r="AC456" s="3"/>
      <c r="AD456" s="3"/>
      <c r="AE456" s="3"/>
      <c r="AF456" s="3"/>
      <c r="AG456" s="3"/>
    </row>
    <row r="457">
      <c r="A457" s="2">
        <v>2018.0</v>
      </c>
      <c r="B457" s="2" t="s">
        <v>780</v>
      </c>
      <c r="D457" s="2" t="s">
        <v>728</v>
      </c>
      <c r="E457" s="2" t="s">
        <v>114</v>
      </c>
      <c r="F457" s="2">
        <v>470172.0</v>
      </c>
      <c r="I457" s="2">
        <v>0.0</v>
      </c>
      <c r="J457" s="2">
        <v>8489.0</v>
      </c>
      <c r="K457" s="2">
        <v>478661.0</v>
      </c>
      <c r="L457" s="2">
        <v>392000.0</v>
      </c>
      <c r="N457" s="2">
        <v>86661.0</v>
      </c>
      <c r="P457" s="3"/>
      <c r="Q457" s="3"/>
      <c r="R457" s="3"/>
      <c r="S457" s="3"/>
      <c r="T457" s="3"/>
      <c r="U457" s="3"/>
      <c r="V457" s="3"/>
      <c r="W457" s="3"/>
      <c r="X457" s="3"/>
      <c r="Y457" s="3"/>
      <c r="Z457" s="3"/>
      <c r="AA457" s="3"/>
      <c r="AB457" s="3"/>
      <c r="AC457" s="3"/>
      <c r="AD457" s="3"/>
      <c r="AE457" s="3"/>
      <c r="AF457" s="3"/>
      <c r="AG457" s="3"/>
    </row>
    <row r="458">
      <c r="A458" s="2">
        <v>2018.0</v>
      </c>
      <c r="B458" s="2" t="s">
        <v>780</v>
      </c>
      <c r="D458" s="2" t="s">
        <v>728</v>
      </c>
      <c r="E458" s="2" t="s">
        <v>743</v>
      </c>
      <c r="F458" s="2">
        <v>31398.0</v>
      </c>
      <c r="I458" s="2">
        <v>270600.0</v>
      </c>
      <c r="J458" s="2">
        <v>3348.0</v>
      </c>
      <c r="K458" s="2">
        <v>305346.0</v>
      </c>
      <c r="L458" s="2">
        <v>268968.0</v>
      </c>
      <c r="N458" s="2">
        <v>36378.0</v>
      </c>
      <c r="P458" s="3"/>
      <c r="Q458" s="3"/>
      <c r="R458" s="3"/>
      <c r="S458" s="3"/>
      <c r="T458" s="3"/>
      <c r="U458" s="3"/>
      <c r="V458" s="3"/>
      <c r="W458" s="3"/>
      <c r="X458" s="3"/>
      <c r="Y458" s="3"/>
      <c r="Z458" s="3"/>
      <c r="AA458" s="3"/>
      <c r="AB458" s="3"/>
      <c r="AC458" s="3"/>
      <c r="AD458" s="3"/>
      <c r="AE458" s="3"/>
      <c r="AF458" s="3"/>
      <c r="AG458" s="3"/>
    </row>
    <row r="459">
      <c r="A459" s="2">
        <v>2018.0</v>
      </c>
      <c r="B459" s="2" t="s">
        <v>780</v>
      </c>
      <c r="D459" s="2" t="s">
        <v>728</v>
      </c>
      <c r="E459" s="2" t="s">
        <v>32</v>
      </c>
      <c r="F459" s="2">
        <v>10680.0</v>
      </c>
      <c r="I459" s="2">
        <v>12670.0</v>
      </c>
      <c r="J459" s="2">
        <v>0.0</v>
      </c>
      <c r="K459" s="2">
        <v>23350.0</v>
      </c>
      <c r="L459" s="2">
        <v>0.0</v>
      </c>
      <c r="N459" s="2">
        <v>23350.0</v>
      </c>
      <c r="P459" s="3"/>
      <c r="Q459" s="3"/>
      <c r="R459" s="3"/>
      <c r="S459" s="3"/>
      <c r="T459" s="3"/>
      <c r="U459" s="3"/>
      <c r="V459" s="3"/>
      <c r="W459" s="3"/>
      <c r="X459" s="3"/>
      <c r="Y459" s="3"/>
      <c r="Z459" s="3"/>
      <c r="AA459" s="3"/>
      <c r="AB459" s="3"/>
      <c r="AC459" s="3"/>
      <c r="AD459" s="3"/>
      <c r="AE459" s="3"/>
      <c r="AF459" s="3"/>
      <c r="AG459" s="3"/>
    </row>
    <row r="460">
      <c r="A460" s="2">
        <v>2018.0</v>
      </c>
      <c r="B460" s="2" t="s">
        <v>780</v>
      </c>
      <c r="D460" s="2" t="s">
        <v>750</v>
      </c>
      <c r="E460" s="2" t="s">
        <v>173</v>
      </c>
      <c r="F460" s="2">
        <v>5663.0</v>
      </c>
      <c r="I460" s="2">
        <v>2023127.0</v>
      </c>
      <c r="J460" s="2">
        <v>23307.0</v>
      </c>
      <c r="K460" s="2">
        <v>2052097.0</v>
      </c>
      <c r="L460" s="2">
        <v>1720911.0</v>
      </c>
      <c r="N460" s="2">
        <v>331186.0</v>
      </c>
      <c r="P460" s="3"/>
      <c r="Q460" s="3"/>
      <c r="R460" s="3"/>
      <c r="S460" s="3"/>
      <c r="T460" s="3"/>
      <c r="U460" s="3"/>
      <c r="V460" s="3"/>
      <c r="W460" s="3"/>
      <c r="X460" s="3"/>
      <c r="Y460" s="3"/>
      <c r="Z460" s="3"/>
      <c r="AA460" s="3"/>
      <c r="AB460" s="3"/>
      <c r="AC460" s="3"/>
      <c r="AD460" s="3"/>
      <c r="AE460" s="3"/>
      <c r="AF460" s="3"/>
      <c r="AG460" s="3"/>
    </row>
    <row r="461">
      <c r="A461" s="2">
        <v>2018.0</v>
      </c>
      <c r="B461" s="2" t="s">
        <v>780</v>
      </c>
      <c r="D461" s="2" t="s">
        <v>750</v>
      </c>
      <c r="E461" s="2" t="s">
        <v>114</v>
      </c>
      <c r="F461" s="2">
        <v>145181.0</v>
      </c>
      <c r="I461" s="2">
        <v>17355.0</v>
      </c>
      <c r="J461" s="2">
        <v>3514.0</v>
      </c>
      <c r="K461" s="2">
        <v>166050.0</v>
      </c>
      <c r="L461" s="2">
        <v>166050.0</v>
      </c>
      <c r="N461" s="2">
        <v>0.0</v>
      </c>
      <c r="P461" s="3"/>
      <c r="Q461" s="3"/>
      <c r="R461" s="3"/>
      <c r="S461" s="3"/>
      <c r="T461" s="3"/>
      <c r="U461" s="3"/>
      <c r="V461" s="3"/>
      <c r="W461" s="3"/>
      <c r="X461" s="3"/>
      <c r="Y461" s="3"/>
      <c r="Z461" s="3"/>
      <c r="AA461" s="3"/>
      <c r="AB461" s="3"/>
      <c r="AC461" s="3"/>
      <c r="AD461" s="3"/>
      <c r="AE461" s="3"/>
      <c r="AF461" s="3"/>
      <c r="AG461" s="3"/>
    </row>
    <row r="462">
      <c r="A462" s="2">
        <v>2018.0</v>
      </c>
      <c r="B462" s="2" t="s">
        <v>780</v>
      </c>
      <c r="D462" s="2" t="s">
        <v>750</v>
      </c>
      <c r="E462" s="2" t="s">
        <v>507</v>
      </c>
      <c r="F462" s="2">
        <v>136677.0</v>
      </c>
      <c r="I462" s="2">
        <v>796800.0</v>
      </c>
      <c r="J462" s="2">
        <v>6825.0</v>
      </c>
      <c r="K462" s="2">
        <v>940302.0</v>
      </c>
      <c r="L462" s="2">
        <v>502598.0</v>
      </c>
      <c r="N462" s="2">
        <v>437704.0</v>
      </c>
      <c r="P462" s="3"/>
      <c r="Q462" s="3"/>
      <c r="R462" s="3"/>
      <c r="S462" s="3"/>
      <c r="T462" s="3"/>
      <c r="U462" s="3"/>
      <c r="V462" s="3"/>
      <c r="W462" s="3"/>
      <c r="X462" s="3"/>
      <c r="Y462" s="3"/>
      <c r="Z462" s="3"/>
      <c r="AA462" s="3"/>
      <c r="AB462" s="3"/>
      <c r="AC462" s="3"/>
      <c r="AD462" s="3"/>
      <c r="AE462" s="3"/>
      <c r="AF462" s="3"/>
      <c r="AG462" s="3"/>
    </row>
    <row r="463">
      <c r="A463" s="2">
        <v>2018.0</v>
      </c>
      <c r="B463" s="2" t="s">
        <v>780</v>
      </c>
      <c r="D463" s="2" t="s">
        <v>750</v>
      </c>
      <c r="E463" s="2" t="s">
        <v>759</v>
      </c>
      <c r="F463" s="2">
        <v>0.0</v>
      </c>
      <c r="I463" s="2">
        <v>0.0</v>
      </c>
      <c r="J463" s="2">
        <v>0.0</v>
      </c>
      <c r="K463" s="2">
        <v>0.0</v>
      </c>
      <c r="L463" s="2">
        <v>0.0</v>
      </c>
      <c r="N463" s="2">
        <v>663823.0</v>
      </c>
      <c r="P463" s="3"/>
      <c r="Q463" s="3"/>
      <c r="R463" s="3"/>
      <c r="S463" s="3"/>
      <c r="T463" s="3"/>
      <c r="U463" s="3"/>
      <c r="V463" s="3"/>
      <c r="W463" s="3"/>
      <c r="X463" s="3"/>
      <c r="Y463" s="3"/>
      <c r="Z463" s="3"/>
      <c r="AA463" s="3"/>
      <c r="AB463" s="3"/>
      <c r="AC463" s="3"/>
      <c r="AD463" s="3"/>
      <c r="AE463" s="3"/>
      <c r="AF463" s="3"/>
      <c r="AG463" s="3"/>
    </row>
    <row r="464">
      <c r="A464" s="2">
        <v>2018.0</v>
      </c>
      <c r="B464" s="2" t="s">
        <v>780</v>
      </c>
      <c r="D464" s="2" t="s">
        <v>750</v>
      </c>
      <c r="E464" s="2" t="s">
        <v>32</v>
      </c>
      <c r="F464" s="2">
        <v>40873.0</v>
      </c>
      <c r="I464" s="2">
        <v>134260.0</v>
      </c>
      <c r="J464" s="2">
        <v>5028.0</v>
      </c>
      <c r="K464" s="2">
        <v>180161.0</v>
      </c>
      <c r="L464" s="2">
        <v>0.0</v>
      </c>
      <c r="N464" s="2">
        <v>180161.0</v>
      </c>
      <c r="P464" s="3"/>
      <c r="Q464" s="3"/>
      <c r="R464" s="3"/>
      <c r="S464" s="3"/>
      <c r="T464" s="3"/>
      <c r="U464" s="3"/>
      <c r="V464" s="3"/>
      <c r="W464" s="3"/>
      <c r="X464" s="3"/>
      <c r="Y464" s="3"/>
      <c r="Z464" s="3"/>
      <c r="AA464" s="3"/>
      <c r="AB464" s="3"/>
      <c r="AC464" s="3"/>
      <c r="AD464" s="3"/>
      <c r="AE464" s="3"/>
      <c r="AF464" s="3"/>
      <c r="AG464" s="3"/>
    </row>
    <row r="465">
      <c r="A465" s="2">
        <v>2018.0</v>
      </c>
      <c r="B465" s="2" t="s">
        <v>780</v>
      </c>
      <c r="D465" s="2" t="s">
        <v>415</v>
      </c>
      <c r="E465" s="2" t="s">
        <v>759</v>
      </c>
      <c r="F465" s="2">
        <v>35183.0</v>
      </c>
      <c r="I465" s="2">
        <v>1794333.0</v>
      </c>
      <c r="J465" s="2">
        <v>10733.0</v>
      </c>
      <c r="K465" s="2">
        <v>1840249.0</v>
      </c>
      <c r="L465" s="2">
        <v>1110010.0</v>
      </c>
      <c r="N465" s="2">
        <v>730239.0</v>
      </c>
      <c r="P465" s="3"/>
      <c r="Q465" s="3"/>
      <c r="R465" s="3"/>
      <c r="S465" s="3"/>
      <c r="T465" s="3"/>
      <c r="U465" s="3"/>
      <c r="V465" s="3"/>
      <c r="W465" s="3"/>
      <c r="X465" s="3"/>
      <c r="Y465" s="3"/>
      <c r="Z465" s="3"/>
      <c r="AA465" s="3"/>
      <c r="AB465" s="3"/>
      <c r="AC465" s="3"/>
      <c r="AD465" s="3"/>
      <c r="AE465" s="3"/>
      <c r="AF465" s="3"/>
      <c r="AG465" s="3"/>
    </row>
    <row r="466">
      <c r="A466" s="2">
        <v>2018.0</v>
      </c>
      <c r="B466" s="2" t="s">
        <v>780</v>
      </c>
      <c r="D466" s="2" t="s">
        <v>415</v>
      </c>
      <c r="E466" s="2" t="s">
        <v>114</v>
      </c>
      <c r="F466" s="2">
        <v>4386.0</v>
      </c>
      <c r="I466" s="2">
        <v>0.0</v>
      </c>
      <c r="J466" s="2">
        <v>0.0</v>
      </c>
      <c r="K466" s="2">
        <v>4386.0</v>
      </c>
      <c r="L466" s="2">
        <v>0.0</v>
      </c>
      <c r="N466" s="2">
        <v>4386.0</v>
      </c>
      <c r="P466" s="3"/>
      <c r="Q466" s="3"/>
      <c r="R466" s="3"/>
      <c r="S466" s="3"/>
      <c r="T466" s="3"/>
      <c r="U466" s="3"/>
      <c r="V466" s="3"/>
      <c r="W466" s="3"/>
      <c r="X466" s="3"/>
      <c r="Y466" s="3"/>
      <c r="Z466" s="3"/>
      <c r="AA466" s="3"/>
      <c r="AB466" s="3"/>
      <c r="AC466" s="3"/>
      <c r="AD466" s="3"/>
      <c r="AE466" s="3"/>
      <c r="AF466" s="3"/>
      <c r="AG466" s="3"/>
    </row>
    <row r="467">
      <c r="A467" s="2">
        <v>2018.0</v>
      </c>
      <c r="B467" s="2" t="s">
        <v>780</v>
      </c>
      <c r="D467" s="2" t="s">
        <v>415</v>
      </c>
      <c r="E467" s="2" t="s">
        <v>767</v>
      </c>
      <c r="F467" s="2">
        <v>17519.0</v>
      </c>
      <c r="I467" s="2">
        <v>115200.0</v>
      </c>
      <c r="J467" s="2">
        <v>829.0</v>
      </c>
      <c r="K467" s="2">
        <v>133548.0</v>
      </c>
      <c r="L467" s="2">
        <v>122300.0</v>
      </c>
      <c r="N467" s="2">
        <v>11248.0</v>
      </c>
      <c r="P467" s="3"/>
      <c r="Q467" s="3"/>
      <c r="R467" s="3"/>
      <c r="S467" s="3"/>
      <c r="T467" s="3"/>
      <c r="U467" s="3"/>
      <c r="V467" s="3"/>
      <c r="W467" s="3"/>
      <c r="X467" s="3"/>
      <c r="Y467" s="3"/>
      <c r="Z467" s="3"/>
      <c r="AA467" s="3"/>
      <c r="AB467" s="3"/>
      <c r="AC467" s="3"/>
      <c r="AD467" s="3"/>
      <c r="AE467" s="3"/>
      <c r="AF467" s="3"/>
      <c r="AG467" s="3"/>
    </row>
    <row r="468">
      <c r="A468" s="2">
        <v>2018.0</v>
      </c>
      <c r="B468" s="2" t="s">
        <v>780</v>
      </c>
      <c r="D468" s="2" t="s">
        <v>415</v>
      </c>
      <c r="E468" s="2" t="s">
        <v>32</v>
      </c>
      <c r="F468" s="2">
        <v>13790.0</v>
      </c>
      <c r="I468" s="2">
        <v>67139.0</v>
      </c>
      <c r="J468" s="2">
        <v>2268.0</v>
      </c>
      <c r="K468" s="2">
        <v>83197.0</v>
      </c>
      <c r="L468" s="2">
        <v>0.0</v>
      </c>
      <c r="N468" s="2">
        <v>83197.0</v>
      </c>
      <c r="P468" s="3"/>
      <c r="Q468" s="3"/>
      <c r="R468" s="3"/>
      <c r="S468" s="3"/>
      <c r="T468" s="3"/>
      <c r="U468" s="3"/>
      <c r="V468" s="3"/>
      <c r="W468" s="3"/>
      <c r="X468" s="3"/>
      <c r="Y468" s="3"/>
      <c r="Z468" s="3"/>
      <c r="AA468" s="3"/>
      <c r="AB468" s="3"/>
      <c r="AC468" s="3"/>
      <c r="AD468" s="3"/>
      <c r="AE468" s="3"/>
      <c r="AF468" s="3"/>
      <c r="AG468" s="3"/>
    </row>
    <row r="469">
      <c r="A469" s="2">
        <v>2018.0</v>
      </c>
      <c r="B469" s="2" t="s">
        <v>780</v>
      </c>
      <c r="D469" s="2" t="s">
        <v>768</v>
      </c>
      <c r="E469" s="2" t="s">
        <v>460</v>
      </c>
      <c r="F469" s="2">
        <v>5079.0</v>
      </c>
      <c r="I469" s="2">
        <v>50000.0</v>
      </c>
      <c r="J469" s="2">
        <v>608.0</v>
      </c>
      <c r="K469" s="2">
        <v>55687.0</v>
      </c>
      <c r="L469" s="2">
        <v>50164.0</v>
      </c>
      <c r="N469" s="2">
        <v>5523.0</v>
      </c>
      <c r="P469" s="3"/>
      <c r="Q469" s="3"/>
      <c r="R469" s="3"/>
      <c r="S469" s="3"/>
      <c r="T469" s="3"/>
      <c r="U469" s="3"/>
      <c r="V469" s="3"/>
      <c r="W469" s="3"/>
      <c r="X469" s="3"/>
      <c r="Y469" s="3"/>
      <c r="Z469" s="3"/>
      <c r="AA469" s="3"/>
      <c r="AB469" s="3"/>
      <c r="AC469" s="3"/>
      <c r="AD469" s="3"/>
      <c r="AE469" s="3"/>
      <c r="AF469" s="3"/>
      <c r="AG469" s="3"/>
    </row>
    <row r="470">
      <c r="A470" s="2">
        <v>2018.0</v>
      </c>
      <c r="B470" s="2" t="s">
        <v>780</v>
      </c>
      <c r="D470" s="2" t="s">
        <v>768</v>
      </c>
      <c r="E470" s="2" t="s">
        <v>114</v>
      </c>
      <c r="F470" s="2">
        <v>442228.0</v>
      </c>
      <c r="I470" s="2">
        <v>0.0</v>
      </c>
      <c r="J470" s="2">
        <v>4695.0</v>
      </c>
      <c r="K470" s="2">
        <v>446923.0</v>
      </c>
      <c r="L470" s="2">
        <v>392000.0</v>
      </c>
      <c r="N470" s="2">
        <v>54923.0</v>
      </c>
      <c r="P470" s="3"/>
      <c r="Q470" s="3"/>
      <c r="R470" s="3"/>
      <c r="S470" s="3"/>
      <c r="T470" s="3"/>
      <c r="U470" s="3"/>
      <c r="V470" s="3"/>
      <c r="W470" s="3"/>
      <c r="X470" s="3"/>
      <c r="Y470" s="3"/>
      <c r="Z470" s="3"/>
      <c r="AA470" s="3"/>
      <c r="AB470" s="3"/>
      <c r="AC470" s="3"/>
      <c r="AD470" s="3"/>
      <c r="AE470" s="3"/>
      <c r="AF470" s="3"/>
      <c r="AG470" s="3"/>
    </row>
    <row r="471">
      <c r="A471" s="2">
        <v>2018.0</v>
      </c>
      <c r="B471" s="2" t="s">
        <v>780</v>
      </c>
      <c r="D471" s="2" t="s">
        <v>768</v>
      </c>
      <c r="E471" s="2" t="s">
        <v>507</v>
      </c>
      <c r="F471" s="2">
        <v>17296.0</v>
      </c>
      <c r="I471" s="2">
        <v>466824.0</v>
      </c>
      <c r="J471" s="2">
        <v>352.0</v>
      </c>
      <c r="K471" s="2">
        <v>484472.0</v>
      </c>
      <c r="L471" s="2">
        <v>230844.0</v>
      </c>
      <c r="N471" s="2">
        <v>253628.0</v>
      </c>
      <c r="P471" s="3"/>
      <c r="Q471" s="3"/>
      <c r="R471" s="3"/>
      <c r="S471" s="3"/>
      <c r="T471" s="3"/>
      <c r="U471" s="3"/>
      <c r="V471" s="3"/>
      <c r="W471" s="3"/>
      <c r="X471" s="3"/>
      <c r="Y471" s="3"/>
      <c r="Z471" s="3"/>
      <c r="AA471" s="3"/>
      <c r="AB471" s="3"/>
      <c r="AC471" s="3"/>
      <c r="AD471" s="3"/>
      <c r="AE471" s="3"/>
      <c r="AF471" s="3"/>
      <c r="AG471" s="3"/>
    </row>
    <row r="472">
      <c r="A472" s="2">
        <v>2018.0</v>
      </c>
      <c r="B472" s="2" t="s">
        <v>780</v>
      </c>
      <c r="D472" s="2" t="s">
        <v>768</v>
      </c>
      <c r="E472" s="2" t="s">
        <v>759</v>
      </c>
      <c r="F472" s="2">
        <v>87299.0</v>
      </c>
      <c r="I472" s="2">
        <v>1504333.0</v>
      </c>
      <c r="J472" s="2">
        <v>17741.0</v>
      </c>
      <c r="K472" s="2">
        <v>1609373.0</v>
      </c>
      <c r="L472" s="2">
        <v>1084668.0</v>
      </c>
      <c r="N472" s="2">
        <v>524705.0</v>
      </c>
      <c r="P472" s="3"/>
      <c r="Q472" s="3"/>
      <c r="R472" s="3"/>
      <c r="S472" s="3"/>
      <c r="T472" s="3"/>
      <c r="U472" s="3"/>
      <c r="V472" s="3"/>
      <c r="W472" s="3"/>
      <c r="X472" s="3"/>
      <c r="Y472" s="3"/>
      <c r="Z472" s="3"/>
      <c r="AA472" s="3"/>
      <c r="AB472" s="3"/>
      <c r="AC472" s="3"/>
      <c r="AD472" s="3"/>
      <c r="AE472" s="3"/>
      <c r="AF472" s="3"/>
      <c r="AG472" s="3"/>
    </row>
    <row r="473">
      <c r="A473" s="2">
        <v>2018.0</v>
      </c>
      <c r="B473" s="2" t="s">
        <v>780</v>
      </c>
      <c r="D473" s="2" t="s">
        <v>769</v>
      </c>
      <c r="E473" s="2" t="s">
        <v>770</v>
      </c>
      <c r="F473" s="2">
        <v>333407.0</v>
      </c>
      <c r="I473" s="2">
        <v>2447133.0</v>
      </c>
      <c r="J473" s="2">
        <v>33617.0</v>
      </c>
      <c r="K473" s="2">
        <v>2814157.0</v>
      </c>
      <c r="L473" s="2">
        <v>1337606.0</v>
      </c>
      <c r="N473" s="2">
        <v>1476551.0</v>
      </c>
      <c r="P473" s="3"/>
      <c r="Q473" s="3"/>
      <c r="R473" s="3"/>
      <c r="S473" s="3"/>
      <c r="T473" s="3"/>
      <c r="U473" s="3"/>
      <c r="V473" s="3"/>
      <c r="W473" s="3"/>
      <c r="X473" s="3"/>
      <c r="Y473" s="3"/>
      <c r="Z473" s="3"/>
      <c r="AA473" s="3"/>
      <c r="AB473" s="3"/>
      <c r="AC473" s="3"/>
      <c r="AD473" s="3"/>
      <c r="AE473" s="3"/>
      <c r="AF473" s="3"/>
      <c r="AG473" s="3"/>
    </row>
    <row r="474">
      <c r="A474" s="2">
        <v>2018.0</v>
      </c>
      <c r="B474" s="2" t="s">
        <v>780</v>
      </c>
      <c r="D474" s="2" t="s">
        <v>769</v>
      </c>
      <c r="E474" s="2" t="s">
        <v>114</v>
      </c>
      <c r="F474" s="2">
        <v>204136.0</v>
      </c>
      <c r="I474" s="2">
        <v>122529.0</v>
      </c>
      <c r="J474" s="2">
        <v>361.0</v>
      </c>
      <c r="K474" s="2">
        <v>327026.0</v>
      </c>
      <c r="L474" s="2">
        <v>308652.0</v>
      </c>
      <c r="N474" s="2">
        <v>18374.0</v>
      </c>
      <c r="P474" s="3"/>
      <c r="Q474" s="3"/>
      <c r="R474" s="3"/>
      <c r="S474" s="3"/>
      <c r="T474" s="3"/>
      <c r="U474" s="3"/>
      <c r="V474" s="3"/>
      <c r="W474" s="3"/>
      <c r="X474" s="3"/>
      <c r="Y474" s="3"/>
      <c r="Z474" s="3"/>
      <c r="AA474" s="3"/>
      <c r="AB474" s="3"/>
      <c r="AC474" s="3"/>
      <c r="AD474" s="3"/>
      <c r="AE474" s="3"/>
      <c r="AF474" s="3"/>
      <c r="AG474" s="3"/>
    </row>
    <row r="475">
      <c r="A475" s="2">
        <v>2018.0</v>
      </c>
      <c r="B475" s="2" t="s">
        <v>780</v>
      </c>
      <c r="D475" s="2" t="s">
        <v>769</v>
      </c>
      <c r="E475" s="2" t="s">
        <v>460</v>
      </c>
      <c r="F475" s="2">
        <v>5602.0</v>
      </c>
      <c r="I475" s="2">
        <v>247088.0</v>
      </c>
      <c r="J475" s="2">
        <v>304.0</v>
      </c>
      <c r="K475" s="2">
        <v>252994.0</v>
      </c>
      <c r="L475" s="2">
        <v>250777.0</v>
      </c>
      <c r="N475" s="2">
        <v>2217.0</v>
      </c>
      <c r="P475" s="3"/>
      <c r="Q475" s="3"/>
      <c r="R475" s="3"/>
      <c r="S475" s="3"/>
      <c r="T475" s="3"/>
      <c r="U475" s="3"/>
      <c r="V475" s="3"/>
      <c r="W475" s="3"/>
      <c r="X475" s="3"/>
      <c r="Y475" s="3"/>
      <c r="Z475" s="3"/>
      <c r="AA475" s="3"/>
      <c r="AB475" s="3"/>
      <c r="AC475" s="3"/>
      <c r="AD475" s="3"/>
      <c r="AE475" s="3"/>
      <c r="AF475" s="3"/>
      <c r="AG475" s="3"/>
    </row>
    <row r="476">
      <c r="A476" s="2">
        <v>2018.0</v>
      </c>
      <c r="B476" s="2" t="s">
        <v>780</v>
      </c>
      <c r="D476" s="2" t="s">
        <v>769</v>
      </c>
      <c r="E476" s="2" t="s">
        <v>32</v>
      </c>
      <c r="F476" s="2">
        <v>32112.0</v>
      </c>
      <c r="I476" s="2">
        <v>21800.0</v>
      </c>
      <c r="J476" s="2">
        <v>1719.0</v>
      </c>
      <c r="K476" s="2">
        <v>55631.0</v>
      </c>
      <c r="L476" s="2">
        <v>114.0</v>
      </c>
      <c r="N476" s="2">
        <v>55517.0</v>
      </c>
      <c r="P476" s="3"/>
      <c r="Q476" s="3"/>
      <c r="R476" s="3"/>
      <c r="S476" s="3"/>
      <c r="T476" s="3"/>
      <c r="U476" s="3"/>
      <c r="V476" s="3"/>
      <c r="W476" s="3"/>
      <c r="X476" s="3"/>
      <c r="Y476" s="3"/>
      <c r="Z476" s="3"/>
      <c r="AA476" s="3"/>
      <c r="AB476" s="3"/>
      <c r="AC476" s="3"/>
      <c r="AD476" s="3"/>
      <c r="AE476" s="3"/>
      <c r="AF476" s="3"/>
      <c r="AG476" s="3"/>
    </row>
    <row r="477">
      <c r="A477" s="2">
        <v>2018.0</v>
      </c>
      <c r="B477" s="2" t="s">
        <v>780</v>
      </c>
      <c r="D477" s="2" t="s">
        <v>773</v>
      </c>
      <c r="E477" s="2" t="s">
        <v>729</v>
      </c>
      <c r="F477" s="2">
        <v>7852.0</v>
      </c>
      <c r="I477" s="2">
        <v>1493127.0</v>
      </c>
      <c r="J477" s="2">
        <v>24149.0</v>
      </c>
      <c r="K477" s="2">
        <v>1525128.0</v>
      </c>
      <c r="L477" s="2">
        <v>675984.0</v>
      </c>
      <c r="N477" s="2">
        <v>849144.0</v>
      </c>
      <c r="P477" s="3"/>
      <c r="Q477" s="3"/>
      <c r="R477" s="3"/>
      <c r="S477" s="3"/>
      <c r="T477" s="3"/>
      <c r="U477" s="3"/>
      <c r="V477" s="3"/>
      <c r="W477" s="3"/>
      <c r="X477" s="3"/>
      <c r="Y477" s="3"/>
      <c r="Z477" s="3"/>
      <c r="AA477" s="3"/>
      <c r="AB477" s="3"/>
      <c r="AC477" s="3"/>
      <c r="AD477" s="3"/>
      <c r="AE477" s="3"/>
      <c r="AF477" s="3"/>
      <c r="AG477" s="3"/>
    </row>
    <row r="478">
      <c r="A478" s="2">
        <v>2018.0</v>
      </c>
      <c r="B478" s="2" t="s">
        <v>780</v>
      </c>
      <c r="D478" s="2" t="s">
        <v>773</v>
      </c>
      <c r="E478" s="2" t="s">
        <v>114</v>
      </c>
      <c r="F478" s="2">
        <v>381499.0</v>
      </c>
      <c r="I478" s="2">
        <v>0.0</v>
      </c>
      <c r="J478" s="2">
        <v>6112.0</v>
      </c>
      <c r="K478" s="2">
        <v>387611.0</v>
      </c>
      <c r="L478" s="2">
        <v>347034.0</v>
      </c>
      <c r="N478" s="2">
        <v>40577.0</v>
      </c>
      <c r="P478" s="3"/>
      <c r="Q478" s="3"/>
      <c r="R478" s="3"/>
      <c r="S478" s="3"/>
      <c r="T478" s="3"/>
      <c r="U478" s="3"/>
      <c r="V478" s="3"/>
      <c r="W478" s="3"/>
      <c r="X478" s="3"/>
      <c r="Y478" s="3"/>
      <c r="Z478" s="3"/>
      <c r="AA478" s="3"/>
      <c r="AB478" s="3"/>
      <c r="AC478" s="3"/>
      <c r="AD478" s="3"/>
      <c r="AE478" s="3"/>
      <c r="AF478" s="3"/>
      <c r="AG478" s="3"/>
    </row>
    <row r="479">
      <c r="A479" s="2">
        <v>2018.0</v>
      </c>
      <c r="B479" s="2" t="s">
        <v>780</v>
      </c>
      <c r="D479" s="2" t="s">
        <v>773</v>
      </c>
      <c r="E479" s="2" t="s">
        <v>507</v>
      </c>
      <c r="F479" s="2">
        <v>22001.0</v>
      </c>
      <c r="I479" s="2">
        <v>383882.0</v>
      </c>
      <c r="J479" s="2">
        <v>3487.0</v>
      </c>
      <c r="K479" s="2">
        <v>409370.0</v>
      </c>
      <c r="L479" s="2">
        <v>375868.0</v>
      </c>
      <c r="N479" s="2">
        <v>33502.0</v>
      </c>
      <c r="P479" s="3"/>
      <c r="Q479" s="3"/>
      <c r="R479" s="3"/>
      <c r="S479" s="3"/>
      <c r="T479" s="3"/>
      <c r="U479" s="3"/>
      <c r="V479" s="3"/>
      <c r="W479" s="3"/>
      <c r="X479" s="3"/>
      <c r="Y479" s="3"/>
      <c r="Z479" s="3"/>
      <c r="AA479" s="3"/>
      <c r="AB479" s="3"/>
      <c r="AC479" s="3"/>
      <c r="AD479" s="3"/>
      <c r="AE479" s="3"/>
      <c r="AF479" s="3"/>
      <c r="AG479" s="3"/>
    </row>
    <row r="480">
      <c r="A480" s="2">
        <v>2018.0</v>
      </c>
      <c r="B480" s="2" t="s">
        <v>780</v>
      </c>
      <c r="D480" s="2" t="s">
        <v>776</v>
      </c>
      <c r="E480" s="2" t="s">
        <v>173</v>
      </c>
      <c r="F480" s="2">
        <v>36210.0</v>
      </c>
      <c r="I480" s="2">
        <v>1352333.0</v>
      </c>
      <c r="J480" s="2">
        <v>13421.0</v>
      </c>
      <c r="K480" s="2">
        <v>1401964.0</v>
      </c>
      <c r="L480" s="2">
        <v>1094876.0</v>
      </c>
      <c r="N480" s="2">
        <v>307088.0</v>
      </c>
      <c r="P480" s="3"/>
      <c r="Q480" s="3"/>
      <c r="R480" s="3"/>
      <c r="S480" s="3"/>
      <c r="T480" s="3"/>
      <c r="U480" s="3"/>
      <c r="V480" s="3"/>
      <c r="W480" s="3"/>
      <c r="X480" s="3"/>
      <c r="Y480" s="3"/>
      <c r="Z480" s="3"/>
      <c r="AA480" s="3"/>
      <c r="AB480" s="3"/>
      <c r="AC480" s="3"/>
      <c r="AD480" s="3"/>
      <c r="AE480" s="3"/>
      <c r="AF480" s="3"/>
      <c r="AG480" s="3"/>
    </row>
    <row r="481">
      <c r="A481" s="2">
        <v>2018.0</v>
      </c>
      <c r="B481" s="2" t="s">
        <v>780</v>
      </c>
      <c r="D481" s="2" t="s">
        <v>776</v>
      </c>
      <c r="E481" s="2" t="s">
        <v>114</v>
      </c>
      <c r="F481" s="2">
        <v>396349.0</v>
      </c>
      <c r="I481" s="2">
        <v>0.0</v>
      </c>
      <c r="J481" s="2">
        <v>11661.0</v>
      </c>
      <c r="K481" s="2">
        <v>408010.0</v>
      </c>
      <c r="L481" s="2">
        <v>392000.0</v>
      </c>
      <c r="N481" s="2">
        <v>16010.0</v>
      </c>
      <c r="P481" s="3"/>
      <c r="Q481" s="3"/>
      <c r="R481" s="3"/>
      <c r="S481" s="3"/>
      <c r="T481" s="3"/>
      <c r="U481" s="3"/>
      <c r="V481" s="3"/>
      <c r="W481" s="3"/>
      <c r="X481" s="3"/>
      <c r="Y481" s="3"/>
      <c r="Z481" s="3"/>
      <c r="AA481" s="3"/>
      <c r="AB481" s="3"/>
      <c r="AC481" s="3"/>
      <c r="AD481" s="3"/>
      <c r="AE481" s="3"/>
      <c r="AF481" s="3"/>
      <c r="AG481" s="3"/>
    </row>
    <row r="482">
      <c r="A482" s="2">
        <v>2018.0</v>
      </c>
      <c r="B482" s="2" t="s">
        <v>780</v>
      </c>
      <c r="D482" s="2" t="s">
        <v>776</v>
      </c>
      <c r="E482" s="2" t="s">
        <v>460</v>
      </c>
      <c r="F482" s="2">
        <v>12111.0</v>
      </c>
      <c r="I482" s="2">
        <v>0.0</v>
      </c>
      <c r="J482" s="2">
        <v>489.0</v>
      </c>
      <c r="K482" s="2">
        <v>12600.0</v>
      </c>
      <c r="L482" s="2">
        <v>0.0</v>
      </c>
      <c r="N482" s="2">
        <v>12600.0</v>
      </c>
      <c r="P482" s="3"/>
      <c r="Q482" s="3"/>
      <c r="R482" s="3"/>
      <c r="S482" s="3"/>
      <c r="T482" s="3"/>
      <c r="U482" s="3"/>
      <c r="V482" s="3"/>
      <c r="W482" s="3"/>
      <c r="X482" s="3"/>
      <c r="Y482" s="3"/>
      <c r="Z482" s="3"/>
      <c r="AA482" s="3"/>
      <c r="AB482" s="3"/>
      <c r="AC482" s="3"/>
      <c r="AD482" s="3"/>
      <c r="AE482" s="3"/>
      <c r="AF482" s="3"/>
      <c r="AG482" s="3"/>
    </row>
    <row r="483">
      <c r="A483" s="2">
        <v>2018.0</v>
      </c>
      <c r="B483" s="2" t="s">
        <v>780</v>
      </c>
      <c r="D483" s="2" t="s">
        <v>776</v>
      </c>
      <c r="E483" s="2" t="s">
        <v>56</v>
      </c>
      <c r="F483" s="2">
        <v>15131.0</v>
      </c>
      <c r="I483" s="2">
        <v>464538.0</v>
      </c>
      <c r="J483" s="2">
        <v>1045.0</v>
      </c>
      <c r="K483" s="2">
        <v>480714.0</v>
      </c>
      <c r="L483" s="2">
        <v>284973.0</v>
      </c>
      <c r="N483" s="2">
        <v>195741.0</v>
      </c>
      <c r="P483" s="3"/>
      <c r="Q483" s="3"/>
      <c r="R483" s="3"/>
      <c r="S483" s="3"/>
      <c r="T483" s="3"/>
      <c r="U483" s="3"/>
      <c r="V483" s="3"/>
      <c r="W483" s="3"/>
      <c r="X483" s="3"/>
      <c r="Y483" s="3"/>
      <c r="Z483" s="3"/>
      <c r="AA483" s="3"/>
      <c r="AB483" s="3"/>
      <c r="AC483" s="3"/>
      <c r="AD483" s="3"/>
      <c r="AE483" s="3"/>
      <c r="AF483" s="3"/>
      <c r="AG483" s="3"/>
    </row>
    <row r="484">
      <c r="A484" s="2">
        <v>2018.0</v>
      </c>
      <c r="B484" s="2" t="s">
        <v>780</v>
      </c>
      <c r="D484" s="2" t="s">
        <v>776</v>
      </c>
      <c r="E484" s="2" t="s">
        <v>32</v>
      </c>
      <c r="F484" s="2">
        <v>27086.0</v>
      </c>
      <c r="I484" s="2">
        <v>47485.0</v>
      </c>
      <c r="J484" s="2">
        <v>1617.0</v>
      </c>
      <c r="K484" s="2">
        <v>76188.0</v>
      </c>
      <c r="L484" s="2">
        <v>0.0</v>
      </c>
      <c r="N484" s="2">
        <v>76188.0</v>
      </c>
      <c r="P484" s="3"/>
      <c r="Q484" s="3"/>
      <c r="R484" s="3"/>
      <c r="S484" s="3"/>
      <c r="T484" s="3"/>
      <c r="U484" s="3"/>
      <c r="V484" s="3"/>
      <c r="W484" s="3"/>
      <c r="X484" s="3"/>
      <c r="Y484" s="3"/>
      <c r="Z484" s="3"/>
      <c r="AA484" s="3"/>
      <c r="AB484" s="3"/>
      <c r="AC484" s="3"/>
      <c r="AD484" s="3"/>
      <c r="AE484" s="3"/>
      <c r="AF484" s="3"/>
      <c r="AG484" s="3"/>
    </row>
    <row r="485">
      <c r="A485" s="2">
        <v>2018.0</v>
      </c>
      <c r="B485" s="2" t="s">
        <v>780</v>
      </c>
      <c r="D485" s="2" t="s">
        <v>466</v>
      </c>
      <c r="E485" s="2" t="s">
        <v>852</v>
      </c>
      <c r="F485" s="2">
        <v>0.0</v>
      </c>
      <c r="I485" s="2">
        <v>116200.0</v>
      </c>
      <c r="J485" s="2">
        <v>13.0</v>
      </c>
      <c r="K485" s="2">
        <v>116213.0</v>
      </c>
      <c r="L485" s="2">
        <v>115229.0</v>
      </c>
      <c r="N485" s="2">
        <v>984.0</v>
      </c>
      <c r="P485" s="3"/>
      <c r="Q485" s="3"/>
      <c r="R485" s="3"/>
      <c r="S485" s="3"/>
      <c r="T485" s="3"/>
      <c r="U485" s="3"/>
      <c r="V485" s="3"/>
      <c r="W485" s="3"/>
      <c r="X485" s="3"/>
      <c r="Y485" s="3"/>
      <c r="Z485" s="3"/>
      <c r="AA485" s="3"/>
      <c r="AB485" s="3"/>
      <c r="AC485" s="3"/>
      <c r="AD485" s="3"/>
      <c r="AE485" s="3"/>
      <c r="AF485" s="3"/>
      <c r="AG485" s="3"/>
    </row>
    <row r="486">
      <c r="A486" s="2">
        <v>2018.0</v>
      </c>
      <c r="B486" s="2" t="s">
        <v>780</v>
      </c>
      <c r="D486" s="2" t="s">
        <v>466</v>
      </c>
      <c r="E486" s="2" t="s">
        <v>114</v>
      </c>
      <c r="F486" s="2">
        <v>315131.0</v>
      </c>
      <c r="I486" s="2">
        <v>0.0</v>
      </c>
      <c r="J486" s="2">
        <v>10587.0</v>
      </c>
      <c r="K486" s="2">
        <v>325718.0</v>
      </c>
      <c r="L486" s="2">
        <v>80000.0</v>
      </c>
      <c r="N486" s="2">
        <v>245718.0</v>
      </c>
      <c r="P486" s="3"/>
      <c r="Q486" s="3"/>
      <c r="R486" s="3"/>
      <c r="S486" s="3"/>
      <c r="T486" s="3"/>
      <c r="U486" s="3"/>
      <c r="V486" s="3"/>
      <c r="W486" s="3"/>
      <c r="X486" s="3"/>
      <c r="Y486" s="3"/>
      <c r="Z486" s="3"/>
      <c r="AA486" s="3"/>
      <c r="AB486" s="3"/>
      <c r="AC486" s="3"/>
      <c r="AD486" s="3"/>
      <c r="AE486" s="3"/>
      <c r="AF486" s="3"/>
      <c r="AG486" s="3"/>
    </row>
    <row r="487">
      <c r="A487" s="2">
        <v>2018.0</v>
      </c>
      <c r="B487" s="2" t="s">
        <v>780</v>
      </c>
      <c r="D487" s="2" t="s">
        <v>466</v>
      </c>
      <c r="E487" s="2" t="s">
        <v>460</v>
      </c>
      <c r="F487" s="2">
        <v>12659.0</v>
      </c>
      <c r="I487" s="2">
        <v>50000.0</v>
      </c>
      <c r="J487" s="2">
        <v>1412.0</v>
      </c>
      <c r="K487" s="2">
        <v>64071.0</v>
      </c>
      <c r="L487" s="2">
        <v>52800.0</v>
      </c>
      <c r="N487" s="2">
        <v>11270.0</v>
      </c>
      <c r="P487" s="3"/>
      <c r="Q487" s="3"/>
      <c r="R487" s="3"/>
      <c r="S487" s="3"/>
      <c r="T487" s="3"/>
      <c r="U487" s="3"/>
      <c r="V487" s="3"/>
      <c r="W487" s="3"/>
      <c r="X487" s="3"/>
      <c r="Y487" s="3"/>
      <c r="Z487" s="3"/>
      <c r="AA487" s="3"/>
      <c r="AB487" s="3"/>
      <c r="AC487" s="3"/>
      <c r="AD487" s="3"/>
      <c r="AE487" s="3"/>
      <c r="AF487" s="3"/>
      <c r="AG487" s="3"/>
    </row>
    <row r="488">
      <c r="A488" s="2">
        <v>2018.0</v>
      </c>
      <c r="B488" s="2" t="s">
        <v>780</v>
      </c>
      <c r="D488" s="2" t="s">
        <v>466</v>
      </c>
      <c r="E488" s="2" t="s">
        <v>469</v>
      </c>
      <c r="F488" s="2">
        <v>38909.0</v>
      </c>
      <c r="I488" s="2">
        <v>1448347.0</v>
      </c>
      <c r="J488" s="2">
        <v>12624.0</v>
      </c>
      <c r="K488" s="2">
        <v>1499880.0</v>
      </c>
      <c r="L488" s="2">
        <v>1215216.0</v>
      </c>
      <c r="N488" s="2">
        <v>284664.0</v>
      </c>
      <c r="P488" s="3"/>
      <c r="Q488" s="3"/>
      <c r="R488" s="3"/>
      <c r="S488" s="3"/>
      <c r="T488" s="3"/>
      <c r="U488" s="3"/>
      <c r="V488" s="3"/>
      <c r="W488" s="3"/>
      <c r="X488" s="3"/>
      <c r="Y488" s="3"/>
      <c r="Z488" s="3"/>
      <c r="AA488" s="3"/>
      <c r="AB488" s="3"/>
      <c r="AC488" s="3"/>
      <c r="AD488" s="3"/>
      <c r="AE488" s="3"/>
      <c r="AF488" s="3"/>
      <c r="AG488" s="3"/>
    </row>
    <row r="489">
      <c r="A489" s="2">
        <v>2018.0</v>
      </c>
      <c r="B489" s="2" t="s">
        <v>780</v>
      </c>
      <c r="D489" s="2" t="s">
        <v>466</v>
      </c>
      <c r="E489" s="2" t="s">
        <v>32</v>
      </c>
      <c r="F489" s="2">
        <v>311.0</v>
      </c>
      <c r="I489" s="2">
        <v>109145.0</v>
      </c>
      <c r="J489" s="2">
        <v>1497.0</v>
      </c>
      <c r="K489" s="2">
        <v>110953.0</v>
      </c>
      <c r="L489" s="2">
        <v>385.0</v>
      </c>
      <c r="N489" s="2">
        <v>110568.0</v>
      </c>
      <c r="P489" s="3"/>
      <c r="Q489" s="3"/>
      <c r="R489" s="3"/>
      <c r="S489" s="3"/>
      <c r="T489" s="3"/>
      <c r="U489" s="3"/>
      <c r="V489" s="3"/>
      <c r="W489" s="3"/>
      <c r="X489" s="3"/>
      <c r="Y489" s="3"/>
      <c r="Z489" s="3"/>
      <c r="AA489" s="3"/>
      <c r="AB489" s="3"/>
      <c r="AC489" s="3"/>
      <c r="AD489" s="3"/>
      <c r="AE489" s="3"/>
      <c r="AF489" s="3"/>
      <c r="AG489" s="3"/>
    </row>
    <row r="490">
      <c r="A490" s="2">
        <v>2018.0</v>
      </c>
      <c r="B490" s="2" t="s">
        <v>780</v>
      </c>
      <c r="D490" s="2" t="s">
        <v>466</v>
      </c>
      <c r="E490" s="2" t="s">
        <v>525</v>
      </c>
      <c r="F490" s="2">
        <v>985.0</v>
      </c>
      <c r="I490" s="2">
        <v>268900.0</v>
      </c>
      <c r="J490" s="2">
        <v>43.0</v>
      </c>
      <c r="K490" s="2">
        <v>269928.0</v>
      </c>
      <c r="L490" s="2">
        <v>268800.0</v>
      </c>
      <c r="N490" s="2">
        <v>1128.0</v>
      </c>
      <c r="P490" s="3"/>
      <c r="Q490" s="3"/>
      <c r="R490" s="3"/>
      <c r="S490" s="3"/>
      <c r="T490" s="3"/>
      <c r="U490" s="3"/>
      <c r="V490" s="3"/>
      <c r="W490" s="3"/>
      <c r="X490" s="3"/>
      <c r="Y490" s="3"/>
      <c r="Z490" s="3"/>
      <c r="AA490" s="3"/>
      <c r="AB490" s="3"/>
      <c r="AC490" s="3"/>
      <c r="AD490" s="3"/>
      <c r="AE490" s="3"/>
      <c r="AF490" s="3"/>
      <c r="AG490" s="3"/>
    </row>
    <row r="491">
      <c r="A491" s="2">
        <v>2018.0</v>
      </c>
      <c r="B491" s="2" t="s">
        <v>780</v>
      </c>
      <c r="D491" s="2" t="s">
        <v>466</v>
      </c>
      <c r="E491" s="2" t="s">
        <v>173</v>
      </c>
      <c r="F491" s="2">
        <v>38909.0</v>
      </c>
      <c r="I491" s="2">
        <v>720747.0</v>
      </c>
      <c r="J491" s="2">
        <v>5870.0</v>
      </c>
      <c r="K491" s="2">
        <v>765526.0</v>
      </c>
      <c r="L491" s="2">
        <v>678753.0</v>
      </c>
      <c r="N491" s="2">
        <v>86773.0</v>
      </c>
      <c r="P491" s="3"/>
      <c r="Q491" s="3"/>
      <c r="R491" s="3"/>
      <c r="S491" s="3"/>
      <c r="T491" s="3"/>
      <c r="U491" s="3"/>
      <c r="V491" s="3"/>
      <c r="W491" s="3"/>
      <c r="X491" s="3"/>
      <c r="Y491" s="3"/>
      <c r="Z491" s="3"/>
      <c r="AA491" s="3"/>
      <c r="AB491" s="3"/>
      <c r="AC491" s="3"/>
      <c r="AD491" s="3"/>
      <c r="AE491" s="3"/>
      <c r="AF491" s="3"/>
      <c r="AG491" s="3"/>
    </row>
    <row r="492">
      <c r="A492" s="2">
        <v>2018.0</v>
      </c>
      <c r="B492" s="2" t="s">
        <v>780</v>
      </c>
      <c r="D492" s="2" t="s">
        <v>466</v>
      </c>
      <c r="E492" s="2" t="s">
        <v>759</v>
      </c>
      <c r="F492" s="2">
        <v>0.0</v>
      </c>
      <c r="I492" s="2">
        <v>670000.0</v>
      </c>
      <c r="J492" s="2">
        <v>6754.0</v>
      </c>
      <c r="K492" s="2">
        <v>676754.0</v>
      </c>
      <c r="L492" s="2">
        <v>478863.0</v>
      </c>
      <c r="N492" s="2">
        <v>197891.0</v>
      </c>
      <c r="P492" s="3"/>
      <c r="Q492" s="3"/>
      <c r="R492" s="3"/>
      <c r="S492" s="3"/>
      <c r="T492" s="3"/>
      <c r="U492" s="3"/>
      <c r="V492" s="3"/>
      <c r="W492" s="3"/>
      <c r="X492" s="3"/>
      <c r="Y492" s="3"/>
      <c r="Z492" s="3"/>
      <c r="AA492" s="3"/>
      <c r="AB492" s="3"/>
      <c r="AC492" s="3"/>
      <c r="AD492" s="3"/>
      <c r="AE492" s="3"/>
      <c r="AF492" s="3"/>
      <c r="AG492" s="3"/>
    </row>
    <row r="493">
      <c r="A493" s="2">
        <v>2018.0</v>
      </c>
      <c r="B493" s="2" t="s">
        <v>780</v>
      </c>
      <c r="D493" s="2" t="s">
        <v>466</v>
      </c>
      <c r="E493" s="2" t="s">
        <v>114</v>
      </c>
      <c r="F493" s="2">
        <v>315131.0</v>
      </c>
      <c r="I493" s="2">
        <v>0.0</v>
      </c>
      <c r="J493" s="2">
        <v>10587.0</v>
      </c>
      <c r="K493" s="2">
        <v>325718.0</v>
      </c>
      <c r="L493" s="2">
        <v>80000.0</v>
      </c>
      <c r="N493" s="2">
        <v>245718.0</v>
      </c>
      <c r="P493" s="3"/>
      <c r="Q493" s="3"/>
      <c r="R493" s="3"/>
      <c r="S493" s="3"/>
      <c r="T493" s="3"/>
      <c r="U493" s="3"/>
      <c r="V493" s="3"/>
      <c r="W493" s="3"/>
      <c r="X493" s="3"/>
      <c r="Y493" s="3"/>
      <c r="Z493" s="3"/>
      <c r="AA493" s="3"/>
      <c r="AB493" s="3"/>
      <c r="AC493" s="3"/>
      <c r="AD493" s="3"/>
      <c r="AE493" s="3"/>
      <c r="AF493" s="3"/>
      <c r="AG493" s="3"/>
    </row>
    <row r="494">
      <c r="A494" s="2">
        <v>2018.0</v>
      </c>
      <c r="B494" s="2" t="s">
        <v>780</v>
      </c>
      <c r="D494" s="2" t="s">
        <v>466</v>
      </c>
      <c r="E494" s="2" t="s">
        <v>867</v>
      </c>
      <c r="I494" s="4">
        <v>57600.0</v>
      </c>
      <c r="J494" s="2">
        <v>0.0</v>
      </c>
      <c r="K494" s="4">
        <v>57600.0</v>
      </c>
      <c r="L494" s="4">
        <v>57600.0</v>
      </c>
      <c r="N494" s="2">
        <v>0.0</v>
      </c>
      <c r="P494" s="3"/>
      <c r="Q494" s="3"/>
      <c r="R494" s="3"/>
      <c r="S494" s="3"/>
      <c r="T494" s="3"/>
      <c r="U494" s="3"/>
      <c r="V494" s="3"/>
      <c r="W494" s="3"/>
      <c r="X494" s="3"/>
      <c r="Y494" s="3"/>
      <c r="Z494" s="3"/>
      <c r="AA494" s="3"/>
      <c r="AB494" s="3"/>
      <c r="AC494" s="3"/>
      <c r="AD494" s="3"/>
      <c r="AE494" s="3"/>
      <c r="AF494" s="3"/>
      <c r="AG494" s="3"/>
    </row>
    <row r="495">
      <c r="A495" s="2">
        <v>2018.0</v>
      </c>
      <c r="B495" s="2" t="s">
        <v>780</v>
      </c>
      <c r="D495" s="2" t="s">
        <v>466</v>
      </c>
      <c r="E495" s="2" t="s">
        <v>460</v>
      </c>
      <c r="F495" s="4">
        <v>12659.0</v>
      </c>
      <c r="I495" s="4">
        <v>50000.0</v>
      </c>
      <c r="J495" s="4">
        <v>1412.0</v>
      </c>
      <c r="K495" s="4">
        <v>64071.0</v>
      </c>
      <c r="L495" s="4">
        <v>52800.0</v>
      </c>
      <c r="N495" s="4">
        <v>11271.0</v>
      </c>
      <c r="P495" s="3"/>
      <c r="Q495" s="3"/>
      <c r="R495" s="3"/>
      <c r="S495" s="3"/>
      <c r="T495" s="3"/>
      <c r="U495" s="3"/>
      <c r="V495" s="3"/>
      <c r="W495" s="3"/>
      <c r="X495" s="3"/>
      <c r="Y495" s="3"/>
      <c r="Z495" s="3"/>
      <c r="AA495" s="3"/>
      <c r="AB495" s="3"/>
      <c r="AC495" s="3"/>
      <c r="AD495" s="3"/>
      <c r="AE495" s="3"/>
      <c r="AF495" s="3"/>
      <c r="AG495" s="3"/>
    </row>
    <row r="496">
      <c r="A496" s="2">
        <v>2018.0</v>
      </c>
      <c r="B496" s="2" t="s">
        <v>780</v>
      </c>
      <c r="D496" s="2" t="s">
        <v>468</v>
      </c>
      <c r="E496" s="2" t="s">
        <v>56</v>
      </c>
      <c r="F496" s="2">
        <v>1000.0</v>
      </c>
      <c r="I496" s="2">
        <v>218832.0</v>
      </c>
      <c r="J496" s="2">
        <v>34.0</v>
      </c>
      <c r="K496" s="2">
        <v>219866.0</v>
      </c>
      <c r="L496" s="2">
        <v>218629.0</v>
      </c>
      <c r="N496" s="2">
        <v>1237.0</v>
      </c>
      <c r="P496" s="3"/>
      <c r="Q496" s="3"/>
      <c r="R496" s="3"/>
      <c r="S496" s="3"/>
      <c r="T496" s="3"/>
      <c r="U496" s="3"/>
      <c r="V496" s="3"/>
      <c r="W496" s="3"/>
      <c r="X496" s="3"/>
      <c r="Y496" s="3"/>
      <c r="Z496" s="3"/>
      <c r="AA496" s="3"/>
      <c r="AB496" s="3"/>
      <c r="AC496" s="3"/>
      <c r="AD496" s="3"/>
      <c r="AE496" s="3"/>
      <c r="AF496" s="3"/>
      <c r="AG496" s="3"/>
    </row>
    <row r="497">
      <c r="A497" s="2">
        <v>2018.0</v>
      </c>
      <c r="B497" s="2" t="s">
        <v>780</v>
      </c>
      <c r="D497" s="2" t="s">
        <v>468</v>
      </c>
      <c r="E497" s="2" t="s">
        <v>114</v>
      </c>
      <c r="F497" s="2">
        <v>401648.0</v>
      </c>
      <c r="I497" s="2">
        <v>0.0</v>
      </c>
      <c r="J497" s="2">
        <v>10307.0</v>
      </c>
      <c r="K497" s="2">
        <v>411955.0</v>
      </c>
      <c r="L497" s="2">
        <v>276000.0</v>
      </c>
      <c r="N497" s="2">
        <v>135955.0</v>
      </c>
      <c r="P497" s="3"/>
      <c r="Q497" s="3"/>
      <c r="R497" s="3"/>
      <c r="S497" s="3"/>
      <c r="T497" s="3"/>
      <c r="U497" s="3"/>
      <c r="V497" s="3"/>
      <c r="W497" s="3"/>
      <c r="X497" s="3"/>
      <c r="Y497" s="3"/>
      <c r="Z497" s="3"/>
      <c r="AA497" s="3"/>
      <c r="AB497" s="3"/>
      <c r="AC497" s="3"/>
      <c r="AD497" s="3"/>
      <c r="AE497" s="3"/>
      <c r="AF497" s="3"/>
      <c r="AG497" s="3"/>
    </row>
    <row r="498">
      <c r="A498" s="2">
        <v>2018.0</v>
      </c>
      <c r="B498" s="2" t="s">
        <v>780</v>
      </c>
      <c r="D498" s="2" t="s">
        <v>468</v>
      </c>
      <c r="E498" s="2" t="s">
        <v>469</v>
      </c>
      <c r="F498" s="2">
        <v>162979.0</v>
      </c>
      <c r="I498" s="2">
        <v>1317515.0</v>
      </c>
      <c r="J498" s="2">
        <v>12365.0</v>
      </c>
      <c r="K498" s="2">
        <v>1492859.0</v>
      </c>
      <c r="L498" s="2">
        <v>1385937.0</v>
      </c>
      <c r="N498" s="2">
        <v>106922.0</v>
      </c>
      <c r="P498" s="3"/>
      <c r="Q498" s="3"/>
      <c r="R498" s="3"/>
      <c r="S498" s="3"/>
      <c r="T498" s="3"/>
      <c r="U498" s="3"/>
      <c r="V498" s="3"/>
      <c r="W498" s="3"/>
      <c r="X498" s="3"/>
      <c r="Y498" s="3"/>
      <c r="Z498" s="3"/>
      <c r="AA498" s="3"/>
      <c r="AB498" s="3"/>
      <c r="AC498" s="3"/>
      <c r="AD498" s="3"/>
      <c r="AE498" s="3"/>
      <c r="AF498" s="3"/>
      <c r="AG498" s="3"/>
    </row>
    <row r="499">
      <c r="A499" s="2">
        <v>2018.0</v>
      </c>
      <c r="B499" s="2" t="s">
        <v>780</v>
      </c>
      <c r="D499" s="2" t="s">
        <v>468</v>
      </c>
      <c r="E499" s="2" t="s">
        <v>460</v>
      </c>
      <c r="F499" s="2">
        <v>979.0</v>
      </c>
      <c r="I499" s="2">
        <v>50000.0</v>
      </c>
      <c r="J499" s="2">
        <v>38.0</v>
      </c>
      <c r="K499" s="2">
        <v>51017.0</v>
      </c>
      <c r="L499" s="2">
        <v>50025.0</v>
      </c>
      <c r="N499" s="2">
        <v>992.0</v>
      </c>
      <c r="P499" s="3"/>
      <c r="Q499" s="3"/>
      <c r="R499" s="3"/>
      <c r="S499" s="3"/>
      <c r="T499" s="3"/>
      <c r="U499" s="3"/>
      <c r="V499" s="3"/>
      <c r="W499" s="3"/>
      <c r="X499" s="3"/>
      <c r="Y499" s="3"/>
      <c r="Z499" s="3"/>
      <c r="AA499" s="3"/>
      <c r="AB499" s="3"/>
      <c r="AC499" s="3"/>
      <c r="AD499" s="3"/>
      <c r="AE499" s="3"/>
      <c r="AF499" s="3"/>
      <c r="AG499" s="3"/>
    </row>
    <row r="500">
      <c r="A500" s="2">
        <v>2018.0</v>
      </c>
      <c r="B500" s="2" t="s">
        <v>780</v>
      </c>
      <c r="D500" s="2" t="s">
        <v>468</v>
      </c>
      <c r="E500" s="2" t="s">
        <v>32</v>
      </c>
      <c r="F500" s="2">
        <v>995.0</v>
      </c>
      <c r="I500" s="2">
        <v>6110.0</v>
      </c>
      <c r="J500" s="2">
        <v>144.0</v>
      </c>
      <c r="K500" s="2">
        <v>7249.0</v>
      </c>
      <c r="L500" s="2">
        <v>0.0</v>
      </c>
      <c r="N500" s="2">
        <v>7249.0</v>
      </c>
      <c r="P500" s="3"/>
      <c r="Q500" s="3"/>
      <c r="R500" s="3"/>
      <c r="S500" s="3"/>
      <c r="T500" s="3"/>
      <c r="U500" s="3"/>
      <c r="V500" s="3"/>
      <c r="W500" s="3"/>
      <c r="X500" s="3"/>
      <c r="Y500" s="3"/>
      <c r="Z500" s="3"/>
      <c r="AA500" s="3"/>
      <c r="AB500" s="3"/>
      <c r="AC500" s="3"/>
      <c r="AD500" s="3"/>
      <c r="AE500" s="3"/>
      <c r="AF500" s="3"/>
      <c r="AG500" s="3"/>
    </row>
    <row r="501">
      <c r="A501" s="2">
        <v>2018.0</v>
      </c>
      <c r="B501" s="2" t="s">
        <v>780</v>
      </c>
      <c r="D501" s="2" t="s">
        <v>472</v>
      </c>
      <c r="E501" s="2" t="s">
        <v>114</v>
      </c>
      <c r="F501" s="2">
        <v>110450.0</v>
      </c>
      <c r="I501" s="2">
        <v>0.0</v>
      </c>
      <c r="J501" s="2">
        <v>5572.0</v>
      </c>
      <c r="K501" s="2">
        <v>116022.0</v>
      </c>
      <c r="L501" s="2">
        <v>102719.0</v>
      </c>
      <c r="N501" s="2">
        <v>13303.0</v>
      </c>
      <c r="P501" s="3"/>
      <c r="Q501" s="3"/>
      <c r="R501" s="3"/>
      <c r="S501" s="3"/>
      <c r="T501" s="3"/>
      <c r="U501" s="3"/>
      <c r="V501" s="3"/>
      <c r="W501" s="3"/>
      <c r="X501" s="3"/>
      <c r="Y501" s="3"/>
      <c r="Z501" s="3"/>
      <c r="AA501" s="3"/>
      <c r="AB501" s="3"/>
      <c r="AC501" s="3"/>
      <c r="AD501" s="3"/>
      <c r="AE501" s="3"/>
      <c r="AF501" s="3"/>
      <c r="AG501" s="3"/>
    </row>
    <row r="502">
      <c r="A502" s="2">
        <v>2018.0</v>
      </c>
      <c r="B502" s="2" t="s">
        <v>780</v>
      </c>
      <c r="D502" s="2" t="s">
        <v>472</v>
      </c>
      <c r="E502" s="2" t="s">
        <v>460</v>
      </c>
      <c r="F502" s="2">
        <v>10272.0</v>
      </c>
      <c r="I502" s="2">
        <v>61947.0</v>
      </c>
      <c r="J502" s="2">
        <v>770.0</v>
      </c>
      <c r="K502" s="2">
        <v>72989.0</v>
      </c>
      <c r="L502" s="2">
        <v>69048.0</v>
      </c>
      <c r="N502" s="2">
        <v>3941.0</v>
      </c>
      <c r="P502" s="3"/>
      <c r="Q502" s="3"/>
      <c r="R502" s="3"/>
      <c r="S502" s="3"/>
      <c r="T502" s="3"/>
      <c r="U502" s="3"/>
      <c r="V502" s="3"/>
      <c r="W502" s="3"/>
      <c r="X502" s="3"/>
      <c r="Y502" s="3"/>
      <c r="Z502" s="3"/>
      <c r="AA502" s="3"/>
      <c r="AB502" s="3"/>
      <c r="AC502" s="3"/>
      <c r="AD502" s="3"/>
      <c r="AE502" s="3"/>
      <c r="AF502" s="3"/>
      <c r="AG502" s="3"/>
    </row>
    <row r="503">
      <c r="A503" s="2">
        <v>2018.0</v>
      </c>
      <c r="B503" s="2" t="s">
        <v>780</v>
      </c>
      <c r="D503" s="2" t="s">
        <v>472</v>
      </c>
      <c r="E503" s="2" t="s">
        <v>173</v>
      </c>
      <c r="F503" s="2">
        <v>107403.0</v>
      </c>
      <c r="I503" s="2">
        <v>0.0</v>
      </c>
      <c r="J503" s="2">
        <v>2482.0</v>
      </c>
      <c r="K503" s="2">
        <v>109885.0</v>
      </c>
      <c r="L503" s="2">
        <v>109885.0</v>
      </c>
      <c r="N503" s="2">
        <v>0.0</v>
      </c>
      <c r="P503" s="3"/>
      <c r="Q503" s="3"/>
      <c r="R503" s="3"/>
      <c r="S503" s="3"/>
      <c r="T503" s="3"/>
      <c r="U503" s="3"/>
      <c r="V503" s="3"/>
      <c r="W503" s="3"/>
      <c r="X503" s="3"/>
      <c r="Y503" s="3"/>
      <c r="Z503" s="3"/>
      <c r="AA503" s="3"/>
      <c r="AB503" s="3"/>
      <c r="AC503" s="3"/>
      <c r="AD503" s="3"/>
      <c r="AE503" s="3"/>
      <c r="AF503" s="3"/>
      <c r="AG503" s="3"/>
    </row>
    <row r="504">
      <c r="A504" s="2">
        <v>2018.0</v>
      </c>
      <c r="B504" s="2" t="s">
        <v>780</v>
      </c>
      <c r="D504" s="2" t="s">
        <v>472</v>
      </c>
      <c r="E504" s="2" t="s">
        <v>32</v>
      </c>
      <c r="F504" s="2">
        <v>500.0</v>
      </c>
      <c r="I504" s="2">
        <v>71487.0</v>
      </c>
      <c r="J504" s="2">
        <v>99.0</v>
      </c>
      <c r="K504" s="2">
        <v>72086.0</v>
      </c>
      <c r="L504" s="2">
        <v>60301.0</v>
      </c>
      <c r="N504" s="2">
        <v>11785.0</v>
      </c>
      <c r="P504" s="3"/>
      <c r="Q504" s="3"/>
      <c r="R504" s="3"/>
      <c r="S504" s="3"/>
      <c r="T504" s="3"/>
      <c r="U504" s="3"/>
      <c r="V504" s="3"/>
      <c r="W504" s="3"/>
      <c r="X504" s="3"/>
      <c r="Y504" s="3"/>
      <c r="Z504" s="3"/>
      <c r="AA504" s="3"/>
      <c r="AB504" s="3"/>
      <c r="AC504" s="3"/>
      <c r="AD504" s="3"/>
      <c r="AE504" s="3"/>
      <c r="AF504" s="3"/>
      <c r="AG504" s="3"/>
    </row>
    <row r="505">
      <c r="A505" s="2">
        <v>2018.0</v>
      </c>
      <c r="B505" s="2" t="s">
        <v>780</v>
      </c>
      <c r="D505" s="2" t="s">
        <v>474</v>
      </c>
      <c r="E505" s="2" t="s">
        <v>56</v>
      </c>
      <c r="F505" s="2">
        <v>1010.0</v>
      </c>
      <c r="I505" s="2">
        <v>205040.0</v>
      </c>
      <c r="J505" s="2">
        <v>60.0</v>
      </c>
      <c r="K505" s="2">
        <v>206110.0</v>
      </c>
      <c r="L505" s="2">
        <v>205069.0</v>
      </c>
      <c r="N505" s="2">
        <v>1041.0</v>
      </c>
      <c r="P505" s="3"/>
      <c r="Q505" s="3"/>
      <c r="R505" s="3"/>
      <c r="S505" s="3"/>
      <c r="T505" s="3"/>
      <c r="U505" s="3"/>
      <c r="V505" s="3"/>
      <c r="W505" s="3"/>
      <c r="X505" s="3"/>
      <c r="Y505" s="3"/>
      <c r="Z505" s="3"/>
      <c r="AA505" s="3"/>
      <c r="AB505" s="3"/>
      <c r="AC505" s="3"/>
      <c r="AD505" s="3"/>
      <c r="AE505" s="3"/>
      <c r="AF505" s="3"/>
      <c r="AG505" s="3"/>
    </row>
    <row r="506">
      <c r="A506" s="2">
        <v>2018.0</v>
      </c>
      <c r="B506" s="2" t="s">
        <v>780</v>
      </c>
      <c r="D506" s="2" t="s">
        <v>474</v>
      </c>
      <c r="E506" s="2" t="s">
        <v>114</v>
      </c>
      <c r="F506" s="2">
        <v>244658.0</v>
      </c>
      <c r="I506" s="2">
        <v>0.0</v>
      </c>
      <c r="J506" s="2">
        <v>4618.0</v>
      </c>
      <c r="K506" s="2">
        <v>249276.0</v>
      </c>
      <c r="L506" s="2">
        <v>241983.0</v>
      </c>
      <c r="N506" s="2">
        <v>7293.0</v>
      </c>
      <c r="P506" s="3"/>
      <c r="Q506" s="3"/>
      <c r="R506" s="3"/>
      <c r="S506" s="3"/>
      <c r="T506" s="3"/>
      <c r="U506" s="3"/>
      <c r="V506" s="3"/>
      <c r="W506" s="3"/>
      <c r="X506" s="3"/>
      <c r="Y506" s="3"/>
      <c r="Z506" s="3"/>
      <c r="AA506" s="3"/>
      <c r="AB506" s="3"/>
      <c r="AC506" s="3"/>
      <c r="AD506" s="3"/>
      <c r="AE506" s="3"/>
      <c r="AF506" s="3"/>
      <c r="AG506" s="3"/>
    </row>
    <row r="507">
      <c r="A507" s="2">
        <v>2018.0</v>
      </c>
      <c r="B507" s="2" t="s">
        <v>780</v>
      </c>
      <c r="D507" s="2" t="s">
        <v>474</v>
      </c>
      <c r="E507" s="2" t="s">
        <v>173</v>
      </c>
      <c r="F507" s="2">
        <v>118006.0</v>
      </c>
      <c r="I507" s="2">
        <v>1919947.0</v>
      </c>
      <c r="J507" s="2">
        <v>22516.0</v>
      </c>
      <c r="K507" s="2">
        <v>2060469.0</v>
      </c>
      <c r="L507" s="2">
        <v>1370719.0</v>
      </c>
      <c r="N507" s="2">
        <v>689750.0</v>
      </c>
      <c r="P507" s="3"/>
      <c r="Q507" s="3"/>
      <c r="R507" s="3"/>
      <c r="S507" s="3"/>
      <c r="T507" s="3"/>
      <c r="U507" s="3"/>
      <c r="V507" s="3"/>
      <c r="W507" s="3"/>
      <c r="X507" s="3"/>
      <c r="Y507" s="3"/>
      <c r="Z507" s="3"/>
      <c r="AA507" s="3"/>
      <c r="AB507" s="3"/>
      <c r="AC507" s="3"/>
      <c r="AD507" s="3"/>
      <c r="AE507" s="3"/>
      <c r="AF507" s="3"/>
      <c r="AG507" s="3"/>
    </row>
    <row r="508">
      <c r="A508" s="2">
        <v>2018.0</v>
      </c>
      <c r="B508" s="2" t="s">
        <v>780</v>
      </c>
      <c r="D508" s="2" t="s">
        <v>474</v>
      </c>
      <c r="E508" s="2" t="s">
        <v>32</v>
      </c>
      <c r="F508" s="2">
        <v>15622.0</v>
      </c>
      <c r="I508" s="2">
        <v>96756.0</v>
      </c>
      <c r="J508" s="2">
        <v>193.0</v>
      </c>
      <c r="K508" s="2">
        <v>112571.0</v>
      </c>
      <c r="L508" s="2">
        <v>140401.0</v>
      </c>
      <c r="N508" s="2">
        <v>28388.0</v>
      </c>
      <c r="P508" s="3"/>
      <c r="Q508" s="3"/>
      <c r="R508" s="3"/>
      <c r="S508" s="3"/>
      <c r="T508" s="3"/>
      <c r="U508" s="3"/>
      <c r="V508" s="3"/>
      <c r="W508" s="3"/>
      <c r="X508" s="3"/>
      <c r="Y508" s="3"/>
      <c r="Z508" s="3"/>
      <c r="AA508" s="3"/>
      <c r="AB508" s="3"/>
      <c r="AC508" s="3"/>
      <c r="AD508" s="3"/>
      <c r="AE508" s="3"/>
      <c r="AF508" s="3"/>
      <c r="AG508" s="3"/>
    </row>
    <row r="509">
      <c r="A509" s="2">
        <v>2018.0</v>
      </c>
      <c r="B509" s="2" t="s">
        <v>780</v>
      </c>
      <c r="D509" s="2" t="s">
        <v>474</v>
      </c>
      <c r="E509" s="2" t="s">
        <v>460</v>
      </c>
      <c r="F509" s="2">
        <v>740.0</v>
      </c>
      <c r="I509" s="2">
        <v>50000.0</v>
      </c>
      <c r="J509" s="2">
        <v>1709.0</v>
      </c>
      <c r="K509" s="2">
        <v>52449.0</v>
      </c>
      <c r="L509" s="2">
        <v>0.0</v>
      </c>
      <c r="N509" s="2">
        <v>52449.0</v>
      </c>
      <c r="P509" s="3"/>
      <c r="Q509" s="3"/>
      <c r="R509" s="3"/>
      <c r="S509" s="3"/>
      <c r="T509" s="3"/>
      <c r="U509" s="3"/>
      <c r="V509" s="3"/>
      <c r="W509" s="3"/>
      <c r="X509" s="3"/>
      <c r="Y509" s="3"/>
      <c r="Z509" s="3"/>
      <c r="AA509" s="3"/>
      <c r="AB509" s="3"/>
      <c r="AC509" s="3"/>
      <c r="AD509" s="3"/>
      <c r="AE509" s="3"/>
      <c r="AF509" s="3"/>
      <c r="AG509" s="3"/>
    </row>
    <row r="510">
      <c r="A510" s="2">
        <v>2018.0</v>
      </c>
      <c r="B510" s="2" t="s">
        <v>780</v>
      </c>
      <c r="D510" s="2" t="s">
        <v>556</v>
      </c>
      <c r="E510" s="2" t="s">
        <v>56</v>
      </c>
      <c r="F510" s="2">
        <v>500.0</v>
      </c>
      <c r="I510" s="2">
        <v>259200.0</v>
      </c>
      <c r="J510" s="2">
        <v>68.0</v>
      </c>
      <c r="K510" s="2">
        <v>259768.0</v>
      </c>
      <c r="L510" s="2">
        <v>257702.0</v>
      </c>
      <c r="N510" s="2">
        <v>2066.0</v>
      </c>
      <c r="P510" s="3"/>
      <c r="Q510" s="3"/>
      <c r="R510" s="3"/>
      <c r="S510" s="3"/>
      <c r="T510" s="3"/>
      <c r="U510" s="3"/>
      <c r="V510" s="3"/>
      <c r="W510" s="3"/>
      <c r="X510" s="3"/>
      <c r="Y510" s="3"/>
      <c r="Z510" s="3"/>
      <c r="AA510" s="3"/>
      <c r="AB510" s="3"/>
      <c r="AC510" s="3"/>
      <c r="AD510" s="3"/>
      <c r="AE510" s="3"/>
      <c r="AF510" s="3"/>
      <c r="AG510" s="3"/>
    </row>
    <row r="511">
      <c r="A511" s="2">
        <v>2018.0</v>
      </c>
      <c r="B511" s="2" t="s">
        <v>780</v>
      </c>
      <c r="D511" s="2" t="s">
        <v>556</v>
      </c>
      <c r="E511" s="2" t="s">
        <v>114</v>
      </c>
      <c r="F511" s="2">
        <v>298425.0</v>
      </c>
      <c r="I511" s="2">
        <v>0.0</v>
      </c>
      <c r="J511" s="2">
        <v>276.0</v>
      </c>
      <c r="K511" s="2">
        <v>298701.0</v>
      </c>
      <c r="L511" s="2">
        <v>290212.0</v>
      </c>
      <c r="N511" s="2">
        <v>8489.0</v>
      </c>
      <c r="P511" s="3"/>
      <c r="Q511" s="3"/>
      <c r="R511" s="3"/>
      <c r="S511" s="3"/>
      <c r="T511" s="3"/>
      <c r="U511" s="3"/>
      <c r="V511" s="3"/>
      <c r="W511" s="3"/>
      <c r="X511" s="3"/>
      <c r="Y511" s="3"/>
      <c r="Z511" s="3"/>
      <c r="AA511" s="3"/>
      <c r="AB511" s="3"/>
      <c r="AC511" s="3"/>
      <c r="AD511" s="3"/>
      <c r="AE511" s="3"/>
      <c r="AF511" s="3"/>
      <c r="AG511" s="3"/>
    </row>
    <row r="512">
      <c r="A512" s="2">
        <v>2018.0</v>
      </c>
      <c r="B512" s="2" t="s">
        <v>780</v>
      </c>
      <c r="D512" s="2" t="s">
        <v>556</v>
      </c>
      <c r="E512" s="2" t="s">
        <v>562</v>
      </c>
      <c r="F512" s="2">
        <v>2248.0</v>
      </c>
      <c r="I512" s="2">
        <v>556400.0</v>
      </c>
      <c r="J512" s="2">
        <v>4498.0</v>
      </c>
      <c r="K512" s="2">
        <v>563146.0</v>
      </c>
      <c r="L512" s="2">
        <v>449446.0</v>
      </c>
      <c r="N512" s="2">
        <v>113700.0</v>
      </c>
      <c r="P512" s="3"/>
      <c r="Q512" s="3"/>
      <c r="R512" s="3"/>
      <c r="S512" s="3"/>
      <c r="T512" s="3"/>
      <c r="U512" s="3"/>
      <c r="V512" s="3"/>
      <c r="W512" s="3"/>
      <c r="X512" s="3"/>
      <c r="Y512" s="3"/>
      <c r="Z512" s="3"/>
      <c r="AA512" s="3"/>
      <c r="AB512" s="3"/>
      <c r="AC512" s="3"/>
      <c r="AD512" s="3"/>
      <c r="AE512" s="3"/>
      <c r="AF512" s="3"/>
      <c r="AG512" s="3"/>
    </row>
    <row r="513">
      <c r="A513" s="2">
        <v>2018.0</v>
      </c>
      <c r="B513" s="2" t="s">
        <v>780</v>
      </c>
      <c r="D513" s="2" t="s">
        <v>556</v>
      </c>
      <c r="E513" s="2" t="s">
        <v>469</v>
      </c>
      <c r="F513" s="2">
        <v>53455.0</v>
      </c>
      <c r="I513" s="2">
        <v>501572.0</v>
      </c>
      <c r="J513" s="2">
        <v>496.0</v>
      </c>
      <c r="K513" s="2">
        <v>555523.0</v>
      </c>
      <c r="L513" s="2">
        <v>550574.0</v>
      </c>
      <c r="N513" s="2">
        <v>4949.0</v>
      </c>
      <c r="P513" s="3"/>
      <c r="Q513" s="3"/>
      <c r="R513" s="3"/>
      <c r="S513" s="3"/>
      <c r="T513" s="3"/>
      <c r="U513" s="3"/>
      <c r="V513" s="3"/>
      <c r="W513" s="3"/>
      <c r="X513" s="3"/>
      <c r="Y513" s="3"/>
      <c r="Z513" s="3"/>
      <c r="AA513" s="3"/>
      <c r="AB513" s="3"/>
      <c r="AC513" s="3"/>
      <c r="AD513" s="3"/>
      <c r="AE513" s="3"/>
      <c r="AF513" s="3"/>
      <c r="AG513" s="3"/>
    </row>
    <row r="514">
      <c r="A514" s="2">
        <v>2018.0</v>
      </c>
      <c r="B514" s="2" t="s">
        <v>780</v>
      </c>
      <c r="D514" s="2" t="s">
        <v>556</v>
      </c>
      <c r="E514" s="2" t="s">
        <v>469</v>
      </c>
      <c r="F514" s="2">
        <v>4949.0</v>
      </c>
      <c r="I514" s="2">
        <v>350000.0</v>
      </c>
      <c r="J514" s="2">
        <v>1030.0</v>
      </c>
      <c r="K514" s="2">
        <v>355979.0</v>
      </c>
      <c r="L514" s="2">
        <v>352175.0</v>
      </c>
      <c r="N514" s="2">
        <v>3804.0</v>
      </c>
      <c r="P514" s="3"/>
      <c r="Q514" s="3"/>
      <c r="R514" s="3"/>
      <c r="S514" s="3"/>
      <c r="T514" s="3"/>
      <c r="U514" s="3"/>
      <c r="V514" s="3"/>
      <c r="W514" s="3"/>
      <c r="X514" s="3"/>
      <c r="Y514" s="3"/>
      <c r="Z514" s="3"/>
      <c r="AA514" s="3"/>
      <c r="AB514" s="3"/>
      <c r="AC514" s="3"/>
      <c r="AD514" s="3"/>
      <c r="AE514" s="3"/>
      <c r="AF514" s="3"/>
      <c r="AG514" s="3"/>
    </row>
    <row r="515">
      <c r="A515" s="2">
        <v>2018.0</v>
      </c>
      <c r="B515" s="2" t="s">
        <v>780</v>
      </c>
      <c r="D515" s="2" t="s">
        <v>556</v>
      </c>
      <c r="E515" s="2" t="s">
        <v>460</v>
      </c>
      <c r="F515" s="2">
        <v>10272.0</v>
      </c>
      <c r="I515" s="2">
        <v>61947.0</v>
      </c>
      <c r="J515" s="2">
        <v>770.0</v>
      </c>
      <c r="K515" s="2">
        <v>72989.0</v>
      </c>
      <c r="L515" s="2">
        <v>69048.0</v>
      </c>
      <c r="N515" s="2">
        <v>3941.0</v>
      </c>
      <c r="P515" s="3"/>
      <c r="Q515" s="3"/>
      <c r="R515" s="3"/>
      <c r="S515" s="3"/>
      <c r="T515" s="3"/>
      <c r="U515" s="3"/>
      <c r="V515" s="3"/>
      <c r="W515" s="3"/>
      <c r="X515" s="3"/>
      <c r="Y515" s="3"/>
      <c r="Z515" s="3"/>
      <c r="AA515" s="3"/>
      <c r="AB515" s="3"/>
      <c r="AC515" s="3"/>
      <c r="AD515" s="3"/>
      <c r="AE515" s="3"/>
      <c r="AF515" s="3"/>
      <c r="AG515" s="3"/>
    </row>
    <row r="516">
      <c r="A516" s="2">
        <v>2018.0</v>
      </c>
      <c r="B516" s="2" t="s">
        <v>780</v>
      </c>
      <c r="D516" s="2" t="s">
        <v>556</v>
      </c>
      <c r="E516" s="2" t="s">
        <v>32</v>
      </c>
      <c r="F516" s="2">
        <v>13784.0</v>
      </c>
      <c r="I516" s="2">
        <v>69862.0</v>
      </c>
      <c r="J516" s="2">
        <v>781.0</v>
      </c>
      <c r="K516" s="2">
        <v>84427.0</v>
      </c>
      <c r="L516" s="2">
        <v>72333.0</v>
      </c>
      <c r="N516" s="2">
        <v>12094.0</v>
      </c>
      <c r="P516" s="3"/>
      <c r="Q516" s="3"/>
      <c r="R516" s="3"/>
      <c r="S516" s="3"/>
      <c r="T516" s="3"/>
      <c r="U516" s="3"/>
      <c r="V516" s="3"/>
      <c r="W516" s="3"/>
      <c r="X516" s="3"/>
      <c r="Y516" s="3"/>
      <c r="Z516" s="3"/>
      <c r="AA516" s="3"/>
      <c r="AB516" s="3"/>
      <c r="AC516" s="3"/>
      <c r="AD516" s="3"/>
      <c r="AE516" s="3"/>
      <c r="AF516" s="3"/>
      <c r="AG516" s="3"/>
    </row>
    <row r="517">
      <c r="A517" s="2">
        <v>2018.0</v>
      </c>
      <c r="B517" s="2" t="s">
        <v>780</v>
      </c>
      <c r="D517" s="2" t="s">
        <v>506</v>
      </c>
      <c r="E517" s="2" t="s">
        <v>56</v>
      </c>
      <c r="F517" s="2">
        <v>472.0</v>
      </c>
      <c r="I517" s="2">
        <v>230400.0</v>
      </c>
      <c r="J517" s="2">
        <v>38.0</v>
      </c>
      <c r="K517" s="2">
        <v>230910.0</v>
      </c>
      <c r="L517" s="2">
        <v>229800.0</v>
      </c>
      <c r="N517" s="2">
        <v>1110.0</v>
      </c>
      <c r="P517" s="3"/>
      <c r="Q517" s="3"/>
      <c r="R517" s="3"/>
      <c r="S517" s="3"/>
      <c r="T517" s="3"/>
      <c r="U517" s="3"/>
      <c r="V517" s="3"/>
      <c r="W517" s="3"/>
      <c r="X517" s="3"/>
      <c r="Y517" s="3"/>
      <c r="Z517" s="3"/>
      <c r="AA517" s="3"/>
      <c r="AB517" s="3"/>
      <c r="AC517" s="3"/>
      <c r="AD517" s="3"/>
      <c r="AE517" s="3"/>
      <c r="AF517" s="3"/>
      <c r="AG517" s="3"/>
    </row>
    <row r="518">
      <c r="A518" s="2">
        <v>2018.0</v>
      </c>
      <c r="B518" s="2" t="s">
        <v>780</v>
      </c>
      <c r="D518" s="2" t="s">
        <v>506</v>
      </c>
      <c r="E518" s="2" t="s">
        <v>114</v>
      </c>
      <c r="F518" s="2">
        <v>298425.0</v>
      </c>
      <c r="I518" s="2">
        <v>0.0</v>
      </c>
      <c r="J518" s="2">
        <v>276.0</v>
      </c>
      <c r="K518" s="2">
        <v>298701.0</v>
      </c>
      <c r="L518" s="2">
        <v>290212.0</v>
      </c>
      <c r="N518" s="2">
        <v>8489.0</v>
      </c>
      <c r="P518" s="3"/>
      <c r="Q518" s="3"/>
      <c r="R518" s="3"/>
      <c r="S518" s="3"/>
      <c r="T518" s="3"/>
      <c r="U518" s="3"/>
      <c r="V518" s="3"/>
      <c r="W518" s="3"/>
      <c r="X518" s="3"/>
      <c r="Y518" s="3"/>
      <c r="Z518" s="3"/>
      <c r="AA518" s="3"/>
      <c r="AB518" s="3"/>
      <c r="AC518" s="3"/>
      <c r="AD518" s="3"/>
      <c r="AE518" s="3"/>
      <c r="AF518" s="3"/>
      <c r="AG518" s="3"/>
    </row>
    <row r="519">
      <c r="A519" s="2">
        <v>2018.0</v>
      </c>
      <c r="B519" s="2" t="s">
        <v>780</v>
      </c>
      <c r="D519" s="2" t="s">
        <v>506</v>
      </c>
      <c r="E519" s="2" t="s">
        <v>562</v>
      </c>
      <c r="F519" s="2">
        <v>203525.0</v>
      </c>
      <c r="I519" s="2">
        <v>403515.0</v>
      </c>
      <c r="J519" s="2">
        <v>0.0</v>
      </c>
      <c r="K519" s="2">
        <v>607040.0</v>
      </c>
      <c r="L519" s="2">
        <v>607040.0</v>
      </c>
      <c r="N519" s="2">
        <v>0.0</v>
      </c>
      <c r="P519" s="3"/>
      <c r="Q519" s="3"/>
      <c r="R519" s="3"/>
      <c r="S519" s="3"/>
      <c r="T519" s="3"/>
      <c r="U519" s="3"/>
      <c r="V519" s="3"/>
      <c r="W519" s="3"/>
      <c r="X519" s="3"/>
      <c r="Y519" s="3"/>
      <c r="Z519" s="3"/>
      <c r="AA519" s="3"/>
      <c r="AB519" s="3"/>
      <c r="AC519" s="3"/>
      <c r="AD519" s="3"/>
      <c r="AE519" s="3"/>
      <c r="AF519" s="3"/>
      <c r="AG519" s="3"/>
    </row>
    <row r="520">
      <c r="A520" s="2">
        <v>2018.0</v>
      </c>
      <c r="B520" s="2" t="s">
        <v>780</v>
      </c>
      <c r="D520" s="2" t="s">
        <v>506</v>
      </c>
      <c r="E520" s="2" t="s">
        <v>469</v>
      </c>
      <c r="F520" s="2">
        <v>606812.0</v>
      </c>
      <c r="I520" s="2">
        <v>961232.0</v>
      </c>
      <c r="J520" s="2">
        <v>19141.0</v>
      </c>
      <c r="K520" s="2">
        <v>1587185.0</v>
      </c>
      <c r="L520" s="2">
        <v>1410065.0</v>
      </c>
      <c r="N520" s="2">
        <v>177120.0</v>
      </c>
      <c r="P520" s="3"/>
      <c r="Q520" s="3"/>
      <c r="R520" s="3"/>
      <c r="S520" s="3"/>
      <c r="T520" s="3"/>
      <c r="U520" s="3"/>
      <c r="V520" s="3"/>
      <c r="W520" s="3"/>
      <c r="X520" s="3"/>
      <c r="Y520" s="3"/>
      <c r="Z520" s="3"/>
      <c r="AA520" s="3"/>
      <c r="AB520" s="3"/>
      <c r="AC520" s="3"/>
      <c r="AD520" s="3"/>
      <c r="AE520" s="3"/>
      <c r="AF520" s="3"/>
      <c r="AG520" s="3"/>
    </row>
    <row r="521">
      <c r="A521" s="2">
        <v>2018.0</v>
      </c>
      <c r="B521" s="2" t="s">
        <v>780</v>
      </c>
      <c r="D521" s="2" t="s">
        <v>506</v>
      </c>
      <c r="E521" s="2" t="s">
        <v>460</v>
      </c>
      <c r="F521" s="2">
        <v>2402.0</v>
      </c>
      <c r="I521" s="2">
        <v>50000.0</v>
      </c>
      <c r="J521" s="2">
        <v>1355.0</v>
      </c>
      <c r="K521" s="2">
        <v>53757.0</v>
      </c>
      <c r="L521" s="2">
        <v>39856.0</v>
      </c>
      <c r="N521" s="2">
        <v>13901.0</v>
      </c>
      <c r="P521" s="3"/>
      <c r="Q521" s="3"/>
      <c r="R521" s="3"/>
      <c r="S521" s="3"/>
      <c r="T521" s="3"/>
      <c r="U521" s="3"/>
      <c r="V521" s="3"/>
      <c r="W521" s="3"/>
      <c r="X521" s="3"/>
      <c r="Y521" s="3"/>
      <c r="Z521" s="3"/>
      <c r="AA521" s="3"/>
      <c r="AB521" s="3"/>
      <c r="AC521" s="3"/>
      <c r="AD521" s="3"/>
      <c r="AE521" s="3"/>
      <c r="AF521" s="3"/>
      <c r="AG521" s="3"/>
    </row>
    <row r="522">
      <c r="A522" s="2">
        <v>2018.0</v>
      </c>
      <c r="B522" s="2" t="s">
        <v>780</v>
      </c>
      <c r="D522" s="2" t="s">
        <v>506</v>
      </c>
      <c r="E522" s="2" t="s">
        <v>32</v>
      </c>
      <c r="F522" s="2">
        <v>24819.0</v>
      </c>
      <c r="I522" s="2">
        <v>7900.0</v>
      </c>
      <c r="J522" s="2">
        <v>1183.0</v>
      </c>
      <c r="K522" s="2">
        <v>33902.0</v>
      </c>
      <c r="L522" s="2">
        <v>0.0</v>
      </c>
      <c r="N522" s="2">
        <v>33902.0</v>
      </c>
      <c r="P522" s="3"/>
      <c r="Q522" s="3"/>
      <c r="R522" s="3"/>
      <c r="S522" s="3"/>
      <c r="T522" s="3"/>
      <c r="U522" s="3"/>
      <c r="V522" s="3"/>
      <c r="W522" s="3"/>
      <c r="X522" s="3"/>
      <c r="Y522" s="3"/>
      <c r="Z522" s="3"/>
      <c r="AA522" s="3"/>
      <c r="AB522" s="3"/>
      <c r="AC522" s="3"/>
      <c r="AD522" s="3"/>
      <c r="AE522" s="3"/>
      <c r="AF522" s="3"/>
      <c r="AG522" s="3"/>
    </row>
    <row r="523">
      <c r="A523" s="2">
        <v>2018.0</v>
      </c>
      <c r="B523" s="2" t="s">
        <v>780</v>
      </c>
      <c r="D523" s="2" t="s">
        <v>475</v>
      </c>
      <c r="E523" s="2" t="s">
        <v>173</v>
      </c>
      <c r="F523" s="2">
        <v>862189.0</v>
      </c>
      <c r="I523" s="2">
        <v>0.0</v>
      </c>
      <c r="J523" s="2">
        <v>34833.0</v>
      </c>
      <c r="K523" s="2">
        <v>1822488.0</v>
      </c>
      <c r="L523" s="2">
        <v>0.0</v>
      </c>
      <c r="N523" s="2">
        <v>1822488.0</v>
      </c>
      <c r="P523" s="3"/>
      <c r="Q523" s="3"/>
      <c r="R523" s="3"/>
      <c r="S523" s="3"/>
      <c r="T523" s="3"/>
      <c r="U523" s="3"/>
      <c r="V523" s="3"/>
      <c r="W523" s="3"/>
      <c r="X523" s="3"/>
      <c r="Y523" s="3"/>
      <c r="Z523" s="3"/>
      <c r="AA523" s="3"/>
      <c r="AB523" s="3"/>
      <c r="AC523" s="3"/>
      <c r="AD523" s="3"/>
      <c r="AE523" s="3"/>
      <c r="AF523" s="3"/>
      <c r="AG523" s="3"/>
    </row>
    <row r="524">
      <c r="A524" s="2">
        <v>2018.0</v>
      </c>
      <c r="B524" s="2" t="s">
        <v>780</v>
      </c>
      <c r="D524" s="2" t="s">
        <v>475</v>
      </c>
      <c r="E524" s="2" t="s">
        <v>114</v>
      </c>
      <c r="F524" s="2">
        <v>312067.0</v>
      </c>
      <c r="I524" s="2">
        <v>17232.0</v>
      </c>
      <c r="J524" s="2">
        <v>8938.0</v>
      </c>
      <c r="K524" s="2">
        <v>338237.0</v>
      </c>
      <c r="L524" s="2">
        <v>205289.0</v>
      </c>
      <c r="N524" s="2">
        <v>132948.0</v>
      </c>
      <c r="P524" s="3"/>
      <c r="Q524" s="3"/>
      <c r="R524" s="3"/>
      <c r="S524" s="3"/>
      <c r="T524" s="3"/>
      <c r="U524" s="3"/>
      <c r="V524" s="3"/>
      <c r="W524" s="3"/>
      <c r="X524" s="3"/>
      <c r="Y524" s="3"/>
      <c r="Z524" s="3"/>
      <c r="AA524" s="3"/>
      <c r="AB524" s="3"/>
      <c r="AC524" s="3"/>
      <c r="AD524" s="3"/>
      <c r="AE524" s="3"/>
      <c r="AF524" s="3"/>
      <c r="AG524" s="3"/>
    </row>
    <row r="525">
      <c r="A525" s="2">
        <v>2018.0</v>
      </c>
      <c r="B525" s="2" t="s">
        <v>780</v>
      </c>
      <c r="D525" s="2" t="s">
        <v>475</v>
      </c>
      <c r="E525" s="2" t="s">
        <v>56</v>
      </c>
      <c r="F525" s="2">
        <v>132537.0</v>
      </c>
      <c r="I525" s="2">
        <v>0.0</v>
      </c>
      <c r="J525" s="2">
        <v>5355.0</v>
      </c>
      <c r="K525" s="2">
        <v>137892.0</v>
      </c>
      <c r="L525" s="2">
        <v>0.0</v>
      </c>
      <c r="N525" s="2">
        <v>137892.0</v>
      </c>
      <c r="P525" s="3"/>
      <c r="Q525" s="3"/>
      <c r="R525" s="3"/>
      <c r="S525" s="3"/>
      <c r="T525" s="3"/>
      <c r="U525" s="3"/>
      <c r="V525" s="3"/>
      <c r="W525" s="3"/>
      <c r="X525" s="3"/>
      <c r="Y525" s="3"/>
      <c r="Z525" s="3"/>
      <c r="AA525" s="3"/>
      <c r="AB525" s="3"/>
      <c r="AC525" s="3"/>
      <c r="AD525" s="3"/>
      <c r="AE525" s="3"/>
      <c r="AF525" s="3"/>
      <c r="AG525" s="3"/>
    </row>
    <row r="526">
      <c r="A526" s="2">
        <v>2018.0</v>
      </c>
      <c r="B526" s="2" t="s">
        <v>780</v>
      </c>
      <c r="D526" s="2" t="s">
        <v>503</v>
      </c>
      <c r="E526" s="2" t="s">
        <v>56</v>
      </c>
      <c r="F526" s="2">
        <v>985.0</v>
      </c>
      <c r="I526" s="2">
        <v>268900.0</v>
      </c>
      <c r="J526" s="2">
        <v>43.0</v>
      </c>
      <c r="K526" s="2">
        <v>269928.0</v>
      </c>
      <c r="L526" s="2">
        <v>268800.0</v>
      </c>
      <c r="N526" s="2">
        <v>1128.0</v>
      </c>
      <c r="P526" s="3"/>
      <c r="Q526" s="3"/>
      <c r="R526" s="3"/>
      <c r="S526" s="3"/>
      <c r="T526" s="3"/>
      <c r="U526" s="3"/>
      <c r="V526" s="3"/>
      <c r="W526" s="3"/>
      <c r="X526" s="3"/>
      <c r="Y526" s="3"/>
      <c r="Z526" s="3"/>
      <c r="AA526" s="3"/>
      <c r="AB526" s="3"/>
      <c r="AC526" s="3"/>
      <c r="AD526" s="3"/>
      <c r="AE526" s="3"/>
      <c r="AF526" s="3"/>
      <c r="AG526" s="3"/>
    </row>
    <row r="527">
      <c r="A527" s="2">
        <v>2018.0</v>
      </c>
      <c r="B527" s="2" t="s">
        <v>780</v>
      </c>
      <c r="D527" s="2" t="s">
        <v>503</v>
      </c>
      <c r="E527" s="2" t="s">
        <v>114</v>
      </c>
      <c r="F527" s="2">
        <v>253574.0</v>
      </c>
      <c r="I527" s="2">
        <v>0.0</v>
      </c>
      <c r="J527" s="2">
        <v>4909.0</v>
      </c>
      <c r="K527" s="2">
        <v>258483.0</v>
      </c>
      <c r="L527" s="2">
        <v>210000.0</v>
      </c>
      <c r="N527" s="2">
        <v>48483.0</v>
      </c>
      <c r="P527" s="3"/>
      <c r="Q527" s="3"/>
      <c r="R527" s="3"/>
      <c r="S527" s="3"/>
      <c r="T527" s="3"/>
      <c r="U527" s="3"/>
      <c r="V527" s="3"/>
      <c r="W527" s="3"/>
      <c r="X527" s="3"/>
      <c r="Y527" s="3"/>
      <c r="Z527" s="3"/>
      <c r="AA527" s="3"/>
      <c r="AB527" s="3"/>
      <c r="AC527" s="3"/>
      <c r="AD527" s="3"/>
      <c r="AE527" s="3"/>
      <c r="AF527" s="3"/>
      <c r="AG527" s="3"/>
    </row>
    <row r="528">
      <c r="A528" s="2">
        <v>2018.0</v>
      </c>
      <c r="B528" s="2" t="s">
        <v>780</v>
      </c>
      <c r="D528" s="2" t="s">
        <v>503</v>
      </c>
      <c r="E528" s="2" t="s">
        <v>460</v>
      </c>
      <c r="F528" s="2">
        <v>3009.0</v>
      </c>
      <c r="I528" s="2">
        <v>50000.0</v>
      </c>
      <c r="J528" s="2">
        <v>1586.0</v>
      </c>
      <c r="K528" s="2">
        <v>54595.0</v>
      </c>
      <c r="L528" s="2">
        <v>20020.0</v>
      </c>
      <c r="N528" s="2">
        <v>34575.0</v>
      </c>
      <c r="P528" s="3"/>
      <c r="Q528" s="3"/>
      <c r="R528" s="3"/>
      <c r="S528" s="3"/>
      <c r="T528" s="3"/>
      <c r="U528" s="3"/>
      <c r="V528" s="3"/>
      <c r="W528" s="3"/>
      <c r="X528" s="3"/>
      <c r="Y528" s="3"/>
      <c r="Z528" s="3"/>
      <c r="AA528" s="3"/>
      <c r="AB528" s="3"/>
      <c r="AC528" s="3"/>
      <c r="AD528" s="3"/>
      <c r="AE528" s="3"/>
      <c r="AF528" s="3"/>
      <c r="AG528" s="3"/>
    </row>
    <row r="529">
      <c r="A529" s="2">
        <v>2018.0</v>
      </c>
      <c r="B529" s="2" t="s">
        <v>780</v>
      </c>
      <c r="D529" s="2" t="s">
        <v>503</v>
      </c>
      <c r="E529" s="2" t="s">
        <v>469</v>
      </c>
      <c r="F529" s="2">
        <v>160472.0</v>
      </c>
      <c r="I529" s="2">
        <v>341172.0</v>
      </c>
      <c r="J529" s="2">
        <v>3295.0</v>
      </c>
      <c r="K529" s="2">
        <v>504939.0</v>
      </c>
      <c r="L529" s="2">
        <v>501403.0</v>
      </c>
      <c r="N529" s="2">
        <v>3536.0</v>
      </c>
      <c r="P529" s="3"/>
      <c r="Q529" s="3"/>
      <c r="R529" s="3"/>
      <c r="S529" s="3"/>
      <c r="T529" s="3"/>
      <c r="U529" s="3"/>
      <c r="V529" s="3"/>
      <c r="W529" s="3"/>
      <c r="X529" s="3"/>
      <c r="Y529" s="3"/>
      <c r="Z529" s="3"/>
      <c r="AA529" s="3"/>
      <c r="AB529" s="3"/>
      <c r="AC529" s="3"/>
      <c r="AD529" s="3"/>
      <c r="AE529" s="3"/>
      <c r="AF529" s="3"/>
      <c r="AG529" s="3"/>
    </row>
    <row r="530">
      <c r="A530" s="2">
        <v>2018.0</v>
      </c>
      <c r="B530" s="2" t="s">
        <v>780</v>
      </c>
      <c r="D530" s="2" t="s">
        <v>503</v>
      </c>
      <c r="E530" s="2" t="s">
        <v>469</v>
      </c>
      <c r="F530" s="2">
        <v>3536.0</v>
      </c>
      <c r="I530" s="2">
        <v>1339515.0</v>
      </c>
      <c r="J530" s="2">
        <v>5095.0</v>
      </c>
      <c r="K530" s="2">
        <v>1348146.0</v>
      </c>
      <c r="L530" s="2">
        <v>1332494.0</v>
      </c>
      <c r="N530" s="2">
        <v>15652.0</v>
      </c>
      <c r="P530" s="3"/>
      <c r="Q530" s="3"/>
      <c r="R530" s="3"/>
      <c r="S530" s="3"/>
      <c r="T530" s="3"/>
      <c r="U530" s="3"/>
      <c r="V530" s="3"/>
      <c r="W530" s="3"/>
      <c r="X530" s="3"/>
      <c r="Y530" s="3"/>
      <c r="Z530" s="3"/>
      <c r="AA530" s="3"/>
      <c r="AB530" s="3"/>
      <c r="AC530" s="3"/>
      <c r="AD530" s="3"/>
      <c r="AE530" s="3"/>
      <c r="AF530" s="3"/>
      <c r="AG530" s="3"/>
    </row>
    <row r="531">
      <c r="A531" s="2">
        <v>2018.0</v>
      </c>
      <c r="B531" s="2" t="s">
        <v>780</v>
      </c>
      <c r="D531" s="2" t="s">
        <v>503</v>
      </c>
      <c r="E531" s="2" t="s">
        <v>32</v>
      </c>
      <c r="F531" s="2">
        <v>24819.0</v>
      </c>
      <c r="I531" s="2">
        <v>25710.0</v>
      </c>
      <c r="J531" s="2">
        <v>655.0</v>
      </c>
      <c r="K531" s="2">
        <v>51184.0</v>
      </c>
      <c r="L531" s="2">
        <v>40574.0</v>
      </c>
      <c r="N531" s="2">
        <v>10610.0</v>
      </c>
      <c r="P531" s="3"/>
      <c r="Q531" s="3"/>
      <c r="R531" s="3"/>
      <c r="S531" s="3"/>
      <c r="T531" s="3"/>
      <c r="U531" s="3"/>
      <c r="V531" s="3"/>
      <c r="W531" s="3"/>
      <c r="X531" s="3"/>
      <c r="Y531" s="3"/>
      <c r="Z531" s="3"/>
      <c r="AA531" s="3"/>
      <c r="AB531" s="3"/>
      <c r="AC531" s="3"/>
      <c r="AD531" s="3"/>
      <c r="AE531" s="3"/>
      <c r="AF531" s="3"/>
      <c r="AG531" s="3"/>
    </row>
    <row r="532">
      <c r="A532" s="2">
        <v>2018.0</v>
      </c>
      <c r="B532" s="2" t="s">
        <v>780</v>
      </c>
      <c r="D532" s="2" t="s">
        <v>503</v>
      </c>
      <c r="E532" s="2" t="s">
        <v>525</v>
      </c>
      <c r="F532" s="2">
        <v>985.0</v>
      </c>
      <c r="I532" s="2">
        <v>268900.0</v>
      </c>
      <c r="J532" s="2">
        <v>43.0</v>
      </c>
      <c r="K532" s="2">
        <v>269928.0</v>
      </c>
      <c r="L532" s="2">
        <v>268800.0</v>
      </c>
      <c r="N532" s="2">
        <v>1128.0</v>
      </c>
      <c r="P532" s="3"/>
      <c r="Q532" s="3"/>
      <c r="R532" s="3"/>
      <c r="S532" s="3"/>
      <c r="T532" s="3"/>
      <c r="U532" s="3"/>
      <c r="V532" s="3"/>
      <c r="W532" s="3"/>
      <c r="X532" s="3"/>
      <c r="Y532" s="3"/>
      <c r="Z532" s="3"/>
      <c r="AA532" s="3"/>
      <c r="AB532" s="3"/>
      <c r="AC532" s="3"/>
      <c r="AD532" s="3"/>
      <c r="AE532" s="3"/>
      <c r="AF532" s="3"/>
      <c r="AG532" s="3"/>
    </row>
    <row r="533">
      <c r="A533" s="2">
        <v>2018.0</v>
      </c>
      <c r="B533" s="2" t="s">
        <v>780</v>
      </c>
      <c r="D533" s="2" t="s">
        <v>480</v>
      </c>
      <c r="E533" s="2" t="s">
        <v>56</v>
      </c>
      <c r="F533" s="2">
        <v>1000.0</v>
      </c>
      <c r="I533" s="2">
        <v>201600.0</v>
      </c>
      <c r="J533" s="2">
        <v>33.0</v>
      </c>
      <c r="K533" s="2">
        <v>202633.0</v>
      </c>
      <c r="L533" s="2">
        <v>201629.0</v>
      </c>
      <c r="N533" s="2">
        <v>1004.0</v>
      </c>
      <c r="P533" s="3"/>
      <c r="Q533" s="3"/>
      <c r="R533" s="3"/>
      <c r="S533" s="3"/>
      <c r="T533" s="3"/>
      <c r="U533" s="3"/>
      <c r="V533" s="3"/>
      <c r="W533" s="3"/>
      <c r="X533" s="3"/>
      <c r="Y533" s="3"/>
      <c r="Z533" s="3"/>
      <c r="AA533" s="3"/>
      <c r="AB533" s="3"/>
      <c r="AC533" s="3"/>
      <c r="AD533" s="3"/>
      <c r="AE533" s="3"/>
      <c r="AF533" s="3"/>
      <c r="AG533" s="3"/>
    </row>
    <row r="534">
      <c r="A534" s="2">
        <v>2018.0</v>
      </c>
      <c r="B534" s="2" t="s">
        <v>780</v>
      </c>
      <c r="D534" s="2" t="s">
        <v>480</v>
      </c>
      <c r="E534" s="2" t="s">
        <v>114</v>
      </c>
      <c r="F534" s="2">
        <v>614511.0</v>
      </c>
      <c r="I534" s="2">
        <v>0.0</v>
      </c>
      <c r="J534" s="2">
        <v>14259.0</v>
      </c>
      <c r="K534" s="2">
        <v>628770.0</v>
      </c>
      <c r="L534" s="2">
        <v>558017.0</v>
      </c>
      <c r="N534" s="2">
        <v>70753.0</v>
      </c>
      <c r="P534" s="3"/>
      <c r="Q534" s="3"/>
      <c r="R534" s="3"/>
      <c r="S534" s="3"/>
      <c r="T534" s="3"/>
      <c r="U534" s="3"/>
      <c r="V534" s="3"/>
      <c r="W534" s="3"/>
      <c r="X534" s="3"/>
      <c r="Y534" s="3"/>
      <c r="Z534" s="3"/>
      <c r="AA534" s="3"/>
      <c r="AB534" s="3"/>
      <c r="AC534" s="3"/>
      <c r="AD534" s="3"/>
      <c r="AE534" s="3"/>
      <c r="AF534" s="3"/>
      <c r="AG534" s="3"/>
    </row>
    <row r="535">
      <c r="A535" s="2">
        <v>2018.0</v>
      </c>
      <c r="B535" s="2" t="s">
        <v>780</v>
      </c>
      <c r="D535" s="2" t="s">
        <v>480</v>
      </c>
      <c r="E535" s="2" t="s">
        <v>469</v>
      </c>
      <c r="F535" s="2">
        <v>28685.0</v>
      </c>
      <c r="I535" s="2">
        <v>2406319.0</v>
      </c>
      <c r="J535" s="2">
        <v>11389.0</v>
      </c>
      <c r="K535" s="2">
        <v>2446393.0</v>
      </c>
      <c r="L535" s="2">
        <v>2209091.0</v>
      </c>
      <c r="N535" s="2">
        <v>237302.0</v>
      </c>
      <c r="P535" s="3"/>
      <c r="Q535" s="3"/>
      <c r="R535" s="3"/>
      <c r="S535" s="3"/>
      <c r="T535" s="3"/>
      <c r="U535" s="3"/>
      <c r="V535" s="3"/>
      <c r="W535" s="3"/>
      <c r="X535" s="3"/>
      <c r="Y535" s="3"/>
      <c r="Z535" s="3"/>
      <c r="AA535" s="3"/>
      <c r="AB535" s="3"/>
      <c r="AC535" s="3"/>
      <c r="AD535" s="3"/>
      <c r="AE535" s="3"/>
      <c r="AF535" s="3"/>
      <c r="AG535" s="3"/>
    </row>
    <row r="536">
      <c r="A536" s="2">
        <v>2018.0</v>
      </c>
      <c r="B536" s="2" t="s">
        <v>780</v>
      </c>
      <c r="D536" s="2" t="s">
        <v>480</v>
      </c>
      <c r="E536" s="2" t="s">
        <v>460</v>
      </c>
      <c r="F536" s="2">
        <v>1569.0</v>
      </c>
      <c r="I536" s="2">
        <v>50000.0</v>
      </c>
      <c r="J536" s="2">
        <v>388.0</v>
      </c>
      <c r="K536" s="2">
        <v>51957.0</v>
      </c>
      <c r="L536" s="2">
        <v>45607.0</v>
      </c>
      <c r="N536" s="2">
        <v>6350.0</v>
      </c>
      <c r="P536" s="3"/>
      <c r="Q536" s="3"/>
      <c r="R536" s="3"/>
      <c r="S536" s="3"/>
      <c r="T536" s="3"/>
      <c r="U536" s="3"/>
      <c r="V536" s="3"/>
      <c r="W536" s="3"/>
      <c r="X536" s="3"/>
      <c r="Y536" s="3"/>
      <c r="Z536" s="3"/>
      <c r="AA536" s="3"/>
      <c r="AB536" s="3"/>
      <c r="AC536" s="3"/>
      <c r="AD536" s="3"/>
      <c r="AE536" s="3"/>
      <c r="AF536" s="3"/>
      <c r="AG536" s="3"/>
    </row>
    <row r="537">
      <c r="A537" s="2">
        <v>2018.0</v>
      </c>
      <c r="B537" s="2" t="s">
        <v>780</v>
      </c>
      <c r="D537" s="2" t="s">
        <v>480</v>
      </c>
      <c r="E537" s="2" t="s">
        <v>32</v>
      </c>
      <c r="F537" s="2">
        <v>1878.0</v>
      </c>
      <c r="I537" s="2">
        <v>109138.0</v>
      </c>
      <c r="J537" s="2">
        <v>429.0</v>
      </c>
      <c r="K537" s="2">
        <v>111445.0</v>
      </c>
      <c r="L537" s="2">
        <v>83984.0</v>
      </c>
      <c r="N537" s="2">
        <v>27461.0</v>
      </c>
      <c r="P537" s="3"/>
      <c r="Q537" s="3"/>
      <c r="R537" s="3"/>
      <c r="S537" s="3"/>
      <c r="T537" s="3"/>
      <c r="U537" s="3"/>
      <c r="V537" s="3"/>
      <c r="W537" s="3"/>
      <c r="X537" s="3"/>
      <c r="Y537" s="3"/>
      <c r="Z537" s="3"/>
      <c r="AA537" s="3"/>
      <c r="AB537" s="3"/>
      <c r="AC537" s="3"/>
      <c r="AD537" s="3"/>
      <c r="AE537" s="3"/>
      <c r="AF537" s="3"/>
      <c r="AG537" s="3"/>
    </row>
    <row r="538">
      <c r="A538" s="2">
        <v>2018.0</v>
      </c>
      <c r="B538" s="2" t="s">
        <v>780</v>
      </c>
      <c r="D538" s="2" t="s">
        <v>484</v>
      </c>
      <c r="E538" s="2" t="s">
        <v>485</v>
      </c>
      <c r="F538" s="2">
        <v>117752.0</v>
      </c>
      <c r="I538" s="2">
        <v>1906923.0</v>
      </c>
      <c r="J538" s="2">
        <v>28382.0</v>
      </c>
      <c r="K538" s="2">
        <v>2053057.0</v>
      </c>
      <c r="L538" s="2">
        <v>1075440.0</v>
      </c>
      <c r="N538" s="2">
        <v>977617.0</v>
      </c>
      <c r="P538" s="3"/>
      <c r="Q538" s="3"/>
      <c r="R538" s="3"/>
      <c r="S538" s="3"/>
      <c r="T538" s="3"/>
      <c r="U538" s="3"/>
      <c r="V538" s="3"/>
      <c r="W538" s="3"/>
      <c r="X538" s="3"/>
      <c r="Y538" s="3"/>
      <c r="Z538" s="3"/>
      <c r="AA538" s="3"/>
      <c r="AB538" s="3"/>
      <c r="AC538" s="3"/>
      <c r="AD538" s="3"/>
      <c r="AE538" s="3"/>
      <c r="AF538" s="3"/>
      <c r="AG538" s="3"/>
    </row>
    <row r="539">
      <c r="A539" s="2">
        <v>2018.0</v>
      </c>
      <c r="B539" s="2" t="s">
        <v>780</v>
      </c>
      <c r="D539" s="2" t="s">
        <v>484</v>
      </c>
      <c r="E539" s="2" t="s">
        <v>485</v>
      </c>
      <c r="F539" s="2">
        <v>125836.0</v>
      </c>
      <c r="I539" s="2">
        <v>1000.0</v>
      </c>
      <c r="J539" s="2">
        <v>1470.0</v>
      </c>
      <c r="K539" s="2">
        <v>128306.0</v>
      </c>
      <c r="L539" s="2">
        <v>125833.0</v>
      </c>
      <c r="N539" s="2">
        <v>2473.0</v>
      </c>
      <c r="P539" s="3"/>
      <c r="Q539" s="3"/>
      <c r="R539" s="3"/>
      <c r="S539" s="3"/>
      <c r="T539" s="3"/>
      <c r="U539" s="3"/>
      <c r="V539" s="3"/>
      <c r="W539" s="3"/>
      <c r="X539" s="3"/>
      <c r="Y539" s="3"/>
      <c r="Z539" s="3"/>
      <c r="AA539" s="3"/>
      <c r="AB539" s="3"/>
      <c r="AC539" s="3"/>
      <c r="AD539" s="3"/>
      <c r="AE539" s="3"/>
      <c r="AF539" s="3"/>
      <c r="AG539" s="3"/>
    </row>
    <row r="540">
      <c r="A540" s="2">
        <v>2018.0</v>
      </c>
      <c r="B540" s="2" t="s">
        <v>780</v>
      </c>
      <c r="D540" s="2" t="s">
        <v>484</v>
      </c>
      <c r="E540" s="2" t="s">
        <v>114</v>
      </c>
      <c r="F540" s="2">
        <v>5123.0</v>
      </c>
      <c r="J540" s="2">
        <v>64.0</v>
      </c>
      <c r="K540" s="2">
        <v>5187.0</v>
      </c>
      <c r="L540" s="2">
        <v>5187.0</v>
      </c>
      <c r="N540" s="2">
        <v>0.0</v>
      </c>
      <c r="P540" s="3"/>
      <c r="Q540" s="3"/>
      <c r="R540" s="3"/>
      <c r="S540" s="3"/>
      <c r="T540" s="3"/>
      <c r="U540" s="3"/>
      <c r="V540" s="3"/>
      <c r="W540" s="3"/>
      <c r="X540" s="3"/>
      <c r="Y540" s="3"/>
      <c r="Z540" s="3"/>
      <c r="AA540" s="3"/>
      <c r="AB540" s="3"/>
      <c r="AC540" s="3"/>
      <c r="AD540" s="3"/>
      <c r="AE540" s="3"/>
      <c r="AF540" s="3"/>
      <c r="AG540" s="3"/>
    </row>
    <row r="541">
      <c r="A541" s="2">
        <v>2018.0</v>
      </c>
      <c r="B541" s="2" t="s">
        <v>780</v>
      </c>
      <c r="D541" s="2" t="s">
        <v>484</v>
      </c>
      <c r="E541" s="2" t="s">
        <v>114</v>
      </c>
      <c r="F541" s="2">
        <v>700378.0</v>
      </c>
      <c r="J541" s="2">
        <v>12968.0</v>
      </c>
      <c r="K541" s="2">
        <v>713346.0</v>
      </c>
      <c r="L541" s="2">
        <v>713247.0</v>
      </c>
      <c r="N541" s="2">
        <v>99.0</v>
      </c>
      <c r="P541" s="3"/>
      <c r="Q541" s="3"/>
      <c r="R541" s="3"/>
      <c r="S541" s="3"/>
      <c r="T541" s="3"/>
      <c r="U541" s="3"/>
      <c r="V541" s="3"/>
      <c r="W541" s="3"/>
      <c r="X541" s="3"/>
      <c r="Y541" s="3"/>
      <c r="Z541" s="3"/>
      <c r="AA541" s="3"/>
      <c r="AB541" s="3"/>
      <c r="AC541" s="3"/>
      <c r="AD541" s="3"/>
      <c r="AE541" s="3"/>
      <c r="AF541" s="3"/>
      <c r="AG541" s="3"/>
    </row>
    <row r="542">
      <c r="A542" s="2">
        <v>2018.0</v>
      </c>
      <c r="B542" s="2" t="s">
        <v>780</v>
      </c>
      <c r="D542" s="2" t="s">
        <v>487</v>
      </c>
      <c r="E542" s="2" t="s">
        <v>173</v>
      </c>
      <c r="F542" s="2">
        <v>159482.0</v>
      </c>
      <c r="I542" s="2">
        <v>703127.0</v>
      </c>
      <c r="J542" s="2">
        <v>12617.0</v>
      </c>
      <c r="K542" s="2">
        <v>875226.0</v>
      </c>
      <c r="L542" s="2">
        <v>611141.0</v>
      </c>
      <c r="N542" s="2">
        <v>264085.0</v>
      </c>
      <c r="P542" s="3"/>
      <c r="Q542" s="3"/>
      <c r="R542" s="3"/>
      <c r="S542" s="3"/>
      <c r="T542" s="3"/>
      <c r="U542" s="3"/>
      <c r="V542" s="3"/>
      <c r="W542" s="3"/>
      <c r="X542" s="3"/>
      <c r="Y542" s="3"/>
      <c r="Z542" s="3"/>
      <c r="AA542" s="3"/>
      <c r="AB542" s="3"/>
      <c r="AC542" s="3"/>
      <c r="AD542" s="3"/>
      <c r="AE542" s="3"/>
      <c r="AF542" s="3"/>
      <c r="AG542" s="3"/>
    </row>
    <row r="543">
      <c r="A543" s="2">
        <v>2018.0</v>
      </c>
      <c r="B543" s="2" t="s">
        <v>780</v>
      </c>
      <c r="D543" s="2" t="s">
        <v>487</v>
      </c>
      <c r="E543" s="2" t="s">
        <v>114</v>
      </c>
      <c r="F543" s="2">
        <v>416246.0</v>
      </c>
      <c r="I543" s="2">
        <v>17206.0</v>
      </c>
      <c r="J543" s="2">
        <v>5993.0</v>
      </c>
      <c r="K543" s="2">
        <v>439445.0</v>
      </c>
      <c r="L543" s="2">
        <v>438903.0</v>
      </c>
      <c r="N543" s="2">
        <v>542.0</v>
      </c>
      <c r="P543" s="3"/>
      <c r="Q543" s="3"/>
      <c r="R543" s="3"/>
      <c r="S543" s="3"/>
      <c r="T543" s="3"/>
      <c r="U543" s="3"/>
      <c r="V543" s="3"/>
      <c r="W543" s="3"/>
      <c r="X543" s="3"/>
      <c r="Y543" s="3"/>
      <c r="Z543" s="3"/>
      <c r="AA543" s="3"/>
      <c r="AB543" s="3"/>
      <c r="AC543" s="3"/>
      <c r="AD543" s="3"/>
      <c r="AE543" s="3"/>
      <c r="AF543" s="3"/>
      <c r="AG543" s="3"/>
    </row>
    <row r="544">
      <c r="A544" s="2">
        <v>2018.0</v>
      </c>
      <c r="B544" s="2" t="s">
        <v>780</v>
      </c>
      <c r="D544" s="2" t="s">
        <v>487</v>
      </c>
      <c r="E544" s="2" t="s">
        <v>460</v>
      </c>
      <c r="F544" s="2">
        <v>4681.0</v>
      </c>
      <c r="I544" s="2">
        <v>50000.0</v>
      </c>
      <c r="J544" s="2">
        <v>523.0</v>
      </c>
      <c r="K544" s="2">
        <v>55204.0</v>
      </c>
      <c r="L544" s="2">
        <v>40040.0</v>
      </c>
      <c r="N544" s="2">
        <v>15164.0</v>
      </c>
      <c r="P544" s="3"/>
      <c r="Q544" s="3"/>
      <c r="R544" s="3"/>
      <c r="S544" s="3"/>
      <c r="T544" s="3"/>
      <c r="U544" s="3"/>
      <c r="V544" s="3"/>
      <c r="W544" s="3"/>
      <c r="X544" s="3"/>
      <c r="Y544" s="3"/>
      <c r="Z544" s="3"/>
      <c r="AA544" s="3"/>
      <c r="AB544" s="3"/>
      <c r="AC544" s="3"/>
      <c r="AD544" s="3"/>
      <c r="AE544" s="3"/>
      <c r="AF544" s="3"/>
      <c r="AG544" s="3"/>
    </row>
    <row r="545">
      <c r="A545" s="2">
        <v>2018.0</v>
      </c>
      <c r="B545" s="2" t="s">
        <v>902</v>
      </c>
      <c r="D545" s="2" t="s">
        <v>489</v>
      </c>
      <c r="E545" s="2" t="s">
        <v>32</v>
      </c>
      <c r="F545" s="2">
        <v>27308.0</v>
      </c>
      <c r="I545" s="2">
        <v>43245.0</v>
      </c>
      <c r="J545" s="2">
        <v>1925.0</v>
      </c>
      <c r="K545" s="2">
        <v>72478.0</v>
      </c>
      <c r="L545" s="2">
        <v>42418.0</v>
      </c>
      <c r="N545" s="2">
        <v>30060.0</v>
      </c>
      <c r="P545" s="3"/>
      <c r="Q545" s="3"/>
      <c r="R545" s="3"/>
      <c r="S545" s="3"/>
      <c r="T545" s="3"/>
      <c r="U545" s="3"/>
      <c r="V545" s="3"/>
      <c r="W545" s="3"/>
      <c r="X545" s="3"/>
      <c r="Y545" s="3"/>
      <c r="Z545" s="3"/>
      <c r="AA545" s="3"/>
      <c r="AB545" s="3"/>
      <c r="AC545" s="3"/>
      <c r="AD545" s="3"/>
      <c r="AE545" s="3"/>
      <c r="AF545" s="3"/>
      <c r="AG545" s="3"/>
    </row>
    <row r="546">
      <c r="A546" s="2">
        <v>2018.0</v>
      </c>
      <c r="B546" s="2" t="s">
        <v>902</v>
      </c>
      <c r="D546" s="2" t="s">
        <v>489</v>
      </c>
      <c r="E546" s="2" t="s">
        <v>781</v>
      </c>
      <c r="F546" s="2">
        <v>27518.0</v>
      </c>
      <c r="I546" s="2">
        <v>234500.0</v>
      </c>
      <c r="J546" s="2">
        <v>1117.0</v>
      </c>
      <c r="K546" s="2">
        <v>263135.0</v>
      </c>
      <c r="L546" s="2">
        <v>121390.0</v>
      </c>
      <c r="N546" s="2">
        <v>141745.0</v>
      </c>
      <c r="P546" s="3"/>
      <c r="Q546" s="3"/>
      <c r="R546" s="3"/>
      <c r="S546" s="3"/>
      <c r="T546" s="3"/>
      <c r="U546" s="3"/>
      <c r="V546" s="3"/>
      <c r="W546" s="3"/>
      <c r="X546" s="3"/>
      <c r="Y546" s="3"/>
      <c r="Z546" s="3"/>
      <c r="AA546" s="3"/>
      <c r="AB546" s="3"/>
      <c r="AC546" s="3"/>
      <c r="AD546" s="3"/>
      <c r="AE546" s="3"/>
      <c r="AF546" s="3"/>
      <c r="AG546" s="3"/>
    </row>
    <row r="547">
      <c r="A547" s="2">
        <v>2018.0</v>
      </c>
      <c r="B547" s="2" t="s">
        <v>902</v>
      </c>
      <c r="D547" s="2" t="s">
        <v>489</v>
      </c>
      <c r="E547" s="2" t="s">
        <v>783</v>
      </c>
      <c r="F547" s="2">
        <v>195087.0</v>
      </c>
      <c r="I547" s="2">
        <v>933627.0</v>
      </c>
      <c r="J547" s="2">
        <v>6391.0</v>
      </c>
      <c r="K547" s="2">
        <v>1135105.0</v>
      </c>
      <c r="L547" s="2">
        <v>364501.0</v>
      </c>
      <c r="N547" s="2">
        <v>770604.0</v>
      </c>
      <c r="P547" s="3"/>
      <c r="Q547" s="3"/>
      <c r="R547" s="3"/>
      <c r="S547" s="3"/>
      <c r="T547" s="3"/>
      <c r="U547" s="3"/>
      <c r="V547" s="3"/>
      <c r="W547" s="3"/>
      <c r="X547" s="3"/>
      <c r="Y547" s="3"/>
      <c r="Z547" s="3"/>
      <c r="AA547" s="3"/>
      <c r="AB547" s="3"/>
      <c r="AC547" s="3"/>
      <c r="AD547" s="3"/>
      <c r="AE547" s="3"/>
      <c r="AF547" s="3"/>
      <c r="AG547" s="3"/>
    </row>
    <row r="548">
      <c r="A548" s="2">
        <v>2018.0</v>
      </c>
      <c r="B548" s="2" t="s">
        <v>902</v>
      </c>
      <c r="D548" s="2" t="s">
        <v>489</v>
      </c>
      <c r="E548" s="2" t="s">
        <v>114</v>
      </c>
      <c r="F548" s="2">
        <v>1313.0</v>
      </c>
      <c r="I548" s="2">
        <v>0.0</v>
      </c>
      <c r="J548" s="2">
        <v>53.0</v>
      </c>
      <c r="K548" s="2">
        <v>1366.0</v>
      </c>
      <c r="L548" s="2">
        <v>0.0</v>
      </c>
      <c r="N548" s="2">
        <v>1366.0</v>
      </c>
      <c r="P548" s="3"/>
      <c r="Q548" s="3"/>
      <c r="R548" s="3"/>
      <c r="S548" s="3"/>
      <c r="T548" s="3"/>
      <c r="U548" s="3"/>
      <c r="V548" s="3"/>
      <c r="W548" s="3"/>
      <c r="X548" s="3"/>
      <c r="Y548" s="3"/>
      <c r="Z548" s="3"/>
      <c r="AA548" s="3"/>
      <c r="AB548" s="3"/>
      <c r="AC548" s="3"/>
      <c r="AD548" s="3"/>
      <c r="AE548" s="3"/>
      <c r="AF548" s="3"/>
      <c r="AG548" s="3"/>
    </row>
    <row r="549">
      <c r="A549" s="2">
        <v>2018.0</v>
      </c>
      <c r="B549" s="2" t="s">
        <v>902</v>
      </c>
      <c r="D549" s="2" t="s">
        <v>489</v>
      </c>
      <c r="E549" s="2" t="s">
        <v>460</v>
      </c>
      <c r="F549" s="2">
        <v>12094.0</v>
      </c>
      <c r="I549" s="2">
        <v>0.0</v>
      </c>
      <c r="J549" s="2">
        <v>245.0</v>
      </c>
      <c r="K549" s="2">
        <v>12339.0</v>
      </c>
      <c r="L549" s="2">
        <v>6600.0</v>
      </c>
      <c r="N549" s="2">
        <v>5739.0</v>
      </c>
      <c r="P549" s="3"/>
      <c r="Q549" s="3"/>
      <c r="R549" s="3"/>
      <c r="S549" s="3"/>
      <c r="T549" s="3"/>
      <c r="U549" s="3"/>
      <c r="V549" s="3"/>
      <c r="W549" s="3"/>
      <c r="X549" s="3"/>
      <c r="Y549" s="3"/>
      <c r="Z549" s="3"/>
      <c r="AA549" s="3"/>
      <c r="AB549" s="3"/>
      <c r="AC549" s="3"/>
      <c r="AD549" s="3"/>
      <c r="AE549" s="3"/>
      <c r="AF549" s="3"/>
      <c r="AG549" s="3"/>
    </row>
    <row r="550">
      <c r="A550" s="2">
        <v>2018.0</v>
      </c>
      <c r="B550" s="2" t="s">
        <v>902</v>
      </c>
      <c r="D550" s="2" t="s">
        <v>493</v>
      </c>
      <c r="E550" s="2" t="s">
        <v>32</v>
      </c>
      <c r="F550" s="2">
        <v>55427.0</v>
      </c>
      <c r="I550" s="2">
        <v>270469.0</v>
      </c>
      <c r="J550" s="2">
        <v>0.0</v>
      </c>
      <c r="K550" s="2">
        <v>325896.0</v>
      </c>
      <c r="L550" s="2">
        <v>212000.0</v>
      </c>
      <c r="N550" s="2">
        <v>113896.0</v>
      </c>
      <c r="P550" s="3"/>
      <c r="Q550" s="3"/>
      <c r="R550" s="3"/>
      <c r="S550" s="3"/>
      <c r="T550" s="3"/>
      <c r="U550" s="3"/>
      <c r="V550" s="3"/>
      <c r="W550" s="3"/>
      <c r="X550" s="3"/>
      <c r="Y550" s="3"/>
      <c r="Z550" s="3"/>
      <c r="AA550" s="3"/>
      <c r="AB550" s="3"/>
      <c r="AC550" s="3"/>
      <c r="AD550" s="3"/>
      <c r="AE550" s="3"/>
      <c r="AF550" s="3"/>
      <c r="AG550" s="3"/>
    </row>
    <row r="551">
      <c r="A551" s="2">
        <v>2018.0</v>
      </c>
      <c r="B551" s="2" t="s">
        <v>902</v>
      </c>
      <c r="D551" s="2" t="s">
        <v>493</v>
      </c>
      <c r="E551" s="2" t="s">
        <v>786</v>
      </c>
      <c r="F551" s="2">
        <v>237713.0</v>
      </c>
      <c r="I551" s="2">
        <v>1725300.0</v>
      </c>
      <c r="J551" s="2">
        <v>23740.0</v>
      </c>
      <c r="K551" s="2">
        <v>1986753.0</v>
      </c>
      <c r="L551" s="2">
        <v>400000.0</v>
      </c>
      <c r="N551" s="2">
        <v>1586753.0</v>
      </c>
      <c r="P551" s="3"/>
      <c r="Q551" s="3"/>
      <c r="R551" s="3"/>
      <c r="S551" s="3"/>
      <c r="T551" s="3"/>
      <c r="U551" s="3"/>
      <c r="V551" s="3"/>
      <c r="W551" s="3"/>
      <c r="X551" s="3"/>
      <c r="Y551" s="3"/>
      <c r="Z551" s="3"/>
      <c r="AA551" s="3"/>
      <c r="AB551" s="3"/>
      <c r="AC551" s="3"/>
      <c r="AD551" s="3"/>
      <c r="AE551" s="3"/>
      <c r="AF551" s="3"/>
      <c r="AG551" s="3"/>
    </row>
    <row r="552">
      <c r="A552" s="2">
        <v>2018.0</v>
      </c>
      <c r="B552" s="2" t="s">
        <v>902</v>
      </c>
      <c r="D552" s="2" t="s">
        <v>493</v>
      </c>
      <c r="E552" s="2" t="s">
        <v>114</v>
      </c>
      <c r="F552" s="2">
        <v>29118.0</v>
      </c>
      <c r="I552" s="2">
        <v>0.0</v>
      </c>
      <c r="J552" s="2">
        <v>1174.0</v>
      </c>
      <c r="K552" s="2">
        <v>30292.0</v>
      </c>
      <c r="L552" s="2">
        <v>0.0</v>
      </c>
      <c r="N552" s="2">
        <v>30292.0</v>
      </c>
      <c r="P552" s="3"/>
      <c r="Q552" s="3"/>
      <c r="R552" s="3"/>
      <c r="S552" s="3"/>
      <c r="T552" s="3"/>
      <c r="U552" s="3"/>
      <c r="V552" s="3"/>
      <c r="W552" s="3"/>
      <c r="X552" s="3"/>
      <c r="Y552" s="3"/>
      <c r="Z552" s="3"/>
      <c r="AA552" s="3"/>
      <c r="AB552" s="3"/>
      <c r="AC552" s="3"/>
      <c r="AD552" s="3"/>
      <c r="AE552" s="3"/>
      <c r="AF552" s="3"/>
      <c r="AG552" s="3"/>
    </row>
    <row r="553">
      <c r="A553" s="2">
        <v>2018.0</v>
      </c>
      <c r="B553" s="2" t="s">
        <v>902</v>
      </c>
      <c r="D553" s="2" t="s">
        <v>493</v>
      </c>
      <c r="E553" s="2" t="s">
        <v>460</v>
      </c>
      <c r="F553" s="2">
        <v>11530.0</v>
      </c>
      <c r="I553" s="2">
        <v>0.0</v>
      </c>
      <c r="J553" s="2">
        <v>62.0</v>
      </c>
      <c r="K553" s="2">
        <v>11592.0</v>
      </c>
      <c r="L553" s="2">
        <v>0.0</v>
      </c>
      <c r="N553" s="2">
        <v>11592.0</v>
      </c>
      <c r="P553" s="3"/>
      <c r="Q553" s="3"/>
      <c r="R553" s="3"/>
      <c r="S553" s="3"/>
      <c r="T553" s="3"/>
      <c r="U553" s="3"/>
      <c r="V553" s="3"/>
      <c r="W553" s="3"/>
      <c r="X553" s="3"/>
      <c r="Y553" s="3"/>
      <c r="Z553" s="3"/>
      <c r="AA553" s="3"/>
      <c r="AB553" s="3"/>
      <c r="AC553" s="3"/>
      <c r="AD553" s="3"/>
      <c r="AE553" s="3"/>
      <c r="AF553" s="3"/>
      <c r="AG553" s="3"/>
    </row>
    <row r="554">
      <c r="A554" s="2">
        <v>2018.0</v>
      </c>
      <c r="B554" s="2" t="s">
        <v>902</v>
      </c>
      <c r="D554" s="2" t="s">
        <v>496</v>
      </c>
      <c r="E554" s="2" t="s">
        <v>32</v>
      </c>
      <c r="F554" s="2">
        <v>236923.0</v>
      </c>
      <c r="I554" s="2">
        <v>44713.0</v>
      </c>
      <c r="J554" s="2">
        <v>8749.0</v>
      </c>
      <c r="K554" s="2">
        <v>290385.0</v>
      </c>
      <c r="L554" s="2">
        <v>96600.0</v>
      </c>
      <c r="N554" s="2">
        <v>193785.0</v>
      </c>
      <c r="P554" s="3"/>
      <c r="Q554" s="3"/>
      <c r="R554" s="3"/>
      <c r="S554" s="3"/>
      <c r="T554" s="3"/>
      <c r="U554" s="3"/>
      <c r="V554" s="3"/>
      <c r="W554" s="3"/>
      <c r="X554" s="3"/>
      <c r="Y554" s="3"/>
      <c r="Z554" s="3"/>
      <c r="AA554" s="3"/>
      <c r="AB554" s="3"/>
      <c r="AC554" s="3"/>
      <c r="AD554" s="3"/>
      <c r="AE554" s="3"/>
      <c r="AF554" s="3"/>
      <c r="AG554" s="3"/>
    </row>
    <row r="555">
      <c r="A555" s="2">
        <v>2018.0</v>
      </c>
      <c r="B555" s="2" t="s">
        <v>902</v>
      </c>
      <c r="D555" s="2" t="s">
        <v>496</v>
      </c>
      <c r="E555" s="2" t="s">
        <v>789</v>
      </c>
      <c r="F555" s="2">
        <v>705925.0</v>
      </c>
      <c r="I555" s="2">
        <v>1066150.0</v>
      </c>
      <c r="J555" s="2">
        <v>24047.0</v>
      </c>
      <c r="K555" s="2">
        <v>1796122.0</v>
      </c>
      <c r="L555" s="2">
        <v>864781.0</v>
      </c>
      <c r="N555" s="2">
        <v>931341.0</v>
      </c>
      <c r="P555" s="3"/>
      <c r="Q555" s="3"/>
      <c r="R555" s="3"/>
      <c r="S555" s="3"/>
      <c r="T555" s="3"/>
      <c r="U555" s="3"/>
      <c r="V555" s="3"/>
      <c r="W555" s="3"/>
      <c r="X555" s="3"/>
      <c r="Y555" s="3"/>
      <c r="Z555" s="3"/>
      <c r="AA555" s="3"/>
      <c r="AB555" s="3"/>
      <c r="AC555" s="3"/>
      <c r="AD555" s="3"/>
      <c r="AE555" s="3"/>
      <c r="AF555" s="3"/>
      <c r="AG555" s="3"/>
    </row>
    <row r="556">
      <c r="A556" s="2">
        <v>2018.0</v>
      </c>
      <c r="B556" s="2" t="s">
        <v>902</v>
      </c>
      <c r="D556" s="2" t="s">
        <v>496</v>
      </c>
      <c r="E556" s="2" t="s">
        <v>114</v>
      </c>
      <c r="F556" s="2">
        <v>419557.0</v>
      </c>
      <c r="I556" s="2">
        <v>0.0</v>
      </c>
      <c r="J556" s="2">
        <v>5834.0</v>
      </c>
      <c r="K556" s="2">
        <v>425391.0</v>
      </c>
      <c r="L556" s="2">
        <v>362562.0</v>
      </c>
      <c r="N556" s="2">
        <v>62829.0</v>
      </c>
      <c r="P556" s="3"/>
      <c r="Q556" s="3"/>
      <c r="R556" s="3"/>
      <c r="S556" s="3"/>
      <c r="T556" s="3"/>
      <c r="U556" s="3"/>
      <c r="V556" s="3"/>
      <c r="W556" s="3"/>
      <c r="X556" s="3"/>
      <c r="Y556" s="3"/>
      <c r="Z556" s="3"/>
      <c r="AA556" s="3"/>
      <c r="AB556" s="3"/>
      <c r="AC556" s="3"/>
      <c r="AD556" s="3"/>
      <c r="AE556" s="3"/>
      <c r="AF556" s="3"/>
      <c r="AG556" s="3"/>
    </row>
    <row r="557">
      <c r="A557" s="2">
        <v>2018.0</v>
      </c>
      <c r="B557" s="2" t="s">
        <v>902</v>
      </c>
      <c r="D557" s="2" t="s">
        <v>496</v>
      </c>
      <c r="E557" s="2" t="s">
        <v>460</v>
      </c>
      <c r="F557" s="2">
        <v>7248.0</v>
      </c>
      <c r="I557" s="2">
        <v>0.0</v>
      </c>
      <c r="J557" s="2">
        <v>405.0</v>
      </c>
      <c r="K557" s="2">
        <v>7653.0</v>
      </c>
      <c r="L557" s="2">
        <v>6600.0</v>
      </c>
      <c r="N557" s="2">
        <v>1053.0</v>
      </c>
      <c r="P557" s="3"/>
      <c r="Q557" s="3"/>
      <c r="R557" s="3"/>
      <c r="S557" s="3"/>
      <c r="T557" s="3"/>
      <c r="U557" s="3"/>
      <c r="V557" s="3"/>
      <c r="W557" s="3"/>
      <c r="X557" s="3"/>
      <c r="Y557" s="3"/>
      <c r="Z557" s="3"/>
      <c r="AA557" s="3"/>
      <c r="AB557" s="3"/>
      <c r="AC557" s="3"/>
      <c r="AD557" s="3"/>
      <c r="AE557" s="3"/>
      <c r="AF557" s="3"/>
      <c r="AG557" s="3"/>
    </row>
    <row r="558">
      <c r="A558" s="2">
        <v>2018.0</v>
      </c>
      <c r="B558" s="2" t="s">
        <v>902</v>
      </c>
      <c r="D558" s="2" t="s">
        <v>499</v>
      </c>
      <c r="E558" s="2" t="s">
        <v>32</v>
      </c>
      <c r="F558" s="2">
        <v>137606.0</v>
      </c>
      <c r="I558" s="2">
        <v>104840.0</v>
      </c>
      <c r="J558" s="2">
        <v>6932.0</v>
      </c>
      <c r="K558" s="2">
        <v>249378.0</v>
      </c>
      <c r="L558" s="2">
        <v>50701.0</v>
      </c>
      <c r="N558" s="2">
        <v>198677.0</v>
      </c>
      <c r="P558" s="3"/>
      <c r="Q558" s="3"/>
      <c r="R558" s="3"/>
      <c r="S558" s="3"/>
      <c r="T558" s="3"/>
      <c r="U558" s="3"/>
      <c r="V558" s="3"/>
      <c r="W558" s="3"/>
      <c r="X558" s="3"/>
      <c r="Y558" s="3"/>
      <c r="Z558" s="3"/>
      <c r="AA558" s="3"/>
      <c r="AB558" s="3"/>
      <c r="AC558" s="3"/>
      <c r="AD558" s="3"/>
      <c r="AE558" s="3"/>
      <c r="AF558" s="3"/>
      <c r="AG558" s="3"/>
    </row>
    <row r="559">
      <c r="A559" s="2">
        <v>2018.0</v>
      </c>
      <c r="B559" s="2" t="s">
        <v>902</v>
      </c>
      <c r="D559" s="2" t="s">
        <v>499</v>
      </c>
      <c r="E559" s="2" t="s">
        <v>792</v>
      </c>
      <c r="F559" s="2">
        <v>245412.0</v>
      </c>
      <c r="I559" s="2">
        <v>48000.0</v>
      </c>
      <c r="J559" s="2">
        <v>7147.0</v>
      </c>
      <c r="K559" s="2">
        <v>300559.0</v>
      </c>
      <c r="L559" s="2">
        <v>146000.0</v>
      </c>
      <c r="N559" s="2">
        <v>154559.0</v>
      </c>
      <c r="P559" s="3"/>
      <c r="Q559" s="3"/>
      <c r="R559" s="3"/>
      <c r="S559" s="3"/>
      <c r="T559" s="3"/>
      <c r="U559" s="3"/>
      <c r="V559" s="3"/>
      <c r="W559" s="3"/>
      <c r="X559" s="3"/>
      <c r="Y559" s="3"/>
      <c r="Z559" s="3"/>
      <c r="AA559" s="3"/>
      <c r="AB559" s="3"/>
      <c r="AC559" s="3"/>
      <c r="AD559" s="3"/>
      <c r="AE559" s="3"/>
      <c r="AF559" s="3"/>
      <c r="AG559" s="3"/>
    </row>
    <row r="560">
      <c r="A560" s="2">
        <v>2018.0</v>
      </c>
      <c r="B560" s="2" t="s">
        <v>902</v>
      </c>
      <c r="D560" s="2" t="s">
        <v>499</v>
      </c>
      <c r="E560" s="2" t="s">
        <v>794</v>
      </c>
      <c r="F560" s="2">
        <v>309339.0</v>
      </c>
      <c r="I560" s="2">
        <v>539100.0</v>
      </c>
      <c r="J560" s="2">
        <v>6215.0</v>
      </c>
      <c r="K560" s="2">
        <v>854654.0</v>
      </c>
      <c r="L560" s="2">
        <v>509266.0</v>
      </c>
      <c r="N560" s="2">
        <v>345388.0</v>
      </c>
      <c r="P560" s="3"/>
      <c r="Q560" s="3"/>
      <c r="R560" s="3"/>
      <c r="S560" s="3"/>
      <c r="T560" s="3"/>
      <c r="U560" s="3"/>
      <c r="V560" s="3"/>
      <c r="W560" s="3"/>
      <c r="X560" s="3"/>
      <c r="Y560" s="3"/>
      <c r="Z560" s="3"/>
      <c r="AA560" s="3"/>
      <c r="AB560" s="3"/>
      <c r="AC560" s="3"/>
      <c r="AD560" s="3"/>
      <c r="AE560" s="3"/>
      <c r="AF560" s="3"/>
      <c r="AG560" s="3"/>
    </row>
    <row r="561">
      <c r="A561" s="2">
        <v>2018.0</v>
      </c>
      <c r="B561" s="2" t="s">
        <v>902</v>
      </c>
      <c r="D561" s="2" t="s">
        <v>499</v>
      </c>
      <c r="E561" s="2" t="s">
        <v>783</v>
      </c>
      <c r="F561" s="2">
        <v>501714.0</v>
      </c>
      <c r="I561" s="2">
        <v>1741627.0</v>
      </c>
      <c r="J561" s="2">
        <v>17469.0</v>
      </c>
      <c r="K561" s="2">
        <v>2260810.0</v>
      </c>
      <c r="L561" s="2">
        <v>474337.0</v>
      </c>
      <c r="N561" s="2">
        <v>1786473.0</v>
      </c>
      <c r="P561" s="3"/>
      <c r="Q561" s="3"/>
      <c r="R561" s="3"/>
      <c r="S561" s="3"/>
      <c r="T561" s="3"/>
      <c r="U561" s="3"/>
      <c r="V561" s="3"/>
      <c r="W561" s="3"/>
      <c r="X561" s="3"/>
      <c r="Y561" s="3"/>
      <c r="Z561" s="3"/>
      <c r="AA561" s="3"/>
      <c r="AB561" s="3"/>
      <c r="AC561" s="3"/>
      <c r="AD561" s="3"/>
      <c r="AE561" s="3"/>
      <c r="AF561" s="3"/>
      <c r="AG561" s="3"/>
    </row>
    <row r="562">
      <c r="A562" s="2">
        <v>2018.0</v>
      </c>
      <c r="B562" s="2" t="s">
        <v>902</v>
      </c>
      <c r="D562" s="2" t="s">
        <v>499</v>
      </c>
      <c r="E562" s="2" t="s">
        <v>114</v>
      </c>
      <c r="F562" s="2">
        <v>97142.0</v>
      </c>
      <c r="I562" s="2">
        <v>0.0</v>
      </c>
      <c r="J562" s="2">
        <v>2038.0</v>
      </c>
      <c r="K562" s="2">
        <v>99180.0</v>
      </c>
      <c r="L562" s="2">
        <v>97000.0</v>
      </c>
      <c r="N562" s="2">
        <v>2180.0</v>
      </c>
      <c r="P562" s="3"/>
      <c r="Q562" s="3"/>
      <c r="R562" s="3"/>
      <c r="S562" s="3"/>
      <c r="T562" s="3"/>
      <c r="U562" s="3"/>
      <c r="V562" s="3"/>
      <c r="W562" s="3"/>
      <c r="X562" s="3"/>
      <c r="Y562" s="3"/>
      <c r="Z562" s="3"/>
      <c r="AA562" s="3"/>
      <c r="AB562" s="3"/>
      <c r="AC562" s="3"/>
      <c r="AD562" s="3"/>
      <c r="AE562" s="3"/>
      <c r="AF562" s="3"/>
      <c r="AG562" s="3"/>
    </row>
    <row r="563">
      <c r="A563" s="2">
        <v>2018.0</v>
      </c>
      <c r="B563" s="2" t="s">
        <v>902</v>
      </c>
      <c r="D563" s="2" t="s">
        <v>499</v>
      </c>
      <c r="E563" s="2" t="s">
        <v>460</v>
      </c>
      <c r="F563" s="2">
        <v>62117.0</v>
      </c>
      <c r="I563" s="2">
        <v>0.0</v>
      </c>
      <c r="J563" s="2">
        <v>2509.0</v>
      </c>
      <c r="K563" s="2">
        <v>64626.0</v>
      </c>
      <c r="L563" s="2">
        <v>0.0</v>
      </c>
      <c r="N563" s="2">
        <v>64626.0</v>
      </c>
      <c r="P563" s="3"/>
      <c r="Q563" s="3"/>
      <c r="R563" s="3"/>
      <c r="S563" s="3"/>
      <c r="T563" s="3"/>
      <c r="U563" s="3"/>
      <c r="V563" s="3"/>
      <c r="W563" s="3"/>
      <c r="X563" s="3"/>
      <c r="Y563" s="3"/>
      <c r="Z563" s="3"/>
      <c r="AA563" s="3"/>
      <c r="AB563" s="3"/>
      <c r="AC563" s="3"/>
      <c r="AD563" s="3"/>
      <c r="AE563" s="3"/>
      <c r="AF563" s="3"/>
      <c r="AG563" s="3"/>
    </row>
    <row r="564">
      <c r="A564" s="2">
        <v>2018.0</v>
      </c>
      <c r="B564" s="2" t="s">
        <v>902</v>
      </c>
      <c r="D564" s="2" t="s">
        <v>501</v>
      </c>
      <c r="E564" s="2" t="s">
        <v>32</v>
      </c>
      <c r="F564" s="2">
        <v>165563.0</v>
      </c>
      <c r="I564" s="2">
        <v>62504.0</v>
      </c>
      <c r="J564" s="2">
        <v>0.0</v>
      </c>
      <c r="K564" s="2">
        <v>228067.0</v>
      </c>
      <c r="L564" s="2">
        <v>33300.0</v>
      </c>
      <c r="N564" s="2">
        <v>194767.0</v>
      </c>
      <c r="P564" s="3"/>
      <c r="Q564" s="3"/>
      <c r="R564" s="3"/>
      <c r="S564" s="3"/>
      <c r="T564" s="3"/>
      <c r="U564" s="3"/>
      <c r="V564" s="3"/>
      <c r="W564" s="3"/>
      <c r="X564" s="3"/>
      <c r="Y564" s="3"/>
      <c r="Z564" s="3"/>
      <c r="AA564" s="3"/>
      <c r="AB564" s="3"/>
      <c r="AC564" s="3"/>
      <c r="AD564" s="3"/>
      <c r="AE564" s="3"/>
      <c r="AF564" s="3"/>
      <c r="AG564" s="3"/>
    </row>
    <row r="565">
      <c r="A565" s="2">
        <v>2018.0</v>
      </c>
      <c r="B565" s="2" t="s">
        <v>902</v>
      </c>
      <c r="D565" s="2" t="s">
        <v>501</v>
      </c>
      <c r="E565" s="2" t="s">
        <v>795</v>
      </c>
      <c r="F565" s="2">
        <v>1229898.0</v>
      </c>
      <c r="I565" s="2">
        <v>144400.0</v>
      </c>
      <c r="J565" s="2">
        <v>11086.0</v>
      </c>
      <c r="K565" s="2">
        <v>1385384.0</v>
      </c>
      <c r="L565" s="2">
        <v>631021.0</v>
      </c>
      <c r="N565" s="2">
        <v>754363.0</v>
      </c>
      <c r="P565" s="3"/>
      <c r="Q565" s="3"/>
      <c r="R565" s="3"/>
      <c r="S565" s="3"/>
      <c r="T565" s="3"/>
      <c r="U565" s="3"/>
      <c r="V565" s="3"/>
      <c r="W565" s="3"/>
      <c r="X565" s="3"/>
      <c r="Y565" s="3"/>
      <c r="Z565" s="3"/>
      <c r="AA565" s="3"/>
      <c r="AB565" s="3"/>
      <c r="AC565" s="3"/>
      <c r="AD565" s="3"/>
      <c r="AE565" s="3"/>
      <c r="AF565" s="3"/>
      <c r="AG565" s="3"/>
    </row>
    <row r="566">
      <c r="A566" s="2">
        <v>2018.0</v>
      </c>
      <c r="B566" s="2" t="s">
        <v>902</v>
      </c>
      <c r="D566" s="2" t="s">
        <v>501</v>
      </c>
      <c r="E566" s="2" t="s">
        <v>798</v>
      </c>
      <c r="F566" s="2">
        <v>371214.0</v>
      </c>
      <c r="I566" s="2">
        <v>1401322.0</v>
      </c>
      <c r="J566" s="2">
        <v>19968.0</v>
      </c>
      <c r="K566" s="2">
        <v>1792504.0</v>
      </c>
      <c r="L566" s="2">
        <v>152759.0</v>
      </c>
      <c r="N566" s="2">
        <v>1639745.0</v>
      </c>
      <c r="P566" s="3"/>
      <c r="Q566" s="3"/>
      <c r="R566" s="3"/>
      <c r="S566" s="3"/>
      <c r="T566" s="3"/>
      <c r="U566" s="3"/>
      <c r="V566" s="3"/>
      <c r="W566" s="3"/>
      <c r="X566" s="3"/>
      <c r="Y566" s="3"/>
      <c r="Z566" s="3"/>
      <c r="AA566" s="3"/>
      <c r="AB566" s="3"/>
      <c r="AC566" s="3"/>
      <c r="AD566" s="3"/>
      <c r="AE566" s="3"/>
      <c r="AF566" s="3"/>
      <c r="AG566" s="3"/>
    </row>
    <row r="567">
      <c r="A567" s="2">
        <v>2018.0</v>
      </c>
      <c r="B567" s="2" t="s">
        <v>902</v>
      </c>
      <c r="D567" s="2" t="s">
        <v>501</v>
      </c>
      <c r="E567" s="2" t="s">
        <v>114</v>
      </c>
      <c r="F567" s="2">
        <v>26929.0</v>
      </c>
      <c r="I567" s="2">
        <v>0.0</v>
      </c>
      <c r="J567" s="2">
        <v>875.0</v>
      </c>
      <c r="K567" s="2">
        <v>27804.0</v>
      </c>
      <c r="L567" s="2">
        <v>20000.0</v>
      </c>
      <c r="N567" s="2">
        <v>7804.0</v>
      </c>
      <c r="P567" s="3"/>
      <c r="Q567" s="3"/>
      <c r="R567" s="3"/>
      <c r="S567" s="3"/>
      <c r="T567" s="3"/>
      <c r="U567" s="3"/>
      <c r="V567" s="3"/>
      <c r="W567" s="3"/>
      <c r="X567" s="3"/>
      <c r="Y567" s="3"/>
      <c r="Z567" s="3"/>
      <c r="AA567" s="3"/>
      <c r="AB567" s="3"/>
      <c r="AC567" s="3"/>
      <c r="AD567" s="3"/>
      <c r="AE567" s="3"/>
      <c r="AF567" s="3"/>
      <c r="AG567" s="3"/>
    </row>
    <row r="568">
      <c r="A568" s="2">
        <v>2018.0</v>
      </c>
      <c r="B568" s="2" t="s">
        <v>902</v>
      </c>
      <c r="D568" s="2" t="s">
        <v>501</v>
      </c>
      <c r="E568" s="2" t="s">
        <v>460</v>
      </c>
      <c r="F568" s="2">
        <v>1362.0</v>
      </c>
      <c r="I568" s="2">
        <v>0.0</v>
      </c>
      <c r="J568" s="2">
        <v>55.0</v>
      </c>
      <c r="K568" s="2">
        <v>1417.0</v>
      </c>
      <c r="L568" s="2">
        <v>0.0</v>
      </c>
      <c r="N568" s="2">
        <v>1417.0</v>
      </c>
      <c r="P568" s="3"/>
      <c r="Q568" s="3"/>
      <c r="R568" s="3"/>
      <c r="S568" s="3"/>
      <c r="T568" s="3"/>
      <c r="U568" s="3"/>
      <c r="V568" s="3"/>
      <c r="W568" s="3"/>
      <c r="X568" s="3"/>
      <c r="Y568" s="3"/>
      <c r="Z568" s="3"/>
      <c r="AA568" s="3"/>
      <c r="AB568" s="3"/>
      <c r="AC568" s="3"/>
      <c r="AD568" s="3"/>
      <c r="AE568" s="3"/>
      <c r="AF568" s="3"/>
      <c r="AG568" s="3"/>
    </row>
    <row r="569">
      <c r="A569" s="2">
        <v>2018.0</v>
      </c>
      <c r="B569" s="2" t="s">
        <v>902</v>
      </c>
      <c r="D569" s="2" t="s">
        <v>505</v>
      </c>
      <c r="E569" s="2" t="s">
        <v>32</v>
      </c>
      <c r="F569" s="2">
        <v>44815.0</v>
      </c>
      <c r="I569" s="2">
        <v>66180.0</v>
      </c>
      <c r="J569" s="2">
        <v>2217.0</v>
      </c>
      <c r="K569" s="2">
        <v>113212.0</v>
      </c>
      <c r="L569" s="2">
        <v>67100.0</v>
      </c>
      <c r="N569" s="2">
        <v>46112.0</v>
      </c>
      <c r="P569" s="3"/>
      <c r="Q569" s="3"/>
      <c r="R569" s="3"/>
      <c r="S569" s="3"/>
      <c r="T569" s="3"/>
      <c r="U569" s="3"/>
      <c r="V569" s="3"/>
      <c r="W569" s="3"/>
      <c r="X569" s="3"/>
      <c r="Y569" s="3"/>
      <c r="Z569" s="3"/>
      <c r="AA569" s="3"/>
      <c r="AB569" s="3"/>
      <c r="AC569" s="3"/>
      <c r="AD569" s="3"/>
      <c r="AE569" s="3"/>
      <c r="AF569" s="3"/>
      <c r="AG569" s="3"/>
    </row>
    <row r="570">
      <c r="A570" s="2">
        <v>2018.0</v>
      </c>
      <c r="B570" s="2" t="s">
        <v>902</v>
      </c>
      <c r="D570" s="2" t="s">
        <v>505</v>
      </c>
      <c r="E570" s="2" t="s">
        <v>801</v>
      </c>
      <c r="F570" s="2">
        <v>71084.0</v>
      </c>
      <c r="I570" s="2">
        <v>410200.0</v>
      </c>
      <c r="J570" s="2">
        <v>2262.0</v>
      </c>
      <c r="K570" s="2">
        <v>483546.0</v>
      </c>
      <c r="L570" s="2">
        <v>186057.0</v>
      </c>
      <c r="N570" s="2">
        <v>297489.0</v>
      </c>
      <c r="P570" s="3"/>
      <c r="Q570" s="3"/>
      <c r="R570" s="3"/>
      <c r="S570" s="3"/>
      <c r="T570" s="3"/>
      <c r="U570" s="3"/>
      <c r="V570" s="3"/>
      <c r="W570" s="3"/>
      <c r="X570" s="3"/>
      <c r="Y570" s="3"/>
      <c r="Z570" s="3"/>
      <c r="AA570" s="3"/>
      <c r="AB570" s="3"/>
      <c r="AC570" s="3"/>
      <c r="AD570" s="3"/>
      <c r="AE570" s="3"/>
      <c r="AF570" s="3"/>
      <c r="AG570" s="3"/>
    </row>
    <row r="571">
      <c r="A571" s="2">
        <v>2018.0</v>
      </c>
      <c r="B571" s="2" t="s">
        <v>902</v>
      </c>
      <c r="D571" s="2" t="s">
        <v>505</v>
      </c>
      <c r="E571" s="2" t="s">
        <v>795</v>
      </c>
      <c r="F571" s="2">
        <v>243075.0</v>
      </c>
      <c r="I571" s="2">
        <v>0.0</v>
      </c>
      <c r="J571" s="2">
        <v>4076.0</v>
      </c>
      <c r="K571" s="2">
        <v>247151.0</v>
      </c>
      <c r="L571" s="2">
        <v>243680.0</v>
      </c>
      <c r="N571" s="2">
        <v>3471.0</v>
      </c>
      <c r="P571" s="3"/>
      <c r="Q571" s="3"/>
      <c r="R571" s="3"/>
      <c r="S571" s="3"/>
      <c r="T571" s="3"/>
      <c r="U571" s="3"/>
      <c r="V571" s="3"/>
      <c r="W571" s="3"/>
      <c r="X571" s="3"/>
      <c r="Y571" s="3"/>
      <c r="Z571" s="3"/>
      <c r="AA571" s="3"/>
      <c r="AB571" s="3"/>
      <c r="AC571" s="3"/>
      <c r="AD571" s="3"/>
      <c r="AE571" s="3"/>
      <c r="AF571" s="3"/>
      <c r="AG571" s="3"/>
    </row>
    <row r="572">
      <c r="A572" s="2">
        <v>2018.0</v>
      </c>
      <c r="B572" s="2" t="s">
        <v>902</v>
      </c>
      <c r="D572" s="2" t="s">
        <v>505</v>
      </c>
      <c r="E572" s="2" t="s">
        <v>798</v>
      </c>
      <c r="F572" s="2">
        <v>303873.0</v>
      </c>
      <c r="I572" s="2">
        <v>1421500.0</v>
      </c>
      <c r="J572" s="2">
        <v>13518.0</v>
      </c>
      <c r="K572" s="2">
        <v>1738891.0</v>
      </c>
      <c r="L572" s="2">
        <v>187914.0</v>
      </c>
      <c r="N572" s="2">
        <v>1550977.0</v>
      </c>
      <c r="P572" s="3"/>
      <c r="Q572" s="3"/>
      <c r="R572" s="3"/>
      <c r="S572" s="3"/>
      <c r="T572" s="3"/>
      <c r="U572" s="3"/>
      <c r="V572" s="3"/>
      <c r="W572" s="3"/>
      <c r="X572" s="3"/>
      <c r="Y572" s="3"/>
      <c r="Z572" s="3"/>
      <c r="AA572" s="3"/>
      <c r="AB572" s="3"/>
      <c r="AC572" s="3"/>
      <c r="AD572" s="3"/>
      <c r="AE572" s="3"/>
      <c r="AF572" s="3"/>
      <c r="AG572" s="3"/>
    </row>
    <row r="573">
      <c r="A573" s="2">
        <v>2018.0</v>
      </c>
      <c r="B573" s="2" t="s">
        <v>902</v>
      </c>
      <c r="D573" s="2" t="s">
        <v>505</v>
      </c>
      <c r="E573" s="2" t="s">
        <v>114</v>
      </c>
      <c r="F573" s="2">
        <v>57896.0</v>
      </c>
      <c r="I573" s="2">
        <v>0.0</v>
      </c>
      <c r="J573" s="2">
        <v>1837.0</v>
      </c>
      <c r="K573" s="2">
        <v>59733.0</v>
      </c>
      <c r="L573" s="2">
        <v>21950.0</v>
      </c>
      <c r="N573" s="2">
        <v>37783.0</v>
      </c>
      <c r="P573" s="3"/>
      <c r="Q573" s="3"/>
      <c r="R573" s="3"/>
      <c r="S573" s="3"/>
      <c r="T573" s="3"/>
      <c r="U573" s="3"/>
      <c r="V573" s="3"/>
      <c r="W573" s="3"/>
      <c r="X573" s="3"/>
      <c r="Y573" s="3"/>
      <c r="Z573" s="3"/>
      <c r="AA573" s="3"/>
      <c r="AB573" s="3"/>
      <c r="AC573" s="3"/>
      <c r="AD573" s="3"/>
      <c r="AE573" s="3"/>
      <c r="AF573" s="3"/>
      <c r="AG573" s="3"/>
    </row>
    <row r="574">
      <c r="A574" s="2">
        <v>2018.0</v>
      </c>
      <c r="B574" s="2" t="s">
        <v>902</v>
      </c>
      <c r="D574" s="2" t="s">
        <v>505</v>
      </c>
      <c r="E574" s="2" t="s">
        <v>460</v>
      </c>
      <c r="F574" s="2">
        <v>1677.0</v>
      </c>
      <c r="I574" s="2">
        <v>0.0</v>
      </c>
      <c r="J574" s="2">
        <v>68.0</v>
      </c>
      <c r="K574" s="2">
        <v>1745.0</v>
      </c>
      <c r="L574" s="2">
        <v>0.0</v>
      </c>
      <c r="N574" s="2">
        <v>1745.0</v>
      </c>
      <c r="P574" s="3"/>
      <c r="Q574" s="3"/>
      <c r="R574" s="3"/>
      <c r="S574" s="3"/>
      <c r="T574" s="3"/>
      <c r="U574" s="3"/>
      <c r="V574" s="3"/>
      <c r="W574" s="3"/>
      <c r="X574" s="3"/>
      <c r="Y574" s="3"/>
      <c r="Z574" s="3"/>
      <c r="AA574" s="3"/>
      <c r="AB574" s="3"/>
      <c r="AC574" s="3"/>
      <c r="AD574" s="3"/>
      <c r="AE574" s="3"/>
      <c r="AF574" s="3"/>
      <c r="AG574" s="3"/>
    </row>
    <row r="575">
      <c r="A575" s="2">
        <v>2018.0</v>
      </c>
      <c r="B575" s="2" t="s">
        <v>902</v>
      </c>
      <c r="D575" s="2" t="s">
        <v>505</v>
      </c>
      <c r="E575" s="2" t="s">
        <v>804</v>
      </c>
      <c r="F575" s="2">
        <v>150182.0</v>
      </c>
      <c r="I575" s="2">
        <v>72000.0</v>
      </c>
      <c r="J575" s="2">
        <v>3380.0</v>
      </c>
      <c r="K575" s="2">
        <v>225562.0</v>
      </c>
      <c r="L575" s="2">
        <v>199052.0</v>
      </c>
      <c r="N575" s="2">
        <v>26510.0</v>
      </c>
      <c r="P575" s="3"/>
      <c r="Q575" s="3"/>
      <c r="R575" s="3"/>
      <c r="S575" s="3"/>
      <c r="T575" s="3"/>
      <c r="U575" s="3"/>
      <c r="V575" s="3"/>
      <c r="W575" s="3"/>
      <c r="X575" s="3"/>
      <c r="Y575" s="3"/>
      <c r="Z575" s="3"/>
      <c r="AA575" s="3"/>
      <c r="AB575" s="3"/>
      <c r="AC575" s="3"/>
      <c r="AD575" s="3"/>
      <c r="AE575" s="3"/>
      <c r="AF575" s="3"/>
      <c r="AG575" s="3"/>
    </row>
    <row r="576">
      <c r="A576" s="2">
        <v>2018.0</v>
      </c>
      <c r="B576" s="2" t="s">
        <v>902</v>
      </c>
      <c r="D576" s="2" t="s">
        <v>518</v>
      </c>
      <c r="E576" s="2" t="s">
        <v>32</v>
      </c>
      <c r="F576" s="2">
        <v>50252.0</v>
      </c>
      <c r="I576" s="2">
        <v>32810.0</v>
      </c>
      <c r="J576" s="2">
        <v>2602.0</v>
      </c>
      <c r="K576" s="2">
        <v>85664.0</v>
      </c>
      <c r="L576" s="2">
        <v>0.0</v>
      </c>
      <c r="N576" s="2">
        <v>85664.0</v>
      </c>
      <c r="P576" s="3"/>
      <c r="Q576" s="3"/>
      <c r="R576" s="3"/>
      <c r="S576" s="3"/>
      <c r="T576" s="3"/>
      <c r="U576" s="3"/>
      <c r="V576" s="3"/>
      <c r="W576" s="3"/>
      <c r="X576" s="3"/>
      <c r="Y576" s="3"/>
      <c r="Z576" s="3"/>
      <c r="AA576" s="3"/>
      <c r="AB576" s="3"/>
      <c r="AC576" s="3"/>
      <c r="AD576" s="3"/>
      <c r="AE576" s="3"/>
      <c r="AF576" s="3"/>
      <c r="AG576" s="3"/>
    </row>
    <row r="577">
      <c r="A577" s="2">
        <v>2018.0</v>
      </c>
      <c r="B577" s="2" t="s">
        <v>902</v>
      </c>
      <c r="D577" s="2" t="s">
        <v>518</v>
      </c>
      <c r="E577" s="2" t="s">
        <v>817</v>
      </c>
      <c r="F577" s="2">
        <v>407894.0</v>
      </c>
      <c r="I577" s="2">
        <v>0.0</v>
      </c>
      <c r="J577" s="2">
        <v>8958.0</v>
      </c>
      <c r="K577" s="2">
        <v>416852.0</v>
      </c>
      <c r="L577" s="2">
        <v>415511.0</v>
      </c>
      <c r="N577" s="2">
        <v>1341.0</v>
      </c>
      <c r="P577" s="3"/>
      <c r="Q577" s="3"/>
      <c r="R577" s="3"/>
      <c r="S577" s="3"/>
      <c r="T577" s="3"/>
      <c r="U577" s="3"/>
      <c r="V577" s="3"/>
      <c r="W577" s="3"/>
      <c r="X577" s="3"/>
      <c r="Y577" s="3"/>
      <c r="Z577" s="3"/>
      <c r="AA577" s="3"/>
      <c r="AB577" s="3"/>
      <c r="AC577" s="3"/>
      <c r="AD577" s="3"/>
      <c r="AE577" s="3"/>
      <c r="AF577" s="3"/>
      <c r="AG577" s="3"/>
    </row>
    <row r="578">
      <c r="A578" s="2">
        <v>2018.0</v>
      </c>
      <c r="B578" s="2" t="s">
        <v>902</v>
      </c>
      <c r="D578" s="2" t="s">
        <v>518</v>
      </c>
      <c r="E578" s="2" t="s">
        <v>812</v>
      </c>
      <c r="F578" s="2">
        <v>264714.0</v>
      </c>
      <c r="I578" s="2">
        <v>1681400.0</v>
      </c>
      <c r="J578" s="2">
        <v>16994.0</v>
      </c>
      <c r="K578" s="2">
        <v>1963108.0</v>
      </c>
      <c r="L578" s="2">
        <v>768135.0</v>
      </c>
      <c r="N578" s="2">
        <v>1194973.0</v>
      </c>
      <c r="P578" s="3"/>
      <c r="Q578" s="3"/>
      <c r="R578" s="3"/>
      <c r="S578" s="3"/>
      <c r="T578" s="3"/>
      <c r="U578" s="3"/>
      <c r="V578" s="3"/>
      <c r="W578" s="3"/>
      <c r="X578" s="3"/>
      <c r="Y578" s="3"/>
      <c r="Z578" s="3"/>
      <c r="AA578" s="3"/>
      <c r="AB578" s="3"/>
      <c r="AC578" s="3"/>
      <c r="AD578" s="3"/>
      <c r="AE578" s="3"/>
      <c r="AF578" s="3"/>
      <c r="AG578" s="3"/>
    </row>
    <row r="579">
      <c r="A579" s="2">
        <v>2018.0</v>
      </c>
      <c r="B579" s="2" t="s">
        <v>902</v>
      </c>
      <c r="D579" s="2" t="s">
        <v>518</v>
      </c>
      <c r="E579" s="2" t="s">
        <v>114</v>
      </c>
      <c r="F579" s="2">
        <v>442.0</v>
      </c>
      <c r="I579" s="2">
        <v>0.0</v>
      </c>
      <c r="J579" s="2">
        <v>18.0</v>
      </c>
      <c r="K579" s="2">
        <v>460.0</v>
      </c>
      <c r="L579" s="2">
        <v>0.0</v>
      </c>
      <c r="N579" s="2">
        <v>460.0</v>
      </c>
      <c r="P579" s="3"/>
      <c r="Q579" s="3"/>
      <c r="R579" s="3"/>
      <c r="S579" s="3"/>
      <c r="T579" s="3"/>
      <c r="U579" s="3"/>
      <c r="V579" s="3"/>
      <c r="W579" s="3"/>
      <c r="X579" s="3"/>
      <c r="Y579" s="3"/>
      <c r="Z579" s="3"/>
      <c r="AA579" s="3"/>
      <c r="AB579" s="3"/>
      <c r="AC579" s="3"/>
      <c r="AD579" s="3"/>
      <c r="AE579" s="3"/>
      <c r="AF579" s="3"/>
      <c r="AG579" s="3"/>
    </row>
    <row r="580">
      <c r="A580" s="2">
        <v>2018.0</v>
      </c>
      <c r="B580" s="2" t="s">
        <v>902</v>
      </c>
      <c r="D580" s="2" t="s">
        <v>518</v>
      </c>
      <c r="E580" s="2" t="s">
        <v>460</v>
      </c>
      <c r="F580" s="2">
        <v>580.0</v>
      </c>
      <c r="I580" s="2">
        <v>0.0</v>
      </c>
      <c r="J580" s="2">
        <v>22.0</v>
      </c>
      <c r="K580" s="2">
        <v>602.0</v>
      </c>
      <c r="L580" s="2">
        <v>0.0</v>
      </c>
      <c r="N580" s="2">
        <v>602.0</v>
      </c>
      <c r="P580" s="3"/>
      <c r="Q580" s="3"/>
      <c r="R580" s="3"/>
      <c r="S580" s="3"/>
      <c r="T580" s="3"/>
      <c r="U580" s="3"/>
      <c r="V580" s="3"/>
      <c r="W580" s="3"/>
      <c r="X580" s="3"/>
      <c r="Y580" s="3"/>
      <c r="Z580" s="3"/>
      <c r="AA580" s="3"/>
      <c r="AB580" s="3"/>
      <c r="AC580" s="3"/>
      <c r="AD580" s="3"/>
      <c r="AE580" s="3"/>
      <c r="AF580" s="3"/>
      <c r="AG580" s="3"/>
    </row>
    <row r="581">
      <c r="A581" s="2">
        <v>2018.0</v>
      </c>
      <c r="B581" s="2" t="s">
        <v>902</v>
      </c>
      <c r="D581" s="2" t="s">
        <v>489</v>
      </c>
      <c r="E581" s="2" t="s">
        <v>831</v>
      </c>
      <c r="F581" s="2">
        <v>213492.0</v>
      </c>
      <c r="I581" s="2">
        <v>199400.0</v>
      </c>
      <c r="J581" s="2">
        <v>5711.0</v>
      </c>
      <c r="K581" s="2">
        <v>418603.0</v>
      </c>
      <c r="L581" s="2">
        <v>368086.0</v>
      </c>
      <c r="N581" s="2">
        <v>50517.0</v>
      </c>
      <c r="P581" s="3"/>
      <c r="Q581" s="3"/>
      <c r="R581" s="3"/>
      <c r="S581" s="3"/>
      <c r="T581" s="3"/>
      <c r="U581" s="3"/>
      <c r="V581" s="3"/>
      <c r="W581" s="3"/>
      <c r="X581" s="3"/>
      <c r="Y581" s="3"/>
      <c r="Z581" s="3"/>
      <c r="AA581" s="3"/>
      <c r="AB581" s="3"/>
      <c r="AC581" s="3"/>
      <c r="AD581" s="3"/>
      <c r="AE581" s="3"/>
      <c r="AF581" s="3"/>
      <c r="AG581" s="3"/>
    </row>
    <row r="582">
      <c r="A582" s="2">
        <v>2018.0</v>
      </c>
      <c r="B582" s="2" t="s">
        <v>902</v>
      </c>
      <c r="D582" s="2" t="s">
        <v>493</v>
      </c>
      <c r="E582" s="2" t="s">
        <v>831</v>
      </c>
      <c r="F582" s="2">
        <v>418467.0</v>
      </c>
      <c r="I582" s="2">
        <v>250104.0</v>
      </c>
      <c r="J582" s="2">
        <v>11701.0</v>
      </c>
      <c r="K582" s="2">
        <v>680272.0</v>
      </c>
      <c r="L582" s="2">
        <v>568380.0</v>
      </c>
      <c r="N582" s="2">
        <v>111892.0</v>
      </c>
      <c r="P582" s="3"/>
      <c r="Q582" s="3"/>
      <c r="R582" s="3"/>
      <c r="S582" s="3"/>
      <c r="T582" s="3"/>
      <c r="U582" s="3"/>
      <c r="V582" s="3"/>
      <c r="W582" s="3"/>
      <c r="X582" s="3"/>
      <c r="Y582" s="3"/>
      <c r="Z582" s="3"/>
      <c r="AA582" s="3"/>
      <c r="AB582" s="3"/>
      <c r="AC582" s="3"/>
      <c r="AD582" s="3"/>
      <c r="AE582" s="3"/>
      <c r="AF582" s="3"/>
      <c r="AG582" s="3"/>
    </row>
    <row r="583">
      <c r="A583" s="2">
        <v>2018.0</v>
      </c>
      <c r="B583" s="2" t="s">
        <v>902</v>
      </c>
      <c r="D583" s="2" t="s">
        <v>501</v>
      </c>
      <c r="E583" s="2" t="s">
        <v>801</v>
      </c>
      <c r="F583" s="2">
        <v>67868.0</v>
      </c>
      <c r="I583" s="2">
        <v>302000.0</v>
      </c>
      <c r="J583" s="2">
        <v>5792.0</v>
      </c>
      <c r="K583" s="2">
        <v>375660.0</v>
      </c>
      <c r="L583" s="2">
        <v>54230.0</v>
      </c>
      <c r="N583" s="2">
        <v>321430.0</v>
      </c>
      <c r="P583" s="3"/>
      <c r="Q583" s="3"/>
      <c r="R583" s="3"/>
      <c r="S583" s="3"/>
      <c r="T583" s="3"/>
      <c r="U583" s="3"/>
      <c r="V583" s="3"/>
      <c r="W583" s="3"/>
      <c r="X583" s="3"/>
      <c r="Y583" s="3"/>
      <c r="Z583" s="3"/>
      <c r="AA583" s="3"/>
      <c r="AB583" s="3"/>
      <c r="AC583" s="3"/>
      <c r="AD583" s="3"/>
      <c r="AE583" s="3"/>
      <c r="AF583" s="3"/>
      <c r="AG583" s="3"/>
    </row>
    <row r="584">
      <c r="A584" s="2">
        <v>2018.0</v>
      </c>
      <c r="B584" s="2" t="s">
        <v>902</v>
      </c>
      <c r="D584" s="2" t="s">
        <v>508</v>
      </c>
      <c r="E584" s="2" t="s">
        <v>32</v>
      </c>
      <c r="F584" s="2">
        <v>69350.0</v>
      </c>
      <c r="I584" s="2">
        <v>38310.0</v>
      </c>
      <c r="J584" s="2">
        <v>3523.0</v>
      </c>
      <c r="K584" s="2">
        <v>111183.0</v>
      </c>
      <c r="L584" s="2">
        <v>0.0</v>
      </c>
      <c r="N584" s="2">
        <v>111183.0</v>
      </c>
      <c r="P584" s="3"/>
      <c r="Q584" s="3"/>
      <c r="R584" s="3"/>
      <c r="S584" s="3"/>
      <c r="T584" s="3"/>
      <c r="U584" s="3"/>
      <c r="V584" s="3"/>
      <c r="W584" s="3"/>
      <c r="X584" s="3"/>
      <c r="Y584" s="3"/>
      <c r="Z584" s="3"/>
      <c r="AA584" s="3"/>
      <c r="AB584" s="3"/>
      <c r="AC584" s="3"/>
      <c r="AD584" s="3"/>
      <c r="AE584" s="3"/>
      <c r="AF584" s="3"/>
      <c r="AG584" s="3"/>
    </row>
    <row r="585">
      <c r="A585" s="2">
        <v>2018.0</v>
      </c>
      <c r="B585" s="2" t="s">
        <v>902</v>
      </c>
      <c r="D585" s="2" t="s">
        <v>508</v>
      </c>
      <c r="E585" s="2" t="s">
        <v>801</v>
      </c>
      <c r="F585" s="2">
        <v>161608.0</v>
      </c>
      <c r="I585" s="2">
        <v>476200.0</v>
      </c>
      <c r="J585" s="2">
        <v>7293.0</v>
      </c>
      <c r="K585" s="2">
        <v>645101.0</v>
      </c>
      <c r="L585" s="2">
        <v>177702.0</v>
      </c>
      <c r="N585" s="2">
        <v>467399.0</v>
      </c>
      <c r="P585" s="3"/>
      <c r="Q585" s="3"/>
      <c r="R585" s="3"/>
      <c r="S585" s="3"/>
      <c r="T585" s="3"/>
      <c r="U585" s="3"/>
      <c r="V585" s="3"/>
      <c r="W585" s="3"/>
      <c r="X585" s="3"/>
      <c r="Y585" s="3"/>
      <c r="Z585" s="3"/>
      <c r="AA585" s="3"/>
      <c r="AB585" s="3"/>
      <c r="AC585" s="3"/>
      <c r="AD585" s="3"/>
      <c r="AE585" s="3"/>
      <c r="AF585" s="3"/>
      <c r="AG585" s="3"/>
    </row>
    <row r="586">
      <c r="A586" s="2">
        <v>2018.0</v>
      </c>
      <c r="B586" s="2" t="s">
        <v>902</v>
      </c>
      <c r="D586" s="2" t="s">
        <v>508</v>
      </c>
      <c r="E586" s="2" t="s">
        <v>807</v>
      </c>
      <c r="F586" s="2">
        <v>522397.0</v>
      </c>
      <c r="I586" s="2">
        <v>0.0</v>
      </c>
      <c r="J586" s="2">
        <v>15272.0</v>
      </c>
      <c r="K586" s="2">
        <v>537669.0</v>
      </c>
      <c r="L586" s="2">
        <v>369442.0</v>
      </c>
      <c r="N586" s="2">
        <v>168227.0</v>
      </c>
      <c r="P586" s="3"/>
      <c r="Q586" s="3"/>
      <c r="R586" s="3"/>
      <c r="S586" s="3"/>
      <c r="T586" s="3"/>
      <c r="U586" s="3"/>
      <c r="V586" s="3"/>
      <c r="W586" s="3"/>
      <c r="X586" s="3"/>
      <c r="Y586" s="3"/>
      <c r="Z586" s="3"/>
      <c r="AA586" s="3"/>
      <c r="AB586" s="3"/>
      <c r="AC586" s="3"/>
      <c r="AD586" s="3"/>
      <c r="AE586" s="3"/>
      <c r="AF586" s="3"/>
      <c r="AG586" s="3"/>
    </row>
    <row r="587">
      <c r="A587" s="2">
        <v>2018.0</v>
      </c>
      <c r="B587" s="2" t="s">
        <v>902</v>
      </c>
      <c r="D587" s="2" t="s">
        <v>508</v>
      </c>
      <c r="E587" s="2" t="s">
        <v>798</v>
      </c>
      <c r="F587" s="2">
        <v>476714.0</v>
      </c>
      <c r="I587" s="2">
        <v>1769627.0</v>
      </c>
      <c r="J587" s="2">
        <v>25413.0</v>
      </c>
      <c r="K587" s="2">
        <v>2271754.0</v>
      </c>
      <c r="L587" s="2">
        <v>261667.0</v>
      </c>
      <c r="N587" s="2">
        <v>2010087.0</v>
      </c>
      <c r="P587" s="3"/>
      <c r="Q587" s="3"/>
      <c r="R587" s="3"/>
      <c r="S587" s="3"/>
      <c r="T587" s="3"/>
      <c r="U587" s="3"/>
      <c r="V587" s="3"/>
      <c r="W587" s="3"/>
      <c r="X587" s="3"/>
      <c r="Y587" s="3"/>
      <c r="Z587" s="3"/>
      <c r="AA587" s="3"/>
      <c r="AB587" s="3"/>
      <c r="AC587" s="3"/>
      <c r="AD587" s="3"/>
      <c r="AE587" s="3"/>
      <c r="AF587" s="3"/>
      <c r="AG587" s="3"/>
    </row>
    <row r="588">
      <c r="A588" s="2">
        <v>2018.0</v>
      </c>
      <c r="B588" s="2" t="s">
        <v>902</v>
      </c>
      <c r="D588" s="2" t="s">
        <v>508</v>
      </c>
      <c r="E588" s="2" t="s">
        <v>114</v>
      </c>
      <c r="F588" s="2">
        <v>376078.0</v>
      </c>
      <c r="I588" s="2">
        <v>0.0</v>
      </c>
      <c r="J588" s="2">
        <v>8579.0</v>
      </c>
      <c r="K588" s="2">
        <v>384657.0</v>
      </c>
      <c r="L588" s="2">
        <v>214606.0</v>
      </c>
      <c r="N588" s="2">
        <v>170051.0</v>
      </c>
      <c r="P588" s="3"/>
      <c r="Q588" s="3"/>
      <c r="R588" s="3"/>
      <c r="S588" s="3"/>
      <c r="T588" s="3"/>
      <c r="U588" s="3"/>
      <c r="V588" s="3"/>
      <c r="W588" s="3"/>
      <c r="X588" s="3"/>
      <c r="Y588" s="3"/>
      <c r="Z588" s="3"/>
      <c r="AA588" s="3"/>
      <c r="AB588" s="3"/>
      <c r="AC588" s="3"/>
      <c r="AD588" s="3"/>
      <c r="AE588" s="3"/>
      <c r="AF588" s="3"/>
      <c r="AG588" s="3"/>
    </row>
    <row r="589">
      <c r="A589" s="2">
        <v>2018.0</v>
      </c>
      <c r="B589" s="2" t="s">
        <v>902</v>
      </c>
      <c r="D589" s="2" t="s">
        <v>508</v>
      </c>
      <c r="E589" s="2" t="s">
        <v>460</v>
      </c>
      <c r="F589" s="2">
        <v>17554.0</v>
      </c>
      <c r="I589" s="2">
        <v>10000.0</v>
      </c>
      <c r="J589" s="2">
        <v>778.0</v>
      </c>
      <c r="K589" s="2">
        <v>28332.0</v>
      </c>
      <c r="L589" s="2">
        <v>9995.0</v>
      </c>
      <c r="N589" s="2">
        <v>18337.0</v>
      </c>
      <c r="P589" s="3"/>
      <c r="Q589" s="3"/>
      <c r="R589" s="3"/>
      <c r="S589" s="3"/>
      <c r="T589" s="3"/>
      <c r="U589" s="3"/>
      <c r="V589" s="3"/>
      <c r="W589" s="3"/>
      <c r="X589" s="3"/>
      <c r="Y589" s="3"/>
      <c r="Z589" s="3"/>
      <c r="AA589" s="3"/>
      <c r="AB589" s="3"/>
      <c r="AC589" s="3"/>
      <c r="AD589" s="3"/>
      <c r="AE589" s="3"/>
      <c r="AF589" s="3"/>
      <c r="AG589" s="3"/>
    </row>
    <row r="590">
      <c r="A590" s="2">
        <v>2018.0</v>
      </c>
      <c r="B590" s="2" t="s">
        <v>902</v>
      </c>
      <c r="D590" s="2" t="s">
        <v>510</v>
      </c>
      <c r="E590" s="2" t="s">
        <v>32</v>
      </c>
      <c r="F590" s="2">
        <v>65459.0</v>
      </c>
      <c r="I590" s="2">
        <v>16460.0</v>
      </c>
      <c r="J590" s="2">
        <v>1556.0</v>
      </c>
      <c r="K590" s="2">
        <v>83475.0</v>
      </c>
      <c r="L590" s="2">
        <v>81222.0</v>
      </c>
      <c r="N590" s="2">
        <v>2253.0</v>
      </c>
      <c r="P590" s="3"/>
      <c r="Q590" s="3"/>
      <c r="R590" s="3"/>
      <c r="S590" s="3"/>
      <c r="T590" s="3"/>
      <c r="U590" s="3"/>
      <c r="V590" s="3"/>
      <c r="W590" s="3"/>
      <c r="X590" s="3"/>
      <c r="Y590" s="3"/>
      <c r="Z590" s="3"/>
      <c r="AA590" s="3"/>
      <c r="AB590" s="3"/>
      <c r="AC590" s="3"/>
      <c r="AD590" s="3"/>
      <c r="AE590" s="3"/>
      <c r="AF590" s="3"/>
      <c r="AG590" s="3"/>
    </row>
    <row r="591">
      <c r="A591" s="2">
        <v>2018.0</v>
      </c>
      <c r="B591" s="2" t="s">
        <v>902</v>
      </c>
      <c r="D591" s="2" t="s">
        <v>510</v>
      </c>
      <c r="E591" s="2" t="s">
        <v>810</v>
      </c>
      <c r="F591" s="2">
        <v>21851.0</v>
      </c>
      <c r="I591" s="2">
        <v>0.0</v>
      </c>
      <c r="J591" s="2">
        <v>883.0</v>
      </c>
      <c r="K591" s="2">
        <v>22734.0</v>
      </c>
      <c r="L591" s="2">
        <v>0.0</v>
      </c>
      <c r="N591" s="2">
        <v>22734.0</v>
      </c>
      <c r="P591" s="3"/>
      <c r="Q591" s="3"/>
      <c r="R591" s="3"/>
      <c r="S591" s="3"/>
      <c r="T591" s="3"/>
      <c r="U591" s="3"/>
      <c r="V591" s="3"/>
      <c r="W591" s="3"/>
      <c r="X591" s="3"/>
      <c r="Y591" s="3"/>
      <c r="Z591" s="3"/>
      <c r="AA591" s="3"/>
      <c r="AB591" s="3"/>
      <c r="AC591" s="3"/>
      <c r="AD591" s="3"/>
      <c r="AE591" s="3"/>
      <c r="AF591" s="3"/>
      <c r="AG591" s="3"/>
    </row>
    <row r="592">
      <c r="A592" s="2">
        <v>2018.0</v>
      </c>
      <c r="B592" s="2" t="s">
        <v>902</v>
      </c>
      <c r="D592" s="2" t="s">
        <v>510</v>
      </c>
      <c r="E592" s="2" t="s">
        <v>812</v>
      </c>
      <c r="F592" s="2">
        <v>104128.0</v>
      </c>
      <c r="I592" s="2">
        <v>1237200.0</v>
      </c>
      <c r="J592" s="2">
        <v>8636.0</v>
      </c>
      <c r="K592" s="2">
        <v>1349964.0</v>
      </c>
      <c r="L592" s="2">
        <v>476803.0</v>
      </c>
      <c r="N592" s="2">
        <v>873161.0</v>
      </c>
      <c r="P592" s="3"/>
      <c r="Q592" s="3"/>
      <c r="R592" s="3"/>
      <c r="S592" s="3"/>
      <c r="T592" s="3"/>
      <c r="U592" s="3"/>
      <c r="V592" s="3"/>
      <c r="W592" s="3"/>
      <c r="X592" s="3"/>
      <c r="Y592" s="3"/>
      <c r="Z592" s="3"/>
      <c r="AA592" s="3"/>
      <c r="AB592" s="3"/>
      <c r="AC592" s="3"/>
      <c r="AD592" s="3"/>
      <c r="AE592" s="3"/>
      <c r="AF592" s="3"/>
      <c r="AG592" s="3"/>
    </row>
    <row r="593">
      <c r="A593" s="2">
        <v>2018.0</v>
      </c>
      <c r="B593" s="2" t="s">
        <v>902</v>
      </c>
      <c r="D593" s="2" t="s">
        <v>510</v>
      </c>
      <c r="E593" s="2" t="s">
        <v>807</v>
      </c>
      <c r="F593" s="2">
        <v>1674.0</v>
      </c>
      <c r="I593" s="2">
        <v>115200.0</v>
      </c>
      <c r="J593" s="2">
        <v>597.0</v>
      </c>
      <c r="K593" s="2">
        <v>117471.0</v>
      </c>
      <c r="L593" s="2">
        <v>115797.0</v>
      </c>
      <c r="N593" s="2">
        <v>1674.0</v>
      </c>
      <c r="P593" s="3"/>
      <c r="Q593" s="3"/>
      <c r="R593" s="3"/>
      <c r="S593" s="3"/>
      <c r="T593" s="3"/>
      <c r="U593" s="3"/>
      <c r="V593" s="3"/>
      <c r="W593" s="3"/>
      <c r="X593" s="3"/>
      <c r="Y593" s="3"/>
      <c r="Z593" s="3"/>
      <c r="AA593" s="3"/>
      <c r="AB593" s="3"/>
      <c r="AC593" s="3"/>
      <c r="AD593" s="3"/>
      <c r="AE593" s="3"/>
      <c r="AF593" s="3"/>
      <c r="AG593" s="3"/>
    </row>
    <row r="594">
      <c r="A594" s="2">
        <v>2018.0</v>
      </c>
      <c r="B594" s="2" t="s">
        <v>902</v>
      </c>
      <c r="D594" s="2" t="s">
        <v>510</v>
      </c>
      <c r="E594" s="2" t="s">
        <v>114</v>
      </c>
      <c r="F594" s="2">
        <v>162176.0</v>
      </c>
      <c r="I594" s="2">
        <v>0.0</v>
      </c>
      <c r="J594" s="2">
        <v>4956.0</v>
      </c>
      <c r="K594" s="2">
        <v>167132.0</v>
      </c>
      <c r="L594" s="2">
        <v>157560.0</v>
      </c>
      <c r="N594" s="2">
        <v>9572.0</v>
      </c>
      <c r="P594" s="3"/>
      <c r="Q594" s="3"/>
      <c r="R594" s="3"/>
      <c r="S594" s="3"/>
      <c r="T594" s="3"/>
      <c r="U594" s="3"/>
      <c r="V594" s="3"/>
      <c r="W594" s="3"/>
      <c r="X594" s="3"/>
      <c r="Y594" s="3"/>
      <c r="Z594" s="3"/>
      <c r="AA594" s="3"/>
      <c r="AB594" s="3"/>
      <c r="AC594" s="3"/>
      <c r="AD594" s="3"/>
      <c r="AE594" s="3"/>
      <c r="AF594" s="3"/>
      <c r="AG594" s="3"/>
    </row>
    <row r="595">
      <c r="A595" s="2">
        <v>2018.0</v>
      </c>
      <c r="B595" s="2" t="s">
        <v>902</v>
      </c>
      <c r="D595" s="2" t="s">
        <v>510</v>
      </c>
      <c r="E595" s="2" t="s">
        <v>460</v>
      </c>
      <c r="F595" s="2">
        <v>13653.0</v>
      </c>
      <c r="I595" s="2">
        <v>0.0</v>
      </c>
      <c r="J595" s="2">
        <v>269.0</v>
      </c>
      <c r="K595" s="2">
        <v>13922.0</v>
      </c>
      <c r="L595" s="2">
        <v>8000.0</v>
      </c>
      <c r="N595" s="2">
        <v>5922.0</v>
      </c>
      <c r="P595" s="3"/>
      <c r="Q595" s="3"/>
      <c r="R595" s="3"/>
      <c r="S595" s="3"/>
      <c r="T595" s="3"/>
      <c r="U595" s="3"/>
      <c r="V595" s="3"/>
      <c r="W595" s="3"/>
      <c r="X595" s="3"/>
      <c r="Y595" s="3"/>
      <c r="Z595" s="3"/>
      <c r="AA595" s="3"/>
      <c r="AB595" s="3"/>
      <c r="AC595" s="3"/>
      <c r="AD595" s="3"/>
      <c r="AE595" s="3"/>
      <c r="AF595" s="3"/>
      <c r="AG595" s="3"/>
    </row>
    <row r="596">
      <c r="A596" s="2">
        <v>2018.0</v>
      </c>
      <c r="B596" s="2" t="s">
        <v>902</v>
      </c>
      <c r="D596" s="2" t="s">
        <v>690</v>
      </c>
      <c r="E596" s="2" t="s">
        <v>691</v>
      </c>
      <c r="F596" s="2">
        <v>323310.0</v>
      </c>
      <c r="I596" s="2">
        <v>1352000.0</v>
      </c>
      <c r="J596" s="2">
        <v>11533.0</v>
      </c>
      <c r="K596" s="2">
        <v>1686843.0</v>
      </c>
      <c r="L596" s="2">
        <v>413115.0</v>
      </c>
      <c r="N596" s="2">
        <v>1273728.0</v>
      </c>
      <c r="P596" s="3"/>
      <c r="Q596" s="3"/>
      <c r="R596" s="3"/>
      <c r="S596" s="3"/>
      <c r="T596" s="3"/>
      <c r="U596" s="3"/>
      <c r="V596" s="3"/>
      <c r="W596" s="3"/>
      <c r="X596" s="3"/>
      <c r="Y596" s="3"/>
      <c r="Z596" s="3"/>
      <c r="AA596" s="3"/>
      <c r="AB596" s="3"/>
      <c r="AC596" s="3"/>
      <c r="AD596" s="3"/>
      <c r="AE596" s="3"/>
      <c r="AF596" s="3"/>
      <c r="AG596" s="3"/>
    </row>
    <row r="597">
      <c r="A597" s="2">
        <v>2018.0</v>
      </c>
      <c r="B597" s="2" t="s">
        <v>902</v>
      </c>
      <c r="D597" s="2" t="s">
        <v>690</v>
      </c>
      <c r="E597" s="2" t="s">
        <v>114</v>
      </c>
      <c r="F597" s="2">
        <v>1994.0</v>
      </c>
      <c r="I597" s="2">
        <v>0.0</v>
      </c>
      <c r="J597" s="2">
        <v>81.0</v>
      </c>
      <c r="K597" s="2">
        <v>2075.0</v>
      </c>
      <c r="L597" s="2">
        <v>0.0</v>
      </c>
      <c r="N597" s="2">
        <v>2075.0</v>
      </c>
      <c r="P597" s="3"/>
      <c r="Q597" s="3"/>
      <c r="R597" s="3"/>
      <c r="S597" s="3"/>
      <c r="T597" s="3"/>
      <c r="U597" s="3"/>
      <c r="V597" s="3"/>
      <c r="W597" s="3"/>
      <c r="X597" s="3"/>
      <c r="Y597" s="3"/>
      <c r="Z597" s="3"/>
      <c r="AA597" s="3"/>
      <c r="AB597" s="3"/>
      <c r="AC597" s="3"/>
      <c r="AD597" s="3"/>
      <c r="AE597" s="3"/>
      <c r="AF597" s="3"/>
      <c r="AG597" s="3"/>
    </row>
    <row r="598">
      <c r="A598" s="2">
        <v>2018.0</v>
      </c>
      <c r="B598" s="2" t="s">
        <v>902</v>
      </c>
      <c r="D598" s="2" t="s">
        <v>690</v>
      </c>
      <c r="E598" s="2" t="s">
        <v>695</v>
      </c>
      <c r="F598" s="2">
        <v>255199.0</v>
      </c>
      <c r="I598" s="2">
        <v>494125.0</v>
      </c>
      <c r="J598" s="2">
        <v>5601.0</v>
      </c>
      <c r="K598" s="2">
        <v>754925.0</v>
      </c>
      <c r="L598" s="2">
        <v>550100.0</v>
      </c>
      <c r="N598" s="2">
        <v>204825.0</v>
      </c>
      <c r="P598" s="3"/>
      <c r="Q598" s="3"/>
      <c r="R598" s="3"/>
      <c r="S598" s="3"/>
      <c r="T598" s="3"/>
      <c r="U598" s="3"/>
      <c r="V598" s="3"/>
      <c r="W598" s="3"/>
      <c r="X598" s="3"/>
      <c r="Y598" s="3"/>
      <c r="Z598" s="3"/>
      <c r="AA598" s="3"/>
      <c r="AB598" s="3"/>
      <c r="AC598" s="3"/>
      <c r="AD598" s="3"/>
      <c r="AE598" s="3"/>
      <c r="AF598" s="3"/>
      <c r="AG598" s="3"/>
    </row>
    <row r="599">
      <c r="A599" s="2">
        <v>2018.0</v>
      </c>
      <c r="B599" s="2" t="s">
        <v>902</v>
      </c>
      <c r="D599" s="2" t="s">
        <v>690</v>
      </c>
      <c r="E599" s="2" t="s">
        <v>32</v>
      </c>
      <c r="F599" s="2">
        <v>216584.0</v>
      </c>
      <c r="I599" s="2">
        <v>125788.0</v>
      </c>
      <c r="J599" s="2">
        <v>7654.0</v>
      </c>
      <c r="K599" s="2">
        <v>350026.0</v>
      </c>
      <c r="L599" s="2">
        <v>252860.0</v>
      </c>
      <c r="N599" s="2">
        <v>97166.0</v>
      </c>
      <c r="P599" s="3"/>
      <c r="Q599" s="3"/>
      <c r="R599" s="3"/>
      <c r="S599" s="3"/>
      <c r="T599" s="3"/>
      <c r="U599" s="3"/>
      <c r="V599" s="3"/>
      <c r="W599" s="3"/>
      <c r="X599" s="3"/>
      <c r="Y599" s="3"/>
      <c r="Z599" s="3"/>
      <c r="AA599" s="3"/>
      <c r="AB599" s="3"/>
      <c r="AC599" s="3"/>
      <c r="AD599" s="3"/>
      <c r="AE599" s="3"/>
      <c r="AF599" s="3"/>
      <c r="AG599" s="3"/>
    </row>
    <row r="600">
      <c r="A600" s="2">
        <v>2018.0</v>
      </c>
      <c r="B600" s="2" t="s">
        <v>902</v>
      </c>
      <c r="D600" s="2" t="s">
        <v>698</v>
      </c>
      <c r="E600" s="2" t="s">
        <v>173</v>
      </c>
      <c r="F600" s="2">
        <v>11993.0</v>
      </c>
      <c r="I600" s="2">
        <v>0.0</v>
      </c>
      <c r="J600" s="2">
        <v>132.0</v>
      </c>
      <c r="K600" s="2">
        <v>12125.0</v>
      </c>
      <c r="L600" s="2">
        <v>10000.0</v>
      </c>
      <c r="N600" s="2">
        <v>2125.0</v>
      </c>
      <c r="P600" s="3"/>
      <c r="Q600" s="3"/>
      <c r="R600" s="3"/>
      <c r="S600" s="3"/>
      <c r="T600" s="3"/>
      <c r="U600" s="3"/>
      <c r="V600" s="3"/>
      <c r="W600" s="3"/>
      <c r="X600" s="3"/>
      <c r="Y600" s="3"/>
      <c r="Z600" s="3"/>
      <c r="AA600" s="3"/>
      <c r="AB600" s="3"/>
      <c r="AC600" s="3"/>
      <c r="AD600" s="3"/>
      <c r="AE600" s="3"/>
      <c r="AF600" s="3"/>
      <c r="AG600" s="3"/>
    </row>
    <row r="601">
      <c r="A601" s="2">
        <v>2018.0</v>
      </c>
      <c r="B601" s="2" t="s">
        <v>902</v>
      </c>
      <c r="D601" s="2" t="s">
        <v>698</v>
      </c>
      <c r="E601" s="2" t="s">
        <v>114</v>
      </c>
      <c r="F601" s="2">
        <v>5002.0</v>
      </c>
      <c r="I601" s="2">
        <v>0.0</v>
      </c>
      <c r="J601" s="2">
        <v>202.0</v>
      </c>
      <c r="K601" s="2">
        <v>5204.0</v>
      </c>
      <c r="L601" s="2">
        <v>0.0</v>
      </c>
      <c r="N601" s="2">
        <v>5204.0</v>
      </c>
      <c r="P601" s="3"/>
      <c r="Q601" s="3"/>
      <c r="R601" s="3"/>
      <c r="S601" s="3"/>
      <c r="T601" s="3"/>
      <c r="U601" s="3"/>
      <c r="V601" s="3"/>
      <c r="W601" s="3"/>
      <c r="X601" s="3"/>
      <c r="Y601" s="3"/>
      <c r="Z601" s="3"/>
      <c r="AA601" s="3"/>
      <c r="AB601" s="3"/>
      <c r="AC601" s="3"/>
      <c r="AD601" s="3"/>
      <c r="AE601" s="3"/>
      <c r="AF601" s="3"/>
      <c r="AG601" s="3"/>
    </row>
    <row r="602">
      <c r="A602" s="2">
        <v>2018.0</v>
      </c>
      <c r="B602" s="2" t="s">
        <v>902</v>
      </c>
      <c r="D602" s="2" t="s">
        <v>698</v>
      </c>
      <c r="E602" s="2" t="s">
        <v>56</v>
      </c>
      <c r="F602" s="2">
        <v>1121.0</v>
      </c>
      <c r="I602" s="2">
        <v>470100.0</v>
      </c>
      <c r="J602" s="2">
        <v>2789.0</v>
      </c>
      <c r="K602" s="2">
        <v>474010.0</v>
      </c>
      <c r="L602" s="2">
        <v>269185.0</v>
      </c>
      <c r="N602" s="2">
        <v>204825.0</v>
      </c>
      <c r="P602" s="3"/>
      <c r="Q602" s="3"/>
      <c r="R602" s="3"/>
      <c r="S602" s="3"/>
      <c r="T602" s="3"/>
      <c r="U602" s="3"/>
      <c r="V602" s="3"/>
      <c r="W602" s="3"/>
      <c r="X602" s="3"/>
      <c r="Y602" s="3"/>
      <c r="Z602" s="3"/>
      <c r="AA602" s="3"/>
      <c r="AB602" s="3"/>
      <c r="AC602" s="3"/>
      <c r="AD602" s="3"/>
      <c r="AE602" s="3"/>
      <c r="AF602" s="3"/>
      <c r="AG602" s="3"/>
    </row>
    <row r="603">
      <c r="A603" s="2">
        <v>2018.0</v>
      </c>
      <c r="B603" s="2" t="s">
        <v>902</v>
      </c>
      <c r="D603" s="2" t="s">
        <v>698</v>
      </c>
      <c r="E603" s="2" t="s">
        <v>173</v>
      </c>
      <c r="F603" s="2">
        <v>261500.0</v>
      </c>
      <c r="I603" s="2">
        <v>1585627.0</v>
      </c>
      <c r="J603" s="2">
        <v>5589.0</v>
      </c>
      <c r="K603" s="2">
        <v>1852716.0</v>
      </c>
      <c r="L603" s="2">
        <v>483475.0</v>
      </c>
      <c r="N603" s="2">
        <v>1369241.0</v>
      </c>
      <c r="P603" s="3"/>
      <c r="Q603" s="3"/>
      <c r="R603" s="3"/>
      <c r="S603" s="3"/>
      <c r="T603" s="3"/>
      <c r="U603" s="3"/>
      <c r="V603" s="3"/>
      <c r="W603" s="3"/>
      <c r="X603" s="3"/>
      <c r="Y603" s="3"/>
      <c r="Z603" s="3"/>
      <c r="AA603" s="3"/>
      <c r="AB603" s="3"/>
      <c r="AC603" s="3"/>
      <c r="AD603" s="3"/>
      <c r="AE603" s="3"/>
      <c r="AF603" s="3"/>
      <c r="AG603" s="3"/>
    </row>
    <row r="604">
      <c r="A604" s="2">
        <v>2018.0</v>
      </c>
      <c r="B604" s="2" t="s">
        <v>902</v>
      </c>
      <c r="D604" s="2" t="s">
        <v>698</v>
      </c>
      <c r="E604" s="2" t="s">
        <v>32</v>
      </c>
      <c r="F604" s="2">
        <v>72656.0</v>
      </c>
      <c r="I604" s="2">
        <v>49700.0</v>
      </c>
      <c r="J604" s="2">
        <v>1236.0</v>
      </c>
      <c r="K604" s="2">
        <v>123592.0</v>
      </c>
      <c r="L604" s="2">
        <v>70000.0</v>
      </c>
      <c r="N604" s="2">
        <v>53592.0</v>
      </c>
      <c r="P604" s="3"/>
      <c r="Q604" s="3"/>
      <c r="R604" s="3"/>
      <c r="S604" s="3"/>
      <c r="T604" s="3"/>
      <c r="U604" s="3"/>
      <c r="V604" s="3"/>
      <c r="W604" s="3"/>
      <c r="X604" s="3"/>
      <c r="Y604" s="3"/>
      <c r="Z604" s="3"/>
      <c r="AA604" s="3"/>
      <c r="AB604" s="3"/>
      <c r="AC604" s="3"/>
      <c r="AD604" s="3"/>
      <c r="AE604" s="3"/>
      <c r="AF604" s="3"/>
      <c r="AG604" s="3"/>
    </row>
    <row r="605">
      <c r="A605" s="2">
        <v>2018.0</v>
      </c>
      <c r="B605" s="2" t="s">
        <v>902</v>
      </c>
      <c r="D605" s="2" t="s">
        <v>706</v>
      </c>
      <c r="E605" s="2" t="s">
        <v>691</v>
      </c>
      <c r="F605" s="2">
        <v>323310.0</v>
      </c>
      <c r="I605" s="2">
        <v>1352000.0</v>
      </c>
      <c r="J605" s="2">
        <v>11533.0</v>
      </c>
      <c r="K605" s="2">
        <v>1686843.0</v>
      </c>
      <c r="L605" s="2">
        <v>413115.0</v>
      </c>
      <c r="N605" s="2">
        <v>1273728.0</v>
      </c>
      <c r="P605" s="3"/>
      <c r="Q605" s="3"/>
      <c r="R605" s="3"/>
      <c r="S605" s="3"/>
      <c r="T605" s="3"/>
      <c r="U605" s="3"/>
      <c r="V605" s="3"/>
      <c r="W605" s="3"/>
      <c r="X605" s="3"/>
      <c r="Y605" s="3"/>
      <c r="Z605" s="3"/>
      <c r="AA605" s="3"/>
      <c r="AB605" s="3"/>
      <c r="AC605" s="3"/>
      <c r="AD605" s="3"/>
      <c r="AE605" s="3"/>
      <c r="AF605" s="3"/>
      <c r="AG605" s="3"/>
    </row>
    <row r="606">
      <c r="A606" s="2">
        <v>2018.0</v>
      </c>
      <c r="B606" s="2" t="s">
        <v>902</v>
      </c>
      <c r="D606" s="2" t="s">
        <v>706</v>
      </c>
      <c r="E606" s="2" t="s">
        <v>114</v>
      </c>
      <c r="F606" s="2">
        <v>1994.0</v>
      </c>
      <c r="I606" s="2">
        <v>0.0</v>
      </c>
      <c r="J606" s="2">
        <v>81.0</v>
      </c>
      <c r="K606" s="2">
        <v>2075.0</v>
      </c>
      <c r="L606" s="2">
        <v>0.0</v>
      </c>
      <c r="N606" s="2">
        <v>2075.0</v>
      </c>
      <c r="P606" s="3"/>
      <c r="Q606" s="3"/>
      <c r="R606" s="3"/>
      <c r="S606" s="3"/>
      <c r="T606" s="3"/>
      <c r="U606" s="3"/>
      <c r="V606" s="3"/>
      <c r="W606" s="3"/>
      <c r="X606" s="3"/>
      <c r="Y606" s="3"/>
      <c r="Z606" s="3"/>
      <c r="AA606" s="3"/>
      <c r="AB606" s="3"/>
      <c r="AC606" s="3"/>
      <c r="AD606" s="3"/>
      <c r="AE606" s="3"/>
      <c r="AF606" s="3"/>
      <c r="AG606" s="3"/>
    </row>
    <row r="607">
      <c r="A607" s="2">
        <v>2018.0</v>
      </c>
      <c r="B607" s="2" t="s">
        <v>902</v>
      </c>
      <c r="D607" s="2" t="s">
        <v>706</v>
      </c>
      <c r="E607" s="2" t="s">
        <v>711</v>
      </c>
      <c r="F607" s="2">
        <v>255199.0</v>
      </c>
      <c r="I607" s="2">
        <v>494125.0</v>
      </c>
      <c r="J607" s="2">
        <v>5601.0</v>
      </c>
      <c r="K607" s="2">
        <v>754925.0</v>
      </c>
      <c r="L607" s="2">
        <v>550100.0</v>
      </c>
      <c r="N607" s="2">
        <v>204825.0</v>
      </c>
      <c r="P607" s="3"/>
      <c r="Q607" s="3"/>
      <c r="R607" s="3"/>
      <c r="S607" s="3"/>
      <c r="T607" s="3"/>
      <c r="U607" s="3"/>
      <c r="V607" s="3"/>
      <c r="W607" s="3"/>
      <c r="X607" s="3"/>
      <c r="Y607" s="3"/>
      <c r="Z607" s="3"/>
      <c r="AA607" s="3"/>
      <c r="AB607" s="3"/>
      <c r="AC607" s="3"/>
      <c r="AD607" s="3"/>
      <c r="AE607" s="3"/>
      <c r="AF607" s="3"/>
      <c r="AG607" s="3"/>
    </row>
    <row r="608">
      <c r="A608" s="2">
        <v>2018.0</v>
      </c>
      <c r="B608" s="2" t="s">
        <v>902</v>
      </c>
      <c r="D608" s="2" t="s">
        <v>706</v>
      </c>
      <c r="E608" s="2" t="s">
        <v>32</v>
      </c>
      <c r="F608" s="2">
        <v>216584.0</v>
      </c>
      <c r="I608" s="2">
        <v>125788.0</v>
      </c>
      <c r="J608" s="2">
        <v>7654.0</v>
      </c>
      <c r="K608" s="2">
        <v>350026.0</v>
      </c>
      <c r="L608" s="2">
        <v>252860.0</v>
      </c>
      <c r="N608" s="2">
        <v>97166.0</v>
      </c>
      <c r="P608" s="3"/>
      <c r="Q608" s="3"/>
      <c r="R608" s="3"/>
      <c r="S608" s="3"/>
      <c r="T608" s="3"/>
      <c r="U608" s="3"/>
      <c r="V608" s="3"/>
      <c r="W608" s="3"/>
      <c r="X608" s="3"/>
      <c r="Y608" s="3"/>
      <c r="Z608" s="3"/>
      <c r="AA608" s="3"/>
      <c r="AB608" s="3"/>
      <c r="AC608" s="3"/>
      <c r="AD608" s="3"/>
      <c r="AE608" s="3"/>
      <c r="AF608" s="3"/>
      <c r="AG608" s="3"/>
    </row>
    <row r="609">
      <c r="A609" s="2">
        <v>2018.0</v>
      </c>
      <c r="B609" s="2" t="s">
        <v>902</v>
      </c>
      <c r="D609" s="2" t="s">
        <v>713</v>
      </c>
      <c r="E609" s="2" t="s">
        <v>691</v>
      </c>
      <c r="F609" s="2">
        <v>280516.0</v>
      </c>
      <c r="I609" s="2">
        <v>1347850.0</v>
      </c>
      <c r="J609" s="2">
        <v>10637.0</v>
      </c>
      <c r="K609" s="2">
        <v>1639003.0</v>
      </c>
      <c r="L609" s="2">
        <v>323029.0</v>
      </c>
      <c r="N609" s="2">
        <v>1315974.0</v>
      </c>
      <c r="P609" s="3"/>
      <c r="Q609" s="3"/>
      <c r="R609" s="3"/>
      <c r="S609" s="3"/>
      <c r="T609" s="3"/>
      <c r="U609" s="3"/>
      <c r="V609" s="3"/>
      <c r="W609" s="3"/>
      <c r="X609" s="3"/>
      <c r="Y609" s="3"/>
      <c r="Z609" s="3"/>
      <c r="AA609" s="3"/>
      <c r="AB609" s="3"/>
      <c r="AC609" s="3"/>
      <c r="AD609" s="3"/>
      <c r="AE609" s="3"/>
      <c r="AF609" s="3"/>
      <c r="AG609" s="3"/>
    </row>
    <row r="610">
      <c r="A610" s="2">
        <v>2018.0</v>
      </c>
      <c r="B610" s="2" t="s">
        <v>902</v>
      </c>
      <c r="D610" s="2" t="s">
        <v>713</v>
      </c>
      <c r="E610" s="2" t="s">
        <v>114</v>
      </c>
      <c r="F610" s="2">
        <v>1678.0</v>
      </c>
      <c r="I610" s="2">
        <v>0.0</v>
      </c>
      <c r="J610" s="2">
        <v>34.0</v>
      </c>
      <c r="K610" s="2">
        <v>1712.0</v>
      </c>
      <c r="L610" s="2">
        <v>0.0</v>
      </c>
      <c r="N610" s="2">
        <v>1712.0</v>
      </c>
      <c r="P610" s="3"/>
      <c r="Q610" s="3"/>
      <c r="R610" s="3"/>
      <c r="S610" s="3"/>
      <c r="T610" s="3"/>
      <c r="U610" s="3"/>
      <c r="V610" s="3"/>
      <c r="W610" s="3"/>
      <c r="X610" s="3"/>
      <c r="Y610" s="3"/>
      <c r="Z610" s="3"/>
      <c r="AA610" s="3"/>
      <c r="AB610" s="3"/>
      <c r="AC610" s="3"/>
      <c r="AD610" s="3"/>
      <c r="AE610" s="3"/>
      <c r="AF610" s="3"/>
      <c r="AG610" s="3"/>
    </row>
    <row r="611">
      <c r="A611" s="2">
        <v>2018.0</v>
      </c>
      <c r="B611" s="2" t="s">
        <v>902</v>
      </c>
      <c r="D611" s="2" t="s">
        <v>713</v>
      </c>
      <c r="E611" s="2" t="s">
        <v>460</v>
      </c>
      <c r="F611" s="2">
        <v>2107.0</v>
      </c>
      <c r="I611" s="2">
        <v>2020.0</v>
      </c>
      <c r="J611" s="2">
        <v>128.0</v>
      </c>
      <c r="K611" s="2">
        <v>4255.0</v>
      </c>
      <c r="L611" s="2">
        <v>0.0</v>
      </c>
      <c r="N611" s="2">
        <v>4255.0</v>
      </c>
      <c r="P611" s="3"/>
      <c r="Q611" s="3"/>
      <c r="R611" s="3"/>
      <c r="S611" s="3"/>
      <c r="T611" s="3"/>
      <c r="U611" s="3"/>
      <c r="V611" s="3"/>
      <c r="W611" s="3"/>
      <c r="X611" s="3"/>
      <c r="Y611" s="3"/>
      <c r="Z611" s="3"/>
      <c r="AA611" s="3"/>
      <c r="AB611" s="3"/>
      <c r="AC611" s="3"/>
      <c r="AD611" s="3"/>
      <c r="AE611" s="3"/>
      <c r="AF611" s="3"/>
      <c r="AG611" s="3"/>
    </row>
    <row r="612">
      <c r="A612" s="2">
        <v>2018.0</v>
      </c>
      <c r="B612" s="2" t="s">
        <v>902</v>
      </c>
      <c r="D612" s="2" t="s">
        <v>713</v>
      </c>
      <c r="E612" s="2" t="s">
        <v>714</v>
      </c>
      <c r="F612" s="2">
        <v>255026.0</v>
      </c>
      <c r="I612" s="2">
        <v>980964.0</v>
      </c>
      <c r="J612" s="2">
        <v>6761.0</v>
      </c>
      <c r="K612" s="2">
        <v>1242751.0</v>
      </c>
      <c r="L612" s="2">
        <v>922767.0</v>
      </c>
      <c r="N612" s="2">
        <v>319984.0</v>
      </c>
      <c r="P612" s="3"/>
      <c r="Q612" s="3"/>
      <c r="R612" s="3"/>
      <c r="S612" s="3"/>
      <c r="T612" s="3"/>
      <c r="U612" s="3"/>
      <c r="V612" s="3"/>
      <c r="W612" s="3"/>
      <c r="X612" s="3"/>
      <c r="Y612" s="3"/>
      <c r="Z612" s="3"/>
      <c r="AA612" s="3"/>
      <c r="AB612" s="3"/>
      <c r="AC612" s="3"/>
      <c r="AD612" s="3"/>
      <c r="AE612" s="3"/>
      <c r="AF612" s="3"/>
      <c r="AG612" s="3"/>
    </row>
    <row r="613">
      <c r="A613" s="2">
        <v>2018.0</v>
      </c>
      <c r="B613" s="2" t="s">
        <v>902</v>
      </c>
      <c r="D613" s="2" t="s">
        <v>713</v>
      </c>
      <c r="E613" s="2" t="s">
        <v>32</v>
      </c>
      <c r="F613" s="2">
        <v>131649.0</v>
      </c>
      <c r="I613" s="2">
        <v>69900.0</v>
      </c>
      <c r="J613" s="2">
        <v>3962.0</v>
      </c>
      <c r="K613" s="2">
        <v>205511.0</v>
      </c>
      <c r="L613" s="2">
        <v>133084.0</v>
      </c>
      <c r="N613" s="2">
        <v>72427.0</v>
      </c>
      <c r="P613" s="3"/>
      <c r="Q613" s="3"/>
      <c r="R613" s="3"/>
      <c r="S613" s="3"/>
      <c r="T613" s="3"/>
      <c r="U613" s="3"/>
      <c r="V613" s="3"/>
      <c r="W613" s="3"/>
      <c r="X613" s="3"/>
      <c r="Y613" s="3"/>
      <c r="Z613" s="3"/>
      <c r="AA613" s="3"/>
      <c r="AB613" s="3"/>
      <c r="AC613" s="3"/>
      <c r="AD613" s="3"/>
      <c r="AE613" s="3"/>
      <c r="AF613" s="3"/>
      <c r="AG613" s="3"/>
    </row>
    <row r="614">
      <c r="A614" s="2">
        <v>2018.0</v>
      </c>
      <c r="B614" s="2" t="s">
        <v>902</v>
      </c>
      <c r="D614" s="2" t="s">
        <v>716</v>
      </c>
      <c r="E614" s="2" t="s">
        <v>691</v>
      </c>
      <c r="F614" s="2">
        <v>1323296.0</v>
      </c>
      <c r="I614" s="2">
        <v>2579627.0</v>
      </c>
      <c r="J614" s="2">
        <v>33838.0</v>
      </c>
      <c r="K614" s="2">
        <v>3936761.0</v>
      </c>
      <c r="L614" s="2">
        <v>1298721.0</v>
      </c>
      <c r="N614" s="2">
        <v>2638040.0</v>
      </c>
      <c r="P614" s="3"/>
      <c r="Q614" s="3"/>
      <c r="R614" s="3"/>
      <c r="S614" s="3"/>
      <c r="T614" s="3"/>
      <c r="U614" s="3"/>
      <c r="V614" s="3"/>
      <c r="W614" s="3"/>
      <c r="X614" s="3"/>
      <c r="Y614" s="3"/>
      <c r="Z614" s="3"/>
      <c r="AA614" s="3"/>
      <c r="AB614" s="3"/>
      <c r="AC614" s="3"/>
      <c r="AD614" s="3"/>
      <c r="AE614" s="3"/>
      <c r="AF614" s="3"/>
      <c r="AG614" s="3"/>
    </row>
    <row r="615">
      <c r="A615" s="2">
        <v>2018.0</v>
      </c>
      <c r="B615" s="2" t="s">
        <v>902</v>
      </c>
      <c r="D615" s="2" t="s">
        <v>716</v>
      </c>
      <c r="E615" s="2" t="s">
        <v>114</v>
      </c>
      <c r="F615" s="2">
        <v>1926.0</v>
      </c>
      <c r="I615" s="2">
        <v>0.0</v>
      </c>
      <c r="J615" s="2">
        <v>78.0</v>
      </c>
      <c r="K615" s="2">
        <v>2004.0</v>
      </c>
      <c r="L615" s="2">
        <v>0.0</v>
      </c>
      <c r="N615" s="2">
        <v>2004.0</v>
      </c>
      <c r="P615" s="3"/>
      <c r="Q615" s="3"/>
      <c r="R615" s="3"/>
      <c r="S615" s="3"/>
      <c r="T615" s="3"/>
      <c r="U615" s="3"/>
      <c r="V615" s="3"/>
      <c r="W615" s="3"/>
      <c r="X615" s="3"/>
      <c r="Y615" s="3"/>
      <c r="Z615" s="3"/>
      <c r="AA615" s="3"/>
      <c r="AB615" s="3"/>
      <c r="AC615" s="3"/>
      <c r="AD615" s="3"/>
      <c r="AE615" s="3"/>
      <c r="AF615" s="3"/>
      <c r="AG615" s="3"/>
    </row>
    <row r="616">
      <c r="A616" s="2">
        <v>2018.0</v>
      </c>
      <c r="B616" s="2" t="s">
        <v>902</v>
      </c>
      <c r="D616" s="2" t="s">
        <v>716</v>
      </c>
      <c r="E616" s="2" t="s">
        <v>460</v>
      </c>
      <c r="F616" s="2">
        <v>3211.0</v>
      </c>
      <c r="I616" s="2">
        <v>0.0</v>
      </c>
      <c r="J616" s="2">
        <v>129.0</v>
      </c>
      <c r="K616" s="2">
        <v>3340.0</v>
      </c>
      <c r="L616" s="2">
        <v>0.0</v>
      </c>
      <c r="N616" s="2">
        <v>3340.0</v>
      </c>
      <c r="P616" s="3"/>
      <c r="Q616" s="3"/>
      <c r="R616" s="3"/>
      <c r="S616" s="3"/>
      <c r="T616" s="3"/>
      <c r="U616" s="3"/>
      <c r="V616" s="3"/>
      <c r="W616" s="3"/>
      <c r="X616" s="3"/>
      <c r="Y616" s="3"/>
      <c r="Z616" s="3"/>
      <c r="AA616" s="3"/>
      <c r="AB616" s="3"/>
      <c r="AC616" s="3"/>
      <c r="AD616" s="3"/>
      <c r="AE616" s="3"/>
      <c r="AF616" s="3"/>
      <c r="AG616" s="3"/>
    </row>
    <row r="617">
      <c r="A617" s="2">
        <v>2018.0</v>
      </c>
      <c r="B617" s="2" t="s">
        <v>902</v>
      </c>
      <c r="D617" s="2" t="s">
        <v>716</v>
      </c>
      <c r="E617" s="2" t="s">
        <v>56</v>
      </c>
      <c r="F617" s="2">
        <v>348481.0</v>
      </c>
      <c r="I617" s="2">
        <v>1209067.0</v>
      </c>
      <c r="J617" s="2">
        <v>16662.0</v>
      </c>
      <c r="K617" s="2">
        <v>1574210.0</v>
      </c>
      <c r="L617" s="2">
        <v>982488.0</v>
      </c>
      <c r="N617" s="2">
        <v>591722.0</v>
      </c>
      <c r="P617" s="3"/>
      <c r="Q617" s="3"/>
      <c r="R617" s="3"/>
      <c r="S617" s="3"/>
      <c r="T617" s="3"/>
      <c r="U617" s="3"/>
      <c r="V617" s="3"/>
      <c r="W617" s="3"/>
      <c r="X617" s="3"/>
      <c r="Y617" s="3"/>
      <c r="Z617" s="3"/>
      <c r="AA617" s="3"/>
      <c r="AB617" s="3"/>
      <c r="AC617" s="3"/>
      <c r="AD617" s="3"/>
      <c r="AE617" s="3"/>
      <c r="AF617" s="3"/>
      <c r="AG617" s="3"/>
    </row>
    <row r="618">
      <c r="A618" s="2">
        <v>2018.0</v>
      </c>
      <c r="B618" s="2" t="s">
        <v>902</v>
      </c>
      <c r="D618" s="2" t="s">
        <v>718</v>
      </c>
      <c r="E618" s="2" t="s">
        <v>691</v>
      </c>
      <c r="F618" s="2">
        <v>1323296.0</v>
      </c>
      <c r="I618" s="2">
        <v>2579627.0</v>
      </c>
      <c r="J618" s="2">
        <v>33838.0</v>
      </c>
      <c r="K618" s="2">
        <v>3936761.0</v>
      </c>
      <c r="L618" s="2">
        <v>1298721.0</v>
      </c>
      <c r="N618" s="2">
        <v>2638040.0</v>
      </c>
      <c r="P618" s="3"/>
      <c r="Q618" s="3"/>
      <c r="R618" s="3"/>
      <c r="S618" s="3"/>
      <c r="T618" s="3"/>
      <c r="U618" s="3"/>
      <c r="V618" s="3"/>
      <c r="W618" s="3"/>
      <c r="X618" s="3"/>
      <c r="Y618" s="3"/>
      <c r="Z618" s="3"/>
      <c r="AA618" s="3"/>
      <c r="AB618" s="3"/>
      <c r="AC618" s="3"/>
      <c r="AD618" s="3"/>
      <c r="AE618" s="3"/>
      <c r="AF618" s="3"/>
      <c r="AG618" s="3"/>
    </row>
    <row r="619">
      <c r="A619" s="2">
        <v>2018.0</v>
      </c>
      <c r="B619" s="2" t="s">
        <v>902</v>
      </c>
      <c r="D619" s="2" t="s">
        <v>718</v>
      </c>
      <c r="E619" s="2" t="s">
        <v>114</v>
      </c>
      <c r="F619" s="2">
        <v>1926.0</v>
      </c>
      <c r="I619" s="2">
        <v>0.0</v>
      </c>
      <c r="J619" s="2">
        <v>78.0</v>
      </c>
      <c r="K619" s="2">
        <v>2004.0</v>
      </c>
      <c r="L619" s="2">
        <v>0.0</v>
      </c>
      <c r="N619" s="2">
        <v>2004.0</v>
      </c>
      <c r="P619" s="3"/>
      <c r="Q619" s="3"/>
      <c r="R619" s="3"/>
      <c r="S619" s="3"/>
      <c r="T619" s="3"/>
      <c r="U619" s="3"/>
      <c r="V619" s="3"/>
      <c r="W619" s="3"/>
      <c r="X619" s="3"/>
      <c r="Y619" s="3"/>
      <c r="Z619" s="3"/>
      <c r="AA619" s="3"/>
      <c r="AB619" s="3"/>
      <c r="AC619" s="3"/>
      <c r="AD619" s="3"/>
      <c r="AE619" s="3"/>
      <c r="AF619" s="3"/>
      <c r="AG619" s="3"/>
    </row>
    <row r="620">
      <c r="A620" s="2">
        <v>2018.0</v>
      </c>
      <c r="B620" s="2" t="s">
        <v>902</v>
      </c>
      <c r="D620" s="2" t="s">
        <v>718</v>
      </c>
      <c r="E620" s="2" t="s">
        <v>460</v>
      </c>
      <c r="F620" s="2">
        <v>3211.0</v>
      </c>
      <c r="I620" s="2">
        <v>0.0</v>
      </c>
      <c r="J620" s="2">
        <v>129.0</v>
      </c>
      <c r="K620" s="2">
        <v>3340.0</v>
      </c>
      <c r="L620" s="2">
        <v>0.0</v>
      </c>
      <c r="N620" s="2">
        <v>3340.0</v>
      </c>
      <c r="P620" s="3"/>
      <c r="Q620" s="3"/>
      <c r="R620" s="3"/>
      <c r="S620" s="3"/>
      <c r="T620" s="3"/>
      <c r="U620" s="3"/>
      <c r="V620" s="3"/>
      <c r="W620" s="3"/>
      <c r="X620" s="3"/>
      <c r="Y620" s="3"/>
      <c r="Z620" s="3"/>
      <c r="AA620" s="3"/>
      <c r="AB620" s="3"/>
      <c r="AC620" s="3"/>
      <c r="AD620" s="3"/>
      <c r="AE620" s="3"/>
      <c r="AF620" s="3"/>
      <c r="AG620" s="3"/>
    </row>
    <row r="621">
      <c r="A621" s="2">
        <v>2018.0</v>
      </c>
      <c r="B621" s="2" t="s">
        <v>902</v>
      </c>
      <c r="D621" s="2" t="s">
        <v>718</v>
      </c>
      <c r="E621" s="2" t="s">
        <v>32</v>
      </c>
      <c r="F621" s="2">
        <v>55517.0</v>
      </c>
      <c r="I621" s="2">
        <v>21036.0</v>
      </c>
      <c r="J621" s="2">
        <v>186.0</v>
      </c>
      <c r="K621" s="2">
        <v>76739.0</v>
      </c>
      <c r="L621" s="2">
        <v>60246.0</v>
      </c>
      <c r="N621" s="2">
        <v>16493.0</v>
      </c>
      <c r="P621" s="3"/>
      <c r="Q621" s="3"/>
      <c r="R621" s="3"/>
      <c r="S621" s="3"/>
      <c r="T621" s="3"/>
      <c r="U621" s="3"/>
      <c r="V621" s="3"/>
      <c r="W621" s="3"/>
      <c r="X621" s="3"/>
      <c r="Y621" s="3"/>
      <c r="Z621" s="3"/>
      <c r="AA621" s="3"/>
      <c r="AB621" s="3"/>
      <c r="AC621" s="3"/>
      <c r="AD621" s="3"/>
      <c r="AE621" s="3"/>
      <c r="AF621" s="3"/>
      <c r="AG621" s="3"/>
    </row>
    <row r="622">
      <c r="A622" s="2">
        <v>2018.0</v>
      </c>
      <c r="B622" s="2" t="s">
        <v>902</v>
      </c>
      <c r="D622" s="2" t="s">
        <v>728</v>
      </c>
      <c r="E622" s="2" t="s">
        <v>729</v>
      </c>
      <c r="F622" s="2">
        <v>1066801.0</v>
      </c>
      <c r="I622" s="2">
        <v>1641354.0</v>
      </c>
      <c r="J622" s="2">
        <v>38680.0</v>
      </c>
      <c r="K622" s="2">
        <v>2746835.0</v>
      </c>
      <c r="L622" s="2">
        <v>1189972.0</v>
      </c>
      <c r="N622" s="2">
        <v>1556863.0</v>
      </c>
      <c r="P622" s="3"/>
      <c r="Q622" s="3"/>
      <c r="R622" s="3"/>
      <c r="S622" s="3"/>
      <c r="T622" s="3"/>
      <c r="U622" s="3"/>
      <c r="V622" s="3"/>
      <c r="W622" s="3"/>
      <c r="X622" s="3"/>
      <c r="Y622" s="3"/>
      <c r="Z622" s="3"/>
      <c r="AA622" s="3"/>
      <c r="AB622" s="3"/>
      <c r="AC622" s="3"/>
      <c r="AD622" s="3"/>
      <c r="AE622" s="3"/>
      <c r="AF622" s="3"/>
      <c r="AG622" s="3"/>
    </row>
    <row r="623">
      <c r="A623" s="2">
        <v>2018.0</v>
      </c>
      <c r="B623" s="2" t="s">
        <v>902</v>
      </c>
      <c r="D623" s="2" t="s">
        <v>728</v>
      </c>
      <c r="E623" s="2" t="s">
        <v>460</v>
      </c>
      <c r="F623" s="2">
        <v>7119.0</v>
      </c>
      <c r="I623" s="2">
        <v>0.0</v>
      </c>
      <c r="J623" s="2">
        <v>287.0</v>
      </c>
      <c r="K623" s="2">
        <v>7406.0</v>
      </c>
      <c r="L623" s="2">
        <v>0.0</v>
      </c>
      <c r="N623" s="2">
        <v>7406.0</v>
      </c>
      <c r="P623" s="3"/>
      <c r="Q623" s="3"/>
      <c r="R623" s="3"/>
      <c r="S623" s="3"/>
      <c r="T623" s="3"/>
      <c r="U623" s="3"/>
      <c r="V623" s="3"/>
      <c r="W623" s="3"/>
      <c r="X623" s="3"/>
      <c r="Y623" s="3"/>
      <c r="Z623" s="3"/>
      <c r="AA623" s="3"/>
      <c r="AB623" s="3"/>
      <c r="AC623" s="3"/>
      <c r="AD623" s="3"/>
      <c r="AE623" s="3"/>
      <c r="AF623" s="3"/>
      <c r="AG623" s="3"/>
    </row>
    <row r="624">
      <c r="A624" s="2">
        <v>2018.0</v>
      </c>
      <c r="B624" s="2" t="s">
        <v>902</v>
      </c>
      <c r="D624" s="2" t="s">
        <v>728</v>
      </c>
      <c r="E624" s="2" t="s">
        <v>114</v>
      </c>
      <c r="F624" s="2">
        <v>86661.0</v>
      </c>
      <c r="I624" s="2">
        <v>0.0</v>
      </c>
      <c r="J624" s="2">
        <v>2051.0</v>
      </c>
      <c r="K624" s="2">
        <v>88712.0</v>
      </c>
      <c r="L624" s="2">
        <v>87000.0</v>
      </c>
      <c r="N624" s="2">
        <v>1712.0</v>
      </c>
      <c r="P624" s="3"/>
      <c r="Q624" s="3"/>
      <c r="R624" s="3"/>
      <c r="S624" s="3"/>
      <c r="T624" s="3"/>
      <c r="U624" s="3"/>
      <c r="V624" s="3"/>
      <c r="W624" s="3"/>
      <c r="X624" s="3"/>
      <c r="Y624" s="3"/>
      <c r="Z624" s="3"/>
      <c r="AA624" s="3"/>
      <c r="AB624" s="3"/>
      <c r="AC624" s="3"/>
      <c r="AD624" s="3"/>
      <c r="AE624" s="3"/>
      <c r="AF624" s="3"/>
      <c r="AG624" s="3"/>
    </row>
    <row r="625">
      <c r="A625" s="2">
        <v>2018.0</v>
      </c>
      <c r="B625" s="2" t="s">
        <v>902</v>
      </c>
      <c r="D625" s="2" t="s">
        <v>728</v>
      </c>
      <c r="E625" s="2" t="s">
        <v>743</v>
      </c>
      <c r="F625" s="2">
        <v>36378.0</v>
      </c>
      <c r="I625" s="2">
        <v>40400.0</v>
      </c>
      <c r="J625" s="2">
        <v>0.0</v>
      </c>
      <c r="K625" s="2">
        <v>76778.0</v>
      </c>
      <c r="L625" s="2">
        <v>0.0</v>
      </c>
      <c r="N625" s="2">
        <v>76778.0</v>
      </c>
      <c r="P625" s="3"/>
      <c r="Q625" s="3"/>
      <c r="R625" s="3"/>
      <c r="S625" s="3"/>
      <c r="T625" s="3"/>
      <c r="U625" s="3"/>
      <c r="V625" s="3"/>
      <c r="W625" s="3"/>
      <c r="X625" s="3"/>
      <c r="Y625" s="3"/>
      <c r="Z625" s="3"/>
      <c r="AA625" s="3"/>
      <c r="AB625" s="3"/>
      <c r="AC625" s="3"/>
      <c r="AD625" s="3"/>
      <c r="AE625" s="3"/>
      <c r="AF625" s="3"/>
      <c r="AG625" s="3"/>
    </row>
    <row r="626">
      <c r="A626" s="2">
        <v>2018.0</v>
      </c>
      <c r="B626" s="2" t="s">
        <v>902</v>
      </c>
      <c r="D626" s="2" t="s">
        <v>728</v>
      </c>
      <c r="E626" s="2" t="s">
        <v>32</v>
      </c>
      <c r="F626" s="2">
        <v>23350.0</v>
      </c>
      <c r="I626" s="2">
        <v>4000.0</v>
      </c>
      <c r="J626" s="2">
        <v>0.0</v>
      </c>
      <c r="K626" s="2">
        <v>27350.0</v>
      </c>
      <c r="L626" s="2">
        <v>6000.0</v>
      </c>
      <c r="N626" s="2">
        <v>21350.0</v>
      </c>
      <c r="P626" s="3"/>
      <c r="Q626" s="3"/>
      <c r="R626" s="3"/>
      <c r="S626" s="3"/>
      <c r="T626" s="3"/>
      <c r="U626" s="3"/>
      <c r="V626" s="3"/>
      <c r="W626" s="3"/>
      <c r="X626" s="3"/>
      <c r="Y626" s="3"/>
      <c r="Z626" s="3"/>
      <c r="AA626" s="3"/>
      <c r="AB626" s="3"/>
      <c r="AC626" s="3"/>
      <c r="AD626" s="3"/>
      <c r="AE626" s="3"/>
      <c r="AF626" s="3"/>
      <c r="AG626" s="3"/>
    </row>
    <row r="627">
      <c r="A627" s="2">
        <v>2018.0</v>
      </c>
      <c r="B627" s="2" t="s">
        <v>902</v>
      </c>
      <c r="D627" s="2" t="s">
        <v>750</v>
      </c>
      <c r="E627" s="2" t="s">
        <v>173</v>
      </c>
      <c r="F627" s="2">
        <v>331186.0</v>
      </c>
      <c r="I627" s="2">
        <v>251598.0</v>
      </c>
      <c r="J627" s="2">
        <v>0.0</v>
      </c>
      <c r="K627" s="2">
        <v>582784.0</v>
      </c>
      <c r="L627" s="2">
        <v>552900.0</v>
      </c>
      <c r="N627" s="2">
        <v>29884.0</v>
      </c>
      <c r="P627" s="3"/>
      <c r="Q627" s="3"/>
      <c r="R627" s="3"/>
      <c r="S627" s="3"/>
      <c r="T627" s="3"/>
      <c r="U627" s="3"/>
      <c r="V627" s="3"/>
      <c r="W627" s="3"/>
      <c r="X627" s="3"/>
      <c r="Y627" s="3"/>
      <c r="Z627" s="3"/>
      <c r="AA627" s="3"/>
      <c r="AB627" s="3"/>
      <c r="AC627" s="3"/>
      <c r="AD627" s="3"/>
      <c r="AE627" s="3"/>
      <c r="AF627" s="3"/>
      <c r="AG627" s="3"/>
    </row>
    <row r="628">
      <c r="A628" s="2">
        <v>2018.0</v>
      </c>
      <c r="B628" s="2" t="s">
        <v>902</v>
      </c>
      <c r="D628" s="2" t="s">
        <v>750</v>
      </c>
      <c r="E628" s="2" t="s">
        <v>507</v>
      </c>
      <c r="F628" s="2">
        <v>437704.0</v>
      </c>
      <c r="I628" s="2">
        <v>620600.0</v>
      </c>
      <c r="J628" s="2">
        <v>16855.0</v>
      </c>
      <c r="K628" s="2">
        <v>1075159.0</v>
      </c>
      <c r="L628" s="2">
        <v>455013.0</v>
      </c>
      <c r="N628" s="2">
        <v>620146.0</v>
      </c>
      <c r="P628" s="3"/>
      <c r="Q628" s="3"/>
      <c r="R628" s="3"/>
      <c r="S628" s="3"/>
      <c r="T628" s="3"/>
      <c r="U628" s="3"/>
      <c r="V628" s="3"/>
      <c r="W628" s="3"/>
      <c r="X628" s="3"/>
      <c r="Y628" s="3"/>
      <c r="Z628" s="3"/>
      <c r="AA628" s="3"/>
      <c r="AB628" s="3"/>
      <c r="AC628" s="3"/>
      <c r="AD628" s="3"/>
      <c r="AE628" s="3"/>
      <c r="AF628" s="3"/>
      <c r="AG628" s="3"/>
    </row>
    <row r="629">
      <c r="A629" s="2">
        <v>2018.0</v>
      </c>
      <c r="B629" s="2" t="s">
        <v>902</v>
      </c>
      <c r="D629" s="2" t="s">
        <v>750</v>
      </c>
      <c r="E629" s="2" t="s">
        <v>759</v>
      </c>
      <c r="F629" s="2">
        <v>663823.0</v>
      </c>
      <c r="I629" s="2">
        <v>1320627.0</v>
      </c>
      <c r="J629" s="2">
        <v>29585.0</v>
      </c>
      <c r="K629" s="2">
        <v>2014035.0</v>
      </c>
      <c r="L629" s="2">
        <v>410982.0</v>
      </c>
      <c r="N629" s="2">
        <v>1603053.0</v>
      </c>
      <c r="P629" s="3"/>
      <c r="Q629" s="3"/>
      <c r="R629" s="3"/>
      <c r="S629" s="3"/>
      <c r="T629" s="3"/>
      <c r="U629" s="3"/>
      <c r="V629" s="3"/>
      <c r="W629" s="3"/>
      <c r="X629" s="3"/>
      <c r="Y629" s="3"/>
      <c r="Z629" s="3"/>
      <c r="AA629" s="3"/>
      <c r="AB629" s="3"/>
      <c r="AC629" s="3"/>
      <c r="AD629" s="3"/>
      <c r="AE629" s="3"/>
      <c r="AF629" s="3"/>
      <c r="AG629" s="3"/>
    </row>
    <row r="630">
      <c r="A630" s="2">
        <v>2018.0</v>
      </c>
      <c r="B630" s="2" t="s">
        <v>902</v>
      </c>
      <c r="D630" s="2" t="s">
        <v>750</v>
      </c>
      <c r="E630" s="2" t="s">
        <v>32</v>
      </c>
      <c r="F630" s="2">
        <v>180161.0</v>
      </c>
      <c r="I630" s="2">
        <v>69728.0</v>
      </c>
      <c r="J630" s="2">
        <v>4563.0</v>
      </c>
      <c r="K630" s="2">
        <v>254452.0</v>
      </c>
      <c r="L630" s="2">
        <v>50000.0</v>
      </c>
      <c r="N630" s="2">
        <v>204452.0</v>
      </c>
      <c r="P630" s="3"/>
      <c r="Q630" s="3"/>
      <c r="R630" s="3"/>
      <c r="S630" s="3"/>
      <c r="T630" s="3"/>
      <c r="U630" s="3"/>
      <c r="V630" s="3"/>
      <c r="W630" s="3"/>
      <c r="X630" s="3"/>
      <c r="Y630" s="3"/>
      <c r="Z630" s="3"/>
      <c r="AA630" s="3"/>
      <c r="AB630" s="3"/>
      <c r="AC630" s="3"/>
      <c r="AD630" s="3"/>
      <c r="AE630" s="3"/>
      <c r="AF630" s="3"/>
      <c r="AG630" s="3"/>
    </row>
    <row r="631">
      <c r="A631" s="2">
        <v>2018.0</v>
      </c>
      <c r="B631" s="2" t="s">
        <v>902</v>
      </c>
      <c r="D631" s="2" t="s">
        <v>415</v>
      </c>
      <c r="E631" s="2" t="s">
        <v>759</v>
      </c>
      <c r="F631" s="2">
        <v>553620.0</v>
      </c>
      <c r="I631" s="2">
        <v>126000.0</v>
      </c>
      <c r="J631" s="2">
        <v>0.0</v>
      </c>
      <c r="K631" s="2">
        <v>679620.0</v>
      </c>
      <c r="L631" s="2">
        <v>677626.0</v>
      </c>
      <c r="N631" s="2">
        <v>1994.0</v>
      </c>
      <c r="P631" s="3"/>
      <c r="Q631" s="3"/>
      <c r="R631" s="3"/>
      <c r="S631" s="3"/>
      <c r="T631" s="3"/>
      <c r="U631" s="3"/>
      <c r="V631" s="3"/>
      <c r="W631" s="3"/>
      <c r="X631" s="3"/>
      <c r="Y631" s="3"/>
      <c r="Z631" s="3"/>
      <c r="AA631" s="3"/>
      <c r="AB631" s="3"/>
      <c r="AC631" s="3"/>
      <c r="AD631" s="3"/>
      <c r="AE631" s="3"/>
      <c r="AF631" s="3"/>
      <c r="AG631" s="3"/>
    </row>
    <row r="632">
      <c r="A632" s="2">
        <v>2018.0</v>
      </c>
      <c r="B632" s="2" t="s">
        <v>902</v>
      </c>
      <c r="D632" s="2" t="s">
        <v>415</v>
      </c>
      <c r="E632" s="2" t="s">
        <v>114</v>
      </c>
      <c r="F632" s="2">
        <v>4386.0</v>
      </c>
      <c r="I632" s="2">
        <v>0.0</v>
      </c>
      <c r="J632" s="2">
        <v>0.0</v>
      </c>
      <c r="K632" s="2">
        <v>4386.0</v>
      </c>
      <c r="L632" s="2">
        <v>0.0</v>
      </c>
      <c r="N632" s="2">
        <v>4386.0</v>
      </c>
      <c r="P632" s="3"/>
      <c r="Q632" s="3"/>
      <c r="R632" s="3"/>
      <c r="S632" s="3"/>
      <c r="T632" s="3"/>
      <c r="U632" s="3"/>
      <c r="V632" s="3"/>
      <c r="W632" s="3"/>
      <c r="X632" s="3"/>
      <c r="Y632" s="3"/>
      <c r="Z632" s="3"/>
      <c r="AA632" s="3"/>
      <c r="AB632" s="3"/>
      <c r="AC632" s="3"/>
      <c r="AD632" s="3"/>
      <c r="AE632" s="3"/>
      <c r="AF632" s="3"/>
      <c r="AG632" s="3"/>
    </row>
    <row r="633">
      <c r="A633" s="2">
        <v>2018.0</v>
      </c>
      <c r="B633" s="2" t="s">
        <v>902</v>
      </c>
      <c r="D633" s="2" t="s">
        <v>415</v>
      </c>
      <c r="E633" s="2" t="s">
        <v>767</v>
      </c>
      <c r="F633" s="2">
        <v>11248.0</v>
      </c>
      <c r="I633" s="2">
        <v>1098500.0</v>
      </c>
      <c r="J633" s="2">
        <v>4479.0</v>
      </c>
      <c r="K633" s="2">
        <v>1114227.0</v>
      </c>
      <c r="L633" s="2">
        <v>810832.0</v>
      </c>
      <c r="N633" s="2">
        <v>303395.0</v>
      </c>
      <c r="P633" s="3"/>
      <c r="Q633" s="3"/>
      <c r="R633" s="3"/>
      <c r="S633" s="3"/>
      <c r="T633" s="3"/>
      <c r="U633" s="3"/>
      <c r="V633" s="3"/>
      <c r="W633" s="3"/>
      <c r="X633" s="3"/>
      <c r="Y633" s="3"/>
      <c r="Z633" s="3"/>
      <c r="AA633" s="3"/>
      <c r="AB633" s="3"/>
      <c r="AC633" s="3"/>
      <c r="AD633" s="3"/>
      <c r="AE633" s="3"/>
      <c r="AF633" s="3"/>
      <c r="AG633" s="3"/>
    </row>
    <row r="634">
      <c r="A634" s="2">
        <v>2018.0</v>
      </c>
      <c r="B634" s="2" t="s">
        <v>902</v>
      </c>
      <c r="D634" s="2" t="s">
        <v>415</v>
      </c>
      <c r="E634" s="2" t="s">
        <v>32</v>
      </c>
      <c r="F634" s="2">
        <v>83197.0</v>
      </c>
      <c r="I634" s="2">
        <v>67234.0</v>
      </c>
      <c r="J634" s="2">
        <v>2178.0</v>
      </c>
      <c r="K634" s="2">
        <v>152609.0</v>
      </c>
      <c r="L634" s="2">
        <v>110114.0</v>
      </c>
      <c r="N634" s="2">
        <v>42495.0</v>
      </c>
      <c r="P634" s="3"/>
      <c r="Q634" s="3"/>
      <c r="R634" s="3"/>
      <c r="S634" s="3"/>
      <c r="T634" s="3"/>
      <c r="U634" s="3"/>
      <c r="V634" s="3"/>
      <c r="W634" s="3"/>
      <c r="X634" s="3"/>
      <c r="Y634" s="3"/>
      <c r="Z634" s="3"/>
      <c r="AA634" s="3"/>
      <c r="AB634" s="3"/>
      <c r="AC634" s="3"/>
      <c r="AD634" s="3"/>
      <c r="AE634" s="3"/>
      <c r="AF634" s="3"/>
      <c r="AG634" s="3"/>
    </row>
    <row r="635">
      <c r="A635" s="2">
        <v>2018.0</v>
      </c>
      <c r="B635" s="2" t="s">
        <v>902</v>
      </c>
      <c r="D635" s="2" t="s">
        <v>768</v>
      </c>
      <c r="E635" s="2" t="s">
        <v>460</v>
      </c>
      <c r="F635" s="2">
        <v>5523.0</v>
      </c>
      <c r="I635" s="2">
        <v>0.0</v>
      </c>
      <c r="J635" s="2">
        <v>219.0</v>
      </c>
      <c r="K635" s="2">
        <v>5742.0</v>
      </c>
      <c r="L635" s="2">
        <v>115.0</v>
      </c>
      <c r="N635" s="2">
        <v>5627.0</v>
      </c>
      <c r="P635" s="3"/>
      <c r="Q635" s="3"/>
      <c r="R635" s="3"/>
      <c r="S635" s="3"/>
      <c r="T635" s="3"/>
      <c r="U635" s="3"/>
      <c r="V635" s="3"/>
      <c r="W635" s="3"/>
      <c r="X635" s="3"/>
      <c r="Y635" s="3"/>
      <c r="Z635" s="3"/>
      <c r="AA635" s="3"/>
      <c r="AB635" s="3"/>
      <c r="AC635" s="3"/>
      <c r="AD635" s="3"/>
      <c r="AE635" s="3"/>
      <c r="AF635" s="3"/>
      <c r="AG635" s="3"/>
    </row>
    <row r="636">
      <c r="A636" s="2">
        <v>2018.0</v>
      </c>
      <c r="B636" s="2" t="s">
        <v>902</v>
      </c>
      <c r="D636" s="2" t="s">
        <v>768</v>
      </c>
      <c r="E636" s="2" t="s">
        <v>114</v>
      </c>
      <c r="F636" s="2">
        <v>54923.0</v>
      </c>
      <c r="I636" s="2">
        <v>483384.0</v>
      </c>
      <c r="J636" s="2">
        <v>2164.0</v>
      </c>
      <c r="K636" s="2">
        <v>540471.0</v>
      </c>
      <c r="L636" s="2">
        <v>534777.0</v>
      </c>
      <c r="N636" s="2">
        <v>5694.0</v>
      </c>
      <c r="P636" s="3"/>
      <c r="Q636" s="3"/>
      <c r="R636" s="3"/>
      <c r="S636" s="3"/>
      <c r="T636" s="3"/>
      <c r="U636" s="3"/>
      <c r="V636" s="3"/>
      <c r="W636" s="3"/>
      <c r="X636" s="3"/>
      <c r="Y636" s="3"/>
      <c r="Z636" s="3"/>
      <c r="AA636" s="3"/>
      <c r="AB636" s="3"/>
      <c r="AC636" s="3"/>
      <c r="AD636" s="3"/>
      <c r="AE636" s="3"/>
      <c r="AF636" s="3"/>
      <c r="AG636" s="3"/>
    </row>
    <row r="637">
      <c r="A637" s="2">
        <v>2018.0</v>
      </c>
      <c r="B637" s="2" t="s">
        <v>902</v>
      </c>
      <c r="D637" s="2" t="s">
        <v>768</v>
      </c>
      <c r="E637" s="2" t="s">
        <v>507</v>
      </c>
      <c r="F637" s="2">
        <v>253628.0</v>
      </c>
      <c r="I637" s="2">
        <v>125711.0</v>
      </c>
      <c r="J637" s="2">
        <v>961.0</v>
      </c>
      <c r="K637" s="2">
        <v>380300.0</v>
      </c>
      <c r="L637" s="2">
        <v>350480.0</v>
      </c>
      <c r="N637" s="2">
        <v>29820.0</v>
      </c>
      <c r="P637" s="3"/>
      <c r="Q637" s="3"/>
      <c r="R637" s="3"/>
      <c r="S637" s="3"/>
      <c r="T637" s="3"/>
      <c r="U637" s="3"/>
      <c r="V637" s="3"/>
      <c r="W637" s="3"/>
      <c r="X637" s="3"/>
      <c r="Y637" s="3"/>
      <c r="Z637" s="3"/>
      <c r="AA637" s="3"/>
      <c r="AB637" s="3"/>
      <c r="AC637" s="3"/>
      <c r="AD637" s="3"/>
      <c r="AE637" s="3"/>
      <c r="AF637" s="3"/>
      <c r="AG637" s="3"/>
    </row>
    <row r="638">
      <c r="A638" s="2">
        <v>2018.0</v>
      </c>
      <c r="B638" s="2" t="s">
        <v>902</v>
      </c>
      <c r="D638" s="2" t="s">
        <v>768</v>
      </c>
      <c r="E638" s="2" t="s">
        <v>759</v>
      </c>
      <c r="F638" s="2">
        <v>524705.0</v>
      </c>
      <c r="I638" s="2">
        <v>1455033.0</v>
      </c>
      <c r="J638" s="2">
        <v>7909.0</v>
      </c>
      <c r="K638" s="2">
        <v>1987647.0</v>
      </c>
      <c r="L638" s="2">
        <v>619638.0</v>
      </c>
      <c r="N638" s="2">
        <v>1368009.0</v>
      </c>
      <c r="P638" s="3"/>
      <c r="Q638" s="3"/>
      <c r="R638" s="3"/>
      <c r="S638" s="3"/>
      <c r="T638" s="3"/>
      <c r="U638" s="3"/>
      <c r="V638" s="3"/>
      <c r="W638" s="3"/>
      <c r="X638" s="3"/>
      <c r="Y638" s="3"/>
      <c r="Z638" s="3"/>
      <c r="AA638" s="3"/>
      <c r="AB638" s="3"/>
      <c r="AC638" s="3"/>
      <c r="AD638" s="3"/>
      <c r="AE638" s="3"/>
      <c r="AF638" s="3"/>
      <c r="AG638" s="3"/>
    </row>
    <row r="639">
      <c r="A639" s="2">
        <v>2018.0</v>
      </c>
      <c r="B639" s="2" t="s">
        <v>902</v>
      </c>
      <c r="D639" s="2" t="s">
        <v>769</v>
      </c>
      <c r="E639" s="2" t="s">
        <v>770</v>
      </c>
      <c r="F639" s="2">
        <v>1476551.0</v>
      </c>
      <c r="I639" s="2">
        <v>2070485.0</v>
      </c>
      <c r="J639" s="2">
        <v>40203.0</v>
      </c>
      <c r="K639" s="2">
        <v>3587239.0</v>
      </c>
      <c r="L639" s="2">
        <v>2371716.0</v>
      </c>
      <c r="N639" s="2">
        <v>1215523.0</v>
      </c>
      <c r="P639" s="3"/>
      <c r="Q639" s="3"/>
      <c r="R639" s="3"/>
      <c r="S639" s="3"/>
      <c r="T639" s="3"/>
      <c r="U639" s="3"/>
      <c r="V639" s="3"/>
      <c r="W639" s="3"/>
      <c r="X639" s="3"/>
      <c r="Y639" s="3"/>
      <c r="Z639" s="3"/>
      <c r="AA639" s="3"/>
      <c r="AB639" s="3"/>
      <c r="AC639" s="3"/>
      <c r="AD639" s="3"/>
      <c r="AE639" s="3"/>
      <c r="AF639" s="3"/>
      <c r="AG639" s="3"/>
    </row>
    <row r="640">
      <c r="A640" s="2">
        <v>2018.0</v>
      </c>
      <c r="B640" s="2" t="s">
        <v>902</v>
      </c>
      <c r="D640" s="2" t="s">
        <v>769</v>
      </c>
      <c r="E640" s="2" t="s">
        <v>114</v>
      </c>
      <c r="F640" s="2">
        <v>18374.0</v>
      </c>
      <c r="I640" s="2">
        <v>0.0</v>
      </c>
      <c r="J640" s="2">
        <v>734.0</v>
      </c>
      <c r="K640" s="2">
        <v>19108.0</v>
      </c>
      <c r="L640" s="2">
        <v>230.0</v>
      </c>
      <c r="N640" s="2">
        <v>18878.0</v>
      </c>
      <c r="P640" s="3"/>
      <c r="Q640" s="3"/>
      <c r="R640" s="3"/>
      <c r="S640" s="3"/>
      <c r="T640" s="3"/>
      <c r="U640" s="3"/>
      <c r="V640" s="3"/>
      <c r="W640" s="3"/>
      <c r="X640" s="3"/>
      <c r="Y640" s="3"/>
      <c r="Z640" s="3"/>
      <c r="AA640" s="3"/>
      <c r="AB640" s="3"/>
      <c r="AC640" s="3"/>
      <c r="AD640" s="3"/>
      <c r="AE640" s="3"/>
      <c r="AF640" s="3"/>
      <c r="AG640" s="3"/>
    </row>
    <row r="641">
      <c r="A641" s="2">
        <v>2018.0</v>
      </c>
      <c r="B641" s="2" t="s">
        <v>902</v>
      </c>
      <c r="D641" s="2" t="s">
        <v>769</v>
      </c>
      <c r="E641" s="2" t="s">
        <v>460</v>
      </c>
      <c r="F641" s="2">
        <v>2217.0</v>
      </c>
      <c r="I641" s="2">
        <v>0.0</v>
      </c>
      <c r="J641" s="2">
        <v>85.0</v>
      </c>
      <c r="K641" s="2">
        <v>2302.0</v>
      </c>
      <c r="L641" s="2">
        <v>115.0</v>
      </c>
      <c r="N641" s="2">
        <v>2187.0</v>
      </c>
      <c r="P641" s="3"/>
      <c r="Q641" s="3"/>
      <c r="R641" s="3"/>
      <c r="S641" s="3"/>
      <c r="T641" s="3"/>
      <c r="U641" s="3"/>
      <c r="V641" s="3"/>
      <c r="W641" s="3"/>
      <c r="X641" s="3"/>
      <c r="Y641" s="3"/>
      <c r="Z641" s="3"/>
      <c r="AA641" s="3"/>
      <c r="AB641" s="3"/>
      <c r="AC641" s="3"/>
      <c r="AD641" s="3"/>
      <c r="AE641" s="3"/>
      <c r="AF641" s="3"/>
      <c r="AG641" s="3"/>
    </row>
    <row r="642">
      <c r="A642" s="2">
        <v>2018.0</v>
      </c>
      <c r="B642" s="2" t="s">
        <v>902</v>
      </c>
      <c r="D642" s="2" t="s">
        <v>769</v>
      </c>
      <c r="E642" s="2" t="s">
        <v>32</v>
      </c>
      <c r="F642" s="2">
        <v>55517.0</v>
      </c>
      <c r="I642" s="2">
        <v>21036.0</v>
      </c>
      <c r="J642" s="2">
        <v>186.0</v>
      </c>
      <c r="K642" s="2">
        <v>76739.0</v>
      </c>
      <c r="L642" s="2">
        <v>60246.0</v>
      </c>
      <c r="N642" s="2">
        <v>16493.0</v>
      </c>
      <c r="P642" s="3"/>
      <c r="Q642" s="3"/>
      <c r="R642" s="3"/>
      <c r="S642" s="3"/>
      <c r="T642" s="3"/>
      <c r="U642" s="3"/>
      <c r="V642" s="3"/>
      <c r="W642" s="3"/>
      <c r="X642" s="3"/>
      <c r="Y642" s="3"/>
      <c r="Z642" s="3"/>
      <c r="AA642" s="3"/>
      <c r="AB642" s="3"/>
      <c r="AC642" s="3"/>
      <c r="AD642" s="3"/>
      <c r="AE642" s="3"/>
      <c r="AF642" s="3"/>
      <c r="AG642" s="3"/>
    </row>
    <row r="643">
      <c r="A643" s="2">
        <v>2018.0</v>
      </c>
      <c r="B643" s="2" t="s">
        <v>902</v>
      </c>
      <c r="D643" s="2" t="s">
        <v>773</v>
      </c>
      <c r="E643" s="2" t="s">
        <v>729</v>
      </c>
      <c r="F643" s="2">
        <v>849144.0</v>
      </c>
      <c r="I643" s="2">
        <v>546000.0</v>
      </c>
      <c r="J643" s="2">
        <v>22890.0</v>
      </c>
      <c r="K643" s="2">
        <v>1418034.0</v>
      </c>
      <c r="L643" s="2">
        <v>326898.0</v>
      </c>
      <c r="N643" s="2">
        <v>1091136.0</v>
      </c>
      <c r="P643" s="3"/>
      <c r="Q643" s="3"/>
      <c r="R643" s="3"/>
      <c r="S643" s="3"/>
      <c r="T643" s="3"/>
      <c r="U643" s="3"/>
      <c r="V643" s="3"/>
      <c r="W643" s="3"/>
      <c r="X643" s="3"/>
      <c r="Y643" s="3"/>
      <c r="Z643" s="3"/>
      <c r="AA643" s="3"/>
      <c r="AB643" s="3"/>
      <c r="AC643" s="3"/>
      <c r="AD643" s="3"/>
      <c r="AE643" s="3"/>
      <c r="AF643" s="3"/>
      <c r="AG643" s="3"/>
    </row>
    <row r="644">
      <c r="A644" s="2">
        <v>2018.0</v>
      </c>
      <c r="B644" s="2" t="s">
        <v>902</v>
      </c>
      <c r="D644" s="2" t="s">
        <v>773</v>
      </c>
      <c r="E644" s="2" t="s">
        <v>114</v>
      </c>
      <c r="F644" s="2">
        <v>40577.0</v>
      </c>
      <c r="I644" s="2">
        <v>473184.0</v>
      </c>
      <c r="J644" s="2">
        <v>2591.0</v>
      </c>
      <c r="K644" s="2">
        <v>516352.0</v>
      </c>
      <c r="L644" s="2">
        <v>487126.0</v>
      </c>
      <c r="N644" s="2">
        <v>29226.0</v>
      </c>
      <c r="P644" s="3"/>
      <c r="Q644" s="3"/>
      <c r="R644" s="3"/>
      <c r="S644" s="3"/>
      <c r="T644" s="3"/>
      <c r="U644" s="3"/>
      <c r="V644" s="3"/>
      <c r="W644" s="3"/>
      <c r="X644" s="3"/>
      <c r="Y644" s="3"/>
      <c r="Z644" s="3"/>
      <c r="AA644" s="3"/>
      <c r="AB644" s="3"/>
      <c r="AC644" s="3"/>
      <c r="AD644" s="3"/>
      <c r="AE644" s="3"/>
      <c r="AF644" s="3"/>
      <c r="AG644" s="3"/>
    </row>
    <row r="645">
      <c r="A645" s="2">
        <v>2018.0</v>
      </c>
      <c r="B645" s="2" t="s">
        <v>902</v>
      </c>
      <c r="D645" s="2" t="s">
        <v>773</v>
      </c>
      <c r="E645" s="2" t="s">
        <v>507</v>
      </c>
      <c r="F645" s="2">
        <v>33502.0</v>
      </c>
      <c r="I645" s="2">
        <v>172400.0</v>
      </c>
      <c r="J645" s="2">
        <v>3063.0</v>
      </c>
      <c r="K645" s="2">
        <v>208965.0</v>
      </c>
      <c r="L645" s="2">
        <v>117200.0</v>
      </c>
      <c r="N645" s="2">
        <v>91765.0</v>
      </c>
      <c r="P645" s="3"/>
      <c r="Q645" s="3"/>
      <c r="R645" s="3"/>
      <c r="S645" s="3"/>
      <c r="T645" s="3"/>
      <c r="U645" s="3"/>
      <c r="V645" s="3"/>
      <c r="W645" s="3"/>
      <c r="X645" s="3"/>
      <c r="Y645" s="3"/>
      <c r="Z645" s="3"/>
      <c r="AA645" s="3"/>
      <c r="AB645" s="3"/>
      <c r="AC645" s="3"/>
      <c r="AD645" s="3"/>
      <c r="AE645" s="3"/>
      <c r="AF645" s="3"/>
      <c r="AG645" s="3"/>
    </row>
    <row r="646">
      <c r="A646" s="2">
        <v>2018.0</v>
      </c>
      <c r="B646" s="2" t="s">
        <v>902</v>
      </c>
      <c r="D646" s="2" t="s">
        <v>773</v>
      </c>
      <c r="E646" s="2" t="s">
        <v>759</v>
      </c>
      <c r="F646" s="2">
        <v>0.0</v>
      </c>
      <c r="I646" s="2">
        <v>1069400.0</v>
      </c>
      <c r="J646" s="2">
        <v>3036.0</v>
      </c>
      <c r="K646" s="2">
        <v>1072436.0</v>
      </c>
      <c r="L646" s="2">
        <v>343250.0</v>
      </c>
      <c r="N646" s="2">
        <v>729186.0</v>
      </c>
      <c r="P646" s="3"/>
      <c r="Q646" s="3"/>
      <c r="R646" s="3"/>
      <c r="S646" s="3"/>
      <c r="T646" s="3"/>
      <c r="U646" s="3"/>
      <c r="V646" s="3"/>
      <c r="W646" s="3"/>
      <c r="X646" s="3"/>
      <c r="Y646" s="3"/>
      <c r="Z646" s="3"/>
      <c r="AA646" s="3"/>
      <c r="AB646" s="3"/>
      <c r="AC646" s="3"/>
      <c r="AD646" s="3"/>
      <c r="AE646" s="3"/>
      <c r="AF646" s="3"/>
      <c r="AG646" s="3"/>
    </row>
    <row r="647">
      <c r="A647" s="2">
        <v>2018.0</v>
      </c>
      <c r="B647" s="2" t="s">
        <v>902</v>
      </c>
      <c r="D647" s="2" t="s">
        <v>776</v>
      </c>
      <c r="E647" s="2" t="s">
        <v>173</v>
      </c>
      <c r="F647" s="2">
        <v>307088.0</v>
      </c>
      <c r="I647" s="2">
        <v>189306.0</v>
      </c>
      <c r="J647" s="2">
        <v>3917.0</v>
      </c>
      <c r="K647" s="2">
        <v>500311.0</v>
      </c>
      <c r="L647" s="2">
        <v>427900.0</v>
      </c>
      <c r="N647" s="2">
        <v>72411.0</v>
      </c>
      <c r="P647" s="3"/>
      <c r="Q647" s="3"/>
      <c r="R647" s="3"/>
      <c r="S647" s="3"/>
      <c r="T647" s="3"/>
      <c r="U647" s="3"/>
      <c r="V647" s="3"/>
      <c r="W647" s="3"/>
      <c r="X647" s="3"/>
      <c r="Y647" s="3"/>
      <c r="Z647" s="3"/>
      <c r="AA647" s="3"/>
      <c r="AB647" s="3"/>
      <c r="AC647" s="3"/>
      <c r="AD647" s="3"/>
      <c r="AE647" s="3"/>
      <c r="AF647" s="3"/>
      <c r="AG647" s="3"/>
    </row>
    <row r="648">
      <c r="A648" s="2">
        <v>2018.0</v>
      </c>
      <c r="B648" s="2" t="s">
        <v>902</v>
      </c>
      <c r="D648" s="2" t="s">
        <v>776</v>
      </c>
      <c r="E648" s="2" t="s">
        <v>114</v>
      </c>
      <c r="F648" s="2">
        <v>16010.0</v>
      </c>
      <c r="I648" s="2">
        <v>121806.0</v>
      </c>
      <c r="J648" s="2">
        <v>342.0</v>
      </c>
      <c r="K648" s="2">
        <v>138158.0</v>
      </c>
      <c r="L648" s="2">
        <v>137037.0</v>
      </c>
      <c r="N648" s="2">
        <v>1121.0</v>
      </c>
      <c r="P648" s="3"/>
      <c r="Q648" s="3"/>
      <c r="R648" s="3"/>
      <c r="S648" s="3"/>
      <c r="T648" s="3"/>
      <c r="U648" s="3"/>
      <c r="V648" s="3"/>
      <c r="W648" s="3"/>
      <c r="X648" s="3"/>
      <c r="Y648" s="3"/>
      <c r="Z648" s="3"/>
      <c r="AA648" s="3"/>
      <c r="AB648" s="3"/>
      <c r="AC648" s="3"/>
      <c r="AD648" s="3"/>
      <c r="AE648" s="3"/>
      <c r="AF648" s="3"/>
      <c r="AG648" s="3"/>
    </row>
    <row r="649">
      <c r="A649" s="2">
        <v>2018.0</v>
      </c>
      <c r="B649" s="2" t="s">
        <v>902</v>
      </c>
      <c r="D649" s="2" t="s">
        <v>776</v>
      </c>
      <c r="E649" s="2" t="s">
        <v>460</v>
      </c>
      <c r="F649" s="2">
        <v>12600.0</v>
      </c>
      <c r="I649" s="2">
        <v>0.0</v>
      </c>
      <c r="J649" s="2">
        <v>509.0</v>
      </c>
      <c r="K649" s="2">
        <v>13109.0</v>
      </c>
      <c r="L649" s="2">
        <v>0.0</v>
      </c>
      <c r="N649" s="2">
        <v>13109.0</v>
      </c>
      <c r="P649" s="3"/>
      <c r="Q649" s="3"/>
      <c r="R649" s="3"/>
      <c r="S649" s="3"/>
      <c r="T649" s="3"/>
      <c r="U649" s="3"/>
      <c r="V649" s="3"/>
      <c r="W649" s="3"/>
      <c r="X649" s="3"/>
      <c r="Y649" s="3"/>
      <c r="Z649" s="3"/>
      <c r="AA649" s="3"/>
      <c r="AB649" s="3"/>
      <c r="AC649" s="3"/>
      <c r="AD649" s="3"/>
      <c r="AE649" s="3"/>
      <c r="AF649" s="3"/>
      <c r="AG649" s="3"/>
    </row>
    <row r="650">
      <c r="A650" s="2">
        <v>2018.0</v>
      </c>
      <c r="B650" s="2" t="s">
        <v>902</v>
      </c>
      <c r="D650" s="2" t="s">
        <v>776</v>
      </c>
      <c r="E650" s="2" t="s">
        <v>56</v>
      </c>
      <c r="F650" s="2">
        <v>195741.0</v>
      </c>
      <c r="I650" s="2">
        <v>346200.0</v>
      </c>
      <c r="J650" s="2">
        <v>2926.0</v>
      </c>
      <c r="K650" s="2">
        <v>544867.0</v>
      </c>
      <c r="L650" s="2">
        <v>543862.0</v>
      </c>
      <c r="N650" s="2">
        <v>1005.0</v>
      </c>
      <c r="P650" s="3"/>
      <c r="Q650" s="3"/>
      <c r="R650" s="3"/>
      <c r="S650" s="3"/>
      <c r="T650" s="3"/>
      <c r="U650" s="3"/>
      <c r="V650" s="3"/>
      <c r="W650" s="3"/>
      <c r="X650" s="3"/>
      <c r="Y650" s="3"/>
      <c r="Z650" s="3"/>
      <c r="AA650" s="3"/>
      <c r="AB650" s="3"/>
      <c r="AC650" s="3"/>
      <c r="AD650" s="3"/>
      <c r="AE650" s="3"/>
      <c r="AF650" s="3"/>
      <c r="AG650" s="3"/>
    </row>
    <row r="651">
      <c r="A651" s="2">
        <v>2018.0</v>
      </c>
      <c r="B651" s="2" t="s">
        <v>902</v>
      </c>
      <c r="D651" s="2" t="s">
        <v>776</v>
      </c>
      <c r="E651" s="2" t="s">
        <v>32</v>
      </c>
      <c r="F651" s="2">
        <v>76188.0</v>
      </c>
      <c r="I651" s="2">
        <v>9825.0</v>
      </c>
      <c r="J651" s="2">
        <v>2189.0</v>
      </c>
      <c r="K651" s="2">
        <v>88202.0</v>
      </c>
      <c r="L651" s="2">
        <v>33000.0</v>
      </c>
      <c r="N651" s="2">
        <v>55202.0</v>
      </c>
      <c r="P651" s="3"/>
      <c r="Q651" s="3"/>
      <c r="R651" s="3"/>
      <c r="S651" s="3"/>
      <c r="T651" s="3"/>
      <c r="U651" s="3"/>
      <c r="V651" s="3"/>
      <c r="W651" s="3"/>
      <c r="X651" s="3"/>
      <c r="Y651" s="3"/>
      <c r="Z651" s="3"/>
      <c r="AA651" s="3"/>
      <c r="AB651" s="3"/>
      <c r="AC651" s="3"/>
      <c r="AD651" s="3"/>
      <c r="AE651" s="3"/>
      <c r="AF651" s="3"/>
      <c r="AG651" s="3"/>
    </row>
    <row r="652">
      <c r="A652" s="2">
        <v>2018.0</v>
      </c>
      <c r="B652" s="2" t="s">
        <v>902</v>
      </c>
      <c r="D652" s="2" t="s">
        <v>466</v>
      </c>
      <c r="E652" s="2" t="s">
        <v>852</v>
      </c>
      <c r="F652" s="2">
        <v>984.0</v>
      </c>
      <c r="I652" s="2">
        <v>741366.0</v>
      </c>
      <c r="J652" s="2">
        <v>2955.0</v>
      </c>
      <c r="K652" s="2">
        <v>745305.0</v>
      </c>
      <c r="L652" s="2">
        <v>694423.0</v>
      </c>
      <c r="N652" s="2">
        <v>50882.0</v>
      </c>
      <c r="P652" s="3"/>
      <c r="Q652" s="3"/>
      <c r="R652" s="3"/>
      <c r="S652" s="3"/>
      <c r="T652" s="3"/>
      <c r="U652" s="3"/>
      <c r="V652" s="3"/>
      <c r="W652" s="3"/>
      <c r="X652" s="3"/>
      <c r="Y652" s="3"/>
      <c r="Z652" s="3"/>
      <c r="AA652" s="3"/>
      <c r="AB652" s="3"/>
      <c r="AC652" s="3"/>
      <c r="AD652" s="3"/>
      <c r="AE652" s="3"/>
      <c r="AF652" s="3"/>
      <c r="AG652" s="3"/>
    </row>
    <row r="653">
      <c r="A653" s="2">
        <v>2018.0</v>
      </c>
      <c r="B653" s="2" t="s">
        <v>902</v>
      </c>
      <c r="D653" s="2" t="s">
        <v>466</v>
      </c>
      <c r="E653" s="2" t="s">
        <v>32</v>
      </c>
      <c r="F653" s="2">
        <v>110568.0</v>
      </c>
      <c r="I653" s="2">
        <v>93660.0</v>
      </c>
      <c r="J653" s="2">
        <v>1312.0</v>
      </c>
      <c r="K653" s="2">
        <v>205540.0</v>
      </c>
      <c r="L653" s="2">
        <v>139382.0</v>
      </c>
      <c r="N653" s="2">
        <v>66158.0</v>
      </c>
      <c r="P653" s="3"/>
      <c r="Q653" s="3"/>
      <c r="R653" s="3"/>
      <c r="S653" s="3"/>
      <c r="T653" s="3"/>
      <c r="U653" s="3"/>
      <c r="V653" s="3"/>
      <c r="W653" s="3"/>
      <c r="X653" s="3"/>
      <c r="Y653" s="3"/>
      <c r="Z653" s="3"/>
      <c r="AA653" s="3"/>
      <c r="AB653" s="3"/>
      <c r="AC653" s="3"/>
      <c r="AD653" s="3"/>
      <c r="AE653" s="3"/>
      <c r="AF653" s="3"/>
      <c r="AG653" s="3"/>
    </row>
    <row r="654">
      <c r="A654" s="2">
        <v>2018.0</v>
      </c>
      <c r="B654" s="2" t="s">
        <v>902</v>
      </c>
      <c r="D654" s="2" t="s">
        <v>466</v>
      </c>
      <c r="E654" s="2" t="s">
        <v>759</v>
      </c>
      <c r="F654" s="2">
        <v>284664.0</v>
      </c>
      <c r="I654" s="2">
        <v>1216627.0</v>
      </c>
      <c r="J654" s="2">
        <v>8897.0</v>
      </c>
      <c r="K654" s="2">
        <v>1510188.0</v>
      </c>
      <c r="L654" s="2">
        <v>39279.0</v>
      </c>
      <c r="N654" s="2">
        <v>1470909.0</v>
      </c>
      <c r="P654" s="3"/>
      <c r="Q654" s="3"/>
      <c r="R654" s="3"/>
      <c r="S654" s="3"/>
      <c r="T654" s="3"/>
      <c r="U654" s="3"/>
      <c r="V654" s="3"/>
      <c r="W654" s="3"/>
      <c r="X654" s="3"/>
      <c r="Y654" s="3"/>
      <c r="Z654" s="3"/>
      <c r="AA654" s="3"/>
      <c r="AB654" s="3"/>
      <c r="AC654" s="3"/>
      <c r="AD654" s="3"/>
      <c r="AE654" s="3"/>
      <c r="AF654" s="3"/>
      <c r="AG654" s="3"/>
    </row>
    <row r="655">
      <c r="A655" s="2">
        <v>2018.0</v>
      </c>
      <c r="B655" s="2" t="s">
        <v>902</v>
      </c>
      <c r="D655" s="2" t="s">
        <v>466</v>
      </c>
      <c r="E655" s="2" t="s">
        <v>114</v>
      </c>
      <c r="F655" s="2">
        <v>245718.0</v>
      </c>
      <c r="I655" s="2">
        <v>0.0</v>
      </c>
      <c r="J655" s="2">
        <v>2971.0</v>
      </c>
      <c r="K655" s="2">
        <v>248689.0</v>
      </c>
      <c r="L655" s="2">
        <v>204484.0</v>
      </c>
      <c r="N655" s="2">
        <v>44205.0</v>
      </c>
      <c r="P655" s="3"/>
      <c r="Q655" s="3"/>
      <c r="R655" s="3"/>
      <c r="S655" s="3"/>
      <c r="T655" s="3"/>
      <c r="U655" s="3"/>
      <c r="V655" s="3"/>
      <c r="W655" s="3"/>
      <c r="X655" s="3"/>
      <c r="Y655" s="3"/>
      <c r="Z655" s="3"/>
      <c r="AA655" s="3"/>
      <c r="AB655" s="3"/>
      <c r="AC655" s="3"/>
      <c r="AD655" s="3"/>
      <c r="AE655" s="3"/>
      <c r="AF655" s="3"/>
      <c r="AG655" s="3"/>
    </row>
    <row r="656">
      <c r="A656" s="2">
        <v>2018.0</v>
      </c>
      <c r="B656" s="2" t="s">
        <v>902</v>
      </c>
      <c r="D656" s="2" t="s">
        <v>466</v>
      </c>
      <c r="E656" s="2" t="s">
        <v>56</v>
      </c>
      <c r="F656" s="2">
        <v>0.0</v>
      </c>
      <c r="I656" s="2" t="s">
        <v>992</v>
      </c>
      <c r="J656" s="4">
        <v>2955.0</v>
      </c>
      <c r="K656" s="2" t="s">
        <v>994</v>
      </c>
      <c r="L656" s="2" t="s">
        <v>995</v>
      </c>
      <c r="N656" s="4">
        <v>49898.0</v>
      </c>
      <c r="P656" s="3"/>
      <c r="Q656" s="3"/>
      <c r="R656" s="3"/>
      <c r="S656" s="3"/>
      <c r="T656" s="3"/>
      <c r="U656" s="3"/>
      <c r="V656" s="3"/>
      <c r="W656" s="3"/>
      <c r="X656" s="3"/>
      <c r="Y656" s="3"/>
      <c r="Z656" s="3"/>
      <c r="AA656" s="3"/>
      <c r="AB656" s="3"/>
      <c r="AC656" s="3"/>
      <c r="AD656" s="3"/>
      <c r="AE656" s="3"/>
      <c r="AF656" s="3"/>
      <c r="AG656" s="3"/>
    </row>
    <row r="657">
      <c r="A657" s="2">
        <v>2018.0</v>
      </c>
      <c r="B657" s="2" t="s">
        <v>902</v>
      </c>
      <c r="D657" s="2" t="s">
        <v>466</v>
      </c>
      <c r="E657" s="2" t="s">
        <v>867</v>
      </c>
      <c r="F657" s="2">
        <v>0.0</v>
      </c>
      <c r="I657" s="2" t="s">
        <v>996</v>
      </c>
      <c r="J657" s="2">
        <v>0.0</v>
      </c>
      <c r="K657" s="2" t="s">
        <v>996</v>
      </c>
      <c r="L657" s="2" t="s">
        <v>996</v>
      </c>
      <c r="N657" s="2">
        <v>0.0</v>
      </c>
      <c r="P657" s="3"/>
      <c r="Q657" s="3"/>
      <c r="R657" s="3"/>
      <c r="S657" s="3"/>
      <c r="T657" s="3"/>
      <c r="U657" s="3"/>
      <c r="V657" s="3"/>
      <c r="W657" s="3"/>
      <c r="X657" s="3"/>
      <c r="Y657" s="3"/>
      <c r="Z657" s="3"/>
      <c r="AA657" s="3"/>
      <c r="AB657" s="3"/>
      <c r="AC657" s="3"/>
      <c r="AD657" s="3"/>
      <c r="AE657" s="3"/>
      <c r="AF657" s="3"/>
      <c r="AG657" s="3"/>
    </row>
    <row r="658">
      <c r="A658" s="2">
        <v>2018.0</v>
      </c>
      <c r="B658" s="2" t="s">
        <v>902</v>
      </c>
      <c r="D658" s="2" t="s">
        <v>466</v>
      </c>
      <c r="E658" s="2" t="s">
        <v>997</v>
      </c>
      <c r="F658" s="2">
        <v>0.0</v>
      </c>
      <c r="I658" s="4">
        <v>33000.0</v>
      </c>
      <c r="J658" s="2">
        <v>0.0</v>
      </c>
      <c r="K658" s="4">
        <v>33000.0</v>
      </c>
      <c r="L658" s="4">
        <v>33000.0</v>
      </c>
      <c r="N658" s="2">
        <v>0.0</v>
      </c>
      <c r="P658" s="3"/>
      <c r="Q658" s="3"/>
      <c r="R658" s="3"/>
      <c r="S658" s="3"/>
      <c r="T658" s="3"/>
      <c r="U658" s="3"/>
      <c r="V658" s="3"/>
      <c r="W658" s="3"/>
      <c r="X658" s="3"/>
      <c r="Y658" s="3"/>
      <c r="Z658" s="3"/>
      <c r="AA658" s="3"/>
      <c r="AB658" s="3"/>
      <c r="AC658" s="3"/>
      <c r="AD658" s="3"/>
      <c r="AE658" s="3"/>
      <c r="AF658" s="3"/>
      <c r="AG658" s="3"/>
    </row>
    <row r="659">
      <c r="A659" s="2">
        <v>2018.0</v>
      </c>
      <c r="B659" s="2" t="s">
        <v>902</v>
      </c>
      <c r="D659" s="2" t="s">
        <v>466</v>
      </c>
      <c r="E659" s="2" t="s">
        <v>460</v>
      </c>
      <c r="F659" s="4">
        <v>11271.0</v>
      </c>
      <c r="I659" s="2">
        <v>0.0</v>
      </c>
      <c r="J659" s="2">
        <v>233.0</v>
      </c>
      <c r="K659" s="4">
        <v>11504.0</v>
      </c>
      <c r="L659" s="4">
        <v>6600.0</v>
      </c>
      <c r="N659" s="4">
        <v>4904.0</v>
      </c>
      <c r="P659" s="3"/>
      <c r="Q659" s="3"/>
      <c r="R659" s="3"/>
      <c r="S659" s="3"/>
      <c r="T659" s="3"/>
      <c r="U659" s="3"/>
      <c r="V659" s="3"/>
      <c r="W659" s="3"/>
      <c r="X659" s="3"/>
      <c r="Y659" s="3"/>
      <c r="Z659" s="3"/>
      <c r="AA659" s="3"/>
      <c r="AB659" s="3"/>
      <c r="AC659" s="3"/>
      <c r="AD659" s="3"/>
      <c r="AE659" s="3"/>
      <c r="AF659" s="3"/>
      <c r="AG659" s="3"/>
    </row>
    <row r="660">
      <c r="A660" s="2">
        <v>2018.0</v>
      </c>
      <c r="B660" s="2" t="s">
        <v>902</v>
      </c>
      <c r="D660" s="2" t="s">
        <v>472</v>
      </c>
      <c r="E660" s="2" t="s">
        <v>114</v>
      </c>
      <c r="F660" s="2">
        <v>13303.0</v>
      </c>
      <c r="I660" s="2">
        <v>0.0</v>
      </c>
      <c r="J660" s="2">
        <v>222.0</v>
      </c>
      <c r="K660" s="2">
        <v>13525.0</v>
      </c>
      <c r="L660" s="2">
        <v>12000.0</v>
      </c>
      <c r="N660" s="2">
        <v>1525.0</v>
      </c>
      <c r="P660" s="3"/>
      <c r="Q660" s="3"/>
      <c r="R660" s="3"/>
      <c r="S660" s="3"/>
      <c r="T660" s="3"/>
      <c r="U660" s="3"/>
      <c r="V660" s="3"/>
      <c r="W660" s="3"/>
      <c r="X660" s="3"/>
      <c r="Y660" s="3"/>
      <c r="Z660" s="3"/>
      <c r="AA660" s="3"/>
      <c r="AB660" s="3"/>
      <c r="AC660" s="3"/>
      <c r="AD660" s="3"/>
      <c r="AE660" s="3"/>
      <c r="AF660" s="3"/>
      <c r="AG660" s="3"/>
    </row>
    <row r="661">
      <c r="A661" s="2">
        <v>2018.0</v>
      </c>
      <c r="B661" s="2" t="s">
        <v>902</v>
      </c>
      <c r="D661" s="2" t="s">
        <v>472</v>
      </c>
      <c r="E661" s="2" t="s">
        <v>460</v>
      </c>
      <c r="F661" s="2">
        <v>3941.0</v>
      </c>
      <c r="I661" s="2">
        <v>0.0</v>
      </c>
      <c r="J661" s="2">
        <v>0.0</v>
      </c>
      <c r="K661" s="2">
        <v>3941.0</v>
      </c>
      <c r="L661" s="2">
        <v>0.0</v>
      </c>
      <c r="N661" s="2">
        <v>3941.0</v>
      </c>
      <c r="P661" s="3"/>
      <c r="Q661" s="3"/>
      <c r="R661" s="3"/>
      <c r="S661" s="3"/>
      <c r="T661" s="3"/>
      <c r="U661" s="3"/>
      <c r="V661" s="3"/>
      <c r="W661" s="3"/>
      <c r="X661" s="3"/>
      <c r="Y661" s="3"/>
      <c r="Z661" s="3"/>
      <c r="AA661" s="3"/>
      <c r="AB661" s="3"/>
      <c r="AC661" s="3"/>
      <c r="AD661" s="3"/>
      <c r="AE661" s="3"/>
      <c r="AF661" s="3"/>
      <c r="AG661" s="3"/>
    </row>
    <row r="662">
      <c r="A662" s="2">
        <v>2018.0</v>
      </c>
      <c r="B662" s="2" t="s">
        <v>902</v>
      </c>
      <c r="D662" s="2" t="s">
        <v>472</v>
      </c>
      <c r="E662" s="2" t="s">
        <v>173</v>
      </c>
      <c r="F662" s="2">
        <v>65418.0</v>
      </c>
      <c r="I662" s="2">
        <v>1328900.0</v>
      </c>
      <c r="J662" s="2">
        <v>6609.0</v>
      </c>
      <c r="K662" s="2">
        <v>1400927.0</v>
      </c>
      <c r="L662" s="2">
        <v>420475.0</v>
      </c>
      <c r="N662" s="2">
        <v>980452.0</v>
      </c>
      <c r="P662" s="3"/>
      <c r="Q662" s="3"/>
      <c r="R662" s="3"/>
      <c r="S662" s="3"/>
      <c r="T662" s="3"/>
      <c r="U662" s="3"/>
      <c r="V662" s="3"/>
      <c r="W662" s="3"/>
      <c r="X662" s="3"/>
      <c r="Y662" s="3"/>
      <c r="Z662" s="3"/>
      <c r="AA662" s="3"/>
      <c r="AB662" s="3"/>
      <c r="AC662" s="3"/>
      <c r="AD662" s="3"/>
      <c r="AE662" s="3"/>
      <c r="AF662" s="3"/>
      <c r="AG662" s="3"/>
    </row>
    <row r="663">
      <c r="A663" s="2">
        <v>2018.0</v>
      </c>
      <c r="B663" s="2" t="s">
        <v>902</v>
      </c>
      <c r="D663" s="2" t="s">
        <v>472</v>
      </c>
      <c r="E663" s="2" t="s">
        <v>56</v>
      </c>
      <c r="F663" s="2">
        <v>1000.0</v>
      </c>
      <c r="I663" s="2">
        <v>769311.0</v>
      </c>
      <c r="J663" s="2">
        <v>1738.0</v>
      </c>
      <c r="K663" s="2">
        <v>772049.0</v>
      </c>
      <c r="L663" s="2">
        <v>701206.0</v>
      </c>
      <c r="N663" s="2">
        <v>70843.0</v>
      </c>
      <c r="P663" s="3"/>
      <c r="Q663" s="3"/>
      <c r="R663" s="3"/>
      <c r="S663" s="3"/>
      <c r="T663" s="3"/>
      <c r="U663" s="3"/>
      <c r="V663" s="3"/>
      <c r="W663" s="3"/>
      <c r="X663" s="3"/>
      <c r="Y663" s="3"/>
      <c r="Z663" s="3"/>
      <c r="AA663" s="3"/>
      <c r="AB663" s="3"/>
      <c r="AC663" s="3"/>
      <c r="AD663" s="3"/>
      <c r="AE663" s="3"/>
      <c r="AF663" s="3"/>
      <c r="AG663" s="3"/>
    </row>
    <row r="664">
      <c r="A664" s="2">
        <v>2018.0</v>
      </c>
      <c r="B664" s="2" t="s">
        <v>902</v>
      </c>
      <c r="D664" s="2" t="s">
        <v>474</v>
      </c>
      <c r="E664" s="2" t="s">
        <v>56</v>
      </c>
      <c r="F664" s="2">
        <v>1041.0</v>
      </c>
      <c r="I664" s="2">
        <v>1465517.0</v>
      </c>
      <c r="J664" s="2">
        <v>5432.0</v>
      </c>
      <c r="K664" s="2">
        <v>1471990.0</v>
      </c>
      <c r="L664" s="2">
        <v>1114331.0</v>
      </c>
      <c r="N664" s="2">
        <v>357659.0</v>
      </c>
      <c r="P664" s="3"/>
      <c r="Q664" s="3"/>
      <c r="R664" s="3"/>
      <c r="S664" s="3"/>
      <c r="T664" s="3"/>
      <c r="U664" s="3"/>
      <c r="V664" s="3"/>
      <c r="W664" s="3"/>
      <c r="X664" s="3"/>
      <c r="Y664" s="3"/>
      <c r="Z664" s="3"/>
      <c r="AA664" s="3"/>
      <c r="AB664" s="3"/>
      <c r="AC664" s="3"/>
      <c r="AD664" s="3"/>
      <c r="AE664" s="3"/>
      <c r="AF664" s="3"/>
      <c r="AG664" s="3"/>
    </row>
    <row r="665">
      <c r="A665" s="2">
        <v>2018.0</v>
      </c>
      <c r="B665" s="2" t="s">
        <v>902</v>
      </c>
      <c r="D665" s="2" t="s">
        <v>474</v>
      </c>
      <c r="E665" s="2" t="s">
        <v>114</v>
      </c>
      <c r="F665" s="2">
        <v>7293.0</v>
      </c>
      <c r="I665" s="2">
        <v>0.0</v>
      </c>
      <c r="J665" s="2">
        <v>298.0</v>
      </c>
      <c r="K665" s="2">
        <v>7588.0</v>
      </c>
      <c r="L665" s="2">
        <v>0.0</v>
      </c>
      <c r="N665" s="2">
        <v>7588.0</v>
      </c>
      <c r="P665" s="3"/>
      <c r="Q665" s="3"/>
      <c r="R665" s="3"/>
      <c r="S665" s="3"/>
      <c r="T665" s="3"/>
      <c r="U665" s="3"/>
      <c r="V665" s="3"/>
      <c r="W665" s="3"/>
      <c r="X665" s="3"/>
      <c r="Y665" s="3"/>
      <c r="Z665" s="3"/>
      <c r="AA665" s="3"/>
      <c r="AB665" s="3"/>
      <c r="AC665" s="3"/>
      <c r="AD665" s="3"/>
      <c r="AE665" s="3"/>
      <c r="AF665" s="3"/>
      <c r="AG665" s="3"/>
    </row>
    <row r="666">
      <c r="A666" s="2">
        <v>2018.0</v>
      </c>
      <c r="B666" s="2" t="s">
        <v>902</v>
      </c>
      <c r="D666" s="2" t="s">
        <v>474</v>
      </c>
      <c r="E666" s="2" t="s">
        <v>173</v>
      </c>
      <c r="F666" s="2">
        <v>689750.0</v>
      </c>
      <c r="I666" s="2">
        <v>1644000.0</v>
      </c>
      <c r="J666" s="2">
        <v>13739.0</v>
      </c>
      <c r="K666" s="2">
        <v>2347489.0</v>
      </c>
      <c r="L666" s="2">
        <v>784837.0</v>
      </c>
      <c r="N666" s="2">
        <v>1562652.0</v>
      </c>
      <c r="P666" s="3"/>
      <c r="Q666" s="3"/>
      <c r="R666" s="3"/>
      <c r="S666" s="3"/>
      <c r="T666" s="3"/>
      <c r="U666" s="3"/>
      <c r="V666" s="3"/>
      <c r="W666" s="3"/>
      <c r="X666" s="3"/>
      <c r="Y666" s="3"/>
      <c r="Z666" s="3"/>
      <c r="AA666" s="3"/>
      <c r="AB666" s="3"/>
      <c r="AC666" s="3"/>
      <c r="AD666" s="3"/>
      <c r="AE666" s="3"/>
      <c r="AF666" s="3"/>
      <c r="AG666" s="3"/>
    </row>
    <row r="667">
      <c r="A667" s="2">
        <v>2018.0</v>
      </c>
      <c r="B667" s="2" t="s">
        <v>902</v>
      </c>
      <c r="D667" s="2" t="s">
        <v>474</v>
      </c>
      <c r="E667" s="2" t="s">
        <v>32</v>
      </c>
      <c r="F667" s="2">
        <v>28388.0</v>
      </c>
      <c r="I667" s="2">
        <v>147870.0</v>
      </c>
      <c r="J667" s="2">
        <v>337.0</v>
      </c>
      <c r="K667" s="2">
        <v>176595.0</v>
      </c>
      <c r="L667" s="2">
        <v>62843.0</v>
      </c>
      <c r="N667" s="2">
        <v>981.0</v>
      </c>
      <c r="P667" s="3"/>
      <c r="Q667" s="3"/>
      <c r="R667" s="3"/>
      <c r="S667" s="3"/>
      <c r="T667" s="3"/>
      <c r="U667" s="3"/>
      <c r="V667" s="3"/>
      <c r="W667" s="3"/>
      <c r="X667" s="3"/>
      <c r="Y667" s="3"/>
      <c r="Z667" s="3"/>
      <c r="AA667" s="3"/>
      <c r="AB667" s="3"/>
      <c r="AC667" s="3"/>
      <c r="AD667" s="3"/>
      <c r="AE667" s="3"/>
      <c r="AF667" s="3"/>
      <c r="AG667" s="3"/>
    </row>
    <row r="668">
      <c r="A668" s="2">
        <v>2018.0</v>
      </c>
      <c r="B668" s="2" t="s">
        <v>902</v>
      </c>
      <c r="D668" s="2" t="s">
        <v>474</v>
      </c>
      <c r="E668" s="2" t="s">
        <v>460</v>
      </c>
      <c r="F668" s="2">
        <v>52449.0</v>
      </c>
      <c r="I668" s="2">
        <v>0.0</v>
      </c>
      <c r="J668" s="2">
        <v>1219.0</v>
      </c>
      <c r="K668" s="2">
        <v>53668.0</v>
      </c>
      <c r="L668" s="2">
        <v>173.0</v>
      </c>
      <c r="N668" s="2">
        <v>54395.0</v>
      </c>
      <c r="P668" s="3"/>
      <c r="Q668" s="3"/>
      <c r="R668" s="3"/>
      <c r="S668" s="3"/>
      <c r="T668" s="3"/>
      <c r="U668" s="3"/>
      <c r="V668" s="3"/>
      <c r="W668" s="3"/>
      <c r="X668" s="3"/>
      <c r="Y668" s="3"/>
      <c r="Z668" s="3"/>
      <c r="AA668" s="3"/>
      <c r="AB668" s="3"/>
      <c r="AC668" s="3"/>
      <c r="AD668" s="3"/>
      <c r="AE668" s="3"/>
      <c r="AF668" s="3"/>
      <c r="AG668" s="3"/>
    </row>
    <row r="669">
      <c r="A669" s="2">
        <v>2018.0</v>
      </c>
      <c r="B669" s="2" t="s">
        <v>902</v>
      </c>
      <c r="D669" s="2" t="s">
        <v>475</v>
      </c>
      <c r="E669" s="2" t="s">
        <v>173</v>
      </c>
      <c r="F669" s="2">
        <v>897022.0</v>
      </c>
      <c r="I669" s="2">
        <v>0.0</v>
      </c>
      <c r="J669" s="2">
        <v>28444.0</v>
      </c>
      <c r="K669" s="2">
        <v>925466.0</v>
      </c>
      <c r="L669" s="2">
        <v>612751.0</v>
      </c>
      <c r="N669" s="2">
        <v>312715.0</v>
      </c>
      <c r="P669" s="3"/>
      <c r="Q669" s="3"/>
      <c r="R669" s="3"/>
      <c r="S669" s="3"/>
      <c r="T669" s="3"/>
      <c r="U669" s="3"/>
      <c r="V669" s="3"/>
      <c r="W669" s="3"/>
      <c r="X669" s="3"/>
      <c r="Y669" s="3"/>
      <c r="Z669" s="3"/>
      <c r="AA669" s="3"/>
      <c r="AB669" s="3"/>
      <c r="AC669" s="3"/>
      <c r="AD669" s="3"/>
      <c r="AE669" s="3"/>
      <c r="AF669" s="3"/>
      <c r="AG669" s="3"/>
    </row>
    <row r="670">
      <c r="A670" s="2">
        <v>2018.0</v>
      </c>
      <c r="B670" s="2" t="s">
        <v>902</v>
      </c>
      <c r="D670" s="2" t="s">
        <v>475</v>
      </c>
      <c r="E670" s="2" t="s">
        <v>114</v>
      </c>
      <c r="F670" s="2">
        <v>132948.0</v>
      </c>
      <c r="I670" s="2">
        <v>0.0</v>
      </c>
      <c r="J670" s="2">
        <v>4988.0</v>
      </c>
      <c r="K670" s="2">
        <v>137936.0</v>
      </c>
      <c r="L670" s="2">
        <v>33736.0</v>
      </c>
      <c r="N670" s="2">
        <v>104200.0</v>
      </c>
      <c r="P670" s="3"/>
      <c r="Q670" s="3"/>
      <c r="R670" s="3"/>
      <c r="S670" s="3"/>
      <c r="T670" s="3"/>
      <c r="U670" s="3"/>
      <c r="V670" s="3"/>
      <c r="W670" s="3"/>
      <c r="X670" s="3"/>
      <c r="Y670" s="3"/>
      <c r="Z670" s="3"/>
      <c r="AA670" s="3"/>
      <c r="AB670" s="3"/>
      <c r="AC670" s="3"/>
      <c r="AD670" s="3"/>
      <c r="AE670" s="3"/>
      <c r="AF670" s="3"/>
      <c r="AG670" s="3"/>
    </row>
    <row r="671">
      <c r="A671" s="2">
        <v>2018.0</v>
      </c>
      <c r="B671" s="2" t="s">
        <v>902</v>
      </c>
      <c r="D671" s="2" t="s">
        <v>475</v>
      </c>
      <c r="E671" s="2" t="s">
        <v>56</v>
      </c>
      <c r="F671" s="2">
        <v>137892.0</v>
      </c>
      <c r="I671" s="2">
        <v>1098370.0</v>
      </c>
      <c r="J671" s="2">
        <v>8632.0</v>
      </c>
      <c r="K671" s="2">
        <v>1244894.0</v>
      </c>
      <c r="L671" s="2">
        <v>758233.0</v>
      </c>
      <c r="N671" s="2">
        <v>486661.0</v>
      </c>
      <c r="P671" s="3"/>
      <c r="Q671" s="3"/>
      <c r="R671" s="3"/>
      <c r="S671" s="3"/>
      <c r="T671" s="3"/>
      <c r="U671" s="3"/>
      <c r="V671" s="3"/>
      <c r="W671" s="3"/>
      <c r="X671" s="3"/>
      <c r="Y671" s="3"/>
      <c r="Z671" s="3"/>
      <c r="AA671" s="3"/>
      <c r="AB671" s="3"/>
      <c r="AC671" s="3"/>
      <c r="AD671" s="3"/>
      <c r="AE671" s="3"/>
      <c r="AF671" s="3"/>
      <c r="AG671" s="3"/>
    </row>
    <row r="672">
      <c r="A672" s="2">
        <v>2018.0</v>
      </c>
      <c r="B672" s="2" t="s">
        <v>902</v>
      </c>
      <c r="D672" s="2" t="s">
        <v>480</v>
      </c>
      <c r="E672" s="2" t="s">
        <v>56</v>
      </c>
      <c r="F672" s="2">
        <v>1004.0</v>
      </c>
      <c r="I672" s="2">
        <v>1343717.0</v>
      </c>
      <c r="J672" s="2">
        <v>5246.0</v>
      </c>
      <c r="K672" s="2">
        <v>1349967.0</v>
      </c>
      <c r="L672" s="2">
        <v>1072487.0</v>
      </c>
      <c r="N672" s="2">
        <v>277480.0</v>
      </c>
      <c r="P672" s="3"/>
      <c r="Q672" s="3"/>
      <c r="R672" s="3"/>
      <c r="S672" s="3"/>
      <c r="T672" s="3"/>
      <c r="U672" s="3"/>
      <c r="V672" s="3"/>
      <c r="W672" s="3"/>
      <c r="X672" s="3"/>
      <c r="Y672" s="3"/>
      <c r="Z672" s="3"/>
      <c r="AA672" s="3"/>
      <c r="AB672" s="3"/>
      <c r="AC672" s="3"/>
      <c r="AD672" s="3"/>
      <c r="AE672" s="3"/>
      <c r="AF672" s="3"/>
      <c r="AG672" s="3"/>
    </row>
    <row r="673">
      <c r="A673" s="2">
        <v>2018.0</v>
      </c>
      <c r="B673" s="2" t="s">
        <v>902</v>
      </c>
      <c r="D673" s="2" t="s">
        <v>480</v>
      </c>
      <c r="E673" s="2" t="s">
        <v>114</v>
      </c>
      <c r="F673" s="2">
        <v>70753.0</v>
      </c>
      <c r="I673" s="2">
        <v>0.0</v>
      </c>
      <c r="J673" s="2">
        <v>790.0</v>
      </c>
      <c r="K673" s="2">
        <v>71543.0</v>
      </c>
      <c r="L673" s="2">
        <v>68477.0</v>
      </c>
      <c r="N673" s="2">
        <v>3066.0</v>
      </c>
      <c r="P673" s="3"/>
      <c r="Q673" s="3"/>
      <c r="R673" s="3"/>
      <c r="S673" s="3"/>
      <c r="T673" s="3"/>
      <c r="U673" s="3"/>
      <c r="V673" s="3"/>
      <c r="W673" s="3"/>
      <c r="X673" s="3"/>
      <c r="Y673" s="3"/>
      <c r="Z673" s="3"/>
      <c r="AA673" s="3"/>
      <c r="AB673" s="3"/>
      <c r="AC673" s="3"/>
      <c r="AD673" s="3"/>
      <c r="AE673" s="3"/>
      <c r="AF673" s="3"/>
      <c r="AG673" s="3"/>
    </row>
    <row r="674">
      <c r="A674" s="2">
        <v>2018.0</v>
      </c>
      <c r="B674" s="2" t="s">
        <v>902</v>
      </c>
      <c r="D674" s="2" t="s">
        <v>480</v>
      </c>
      <c r="E674" s="2" t="s">
        <v>469</v>
      </c>
      <c r="F674" s="2">
        <v>237302.0</v>
      </c>
      <c r="I674" s="2">
        <v>1526000.0</v>
      </c>
      <c r="J674" s="2">
        <v>10125.0</v>
      </c>
      <c r="K674" s="2">
        <v>1773427.0</v>
      </c>
      <c r="L674" s="2">
        <v>273569.0</v>
      </c>
      <c r="N674" s="2">
        <v>1499858.0</v>
      </c>
      <c r="P674" s="3"/>
      <c r="Q674" s="3"/>
      <c r="R674" s="3"/>
      <c r="S674" s="3"/>
      <c r="T674" s="3"/>
      <c r="U674" s="3"/>
      <c r="V674" s="3"/>
      <c r="W674" s="3"/>
      <c r="X674" s="3"/>
      <c r="Y674" s="3"/>
      <c r="Z674" s="3"/>
      <c r="AA674" s="3"/>
      <c r="AB674" s="3"/>
      <c r="AC674" s="3"/>
      <c r="AD674" s="3"/>
      <c r="AE674" s="3"/>
      <c r="AF674" s="3"/>
      <c r="AG674" s="3"/>
    </row>
    <row r="675">
      <c r="A675" s="2">
        <v>2018.0</v>
      </c>
      <c r="B675" s="2" t="s">
        <v>902</v>
      </c>
      <c r="D675" s="2" t="s">
        <v>480</v>
      </c>
      <c r="E675" s="2" t="s">
        <v>460</v>
      </c>
      <c r="F675" s="2">
        <v>6350.0</v>
      </c>
      <c r="I675" s="2">
        <v>0.0</v>
      </c>
      <c r="J675" s="2">
        <v>256.0</v>
      </c>
      <c r="K675" s="2">
        <v>6606.0</v>
      </c>
      <c r="L675" s="2">
        <v>23.0</v>
      </c>
      <c r="N675" s="2">
        <v>6583.0</v>
      </c>
      <c r="P675" s="3"/>
      <c r="Q675" s="3"/>
      <c r="R675" s="3"/>
      <c r="S675" s="3"/>
      <c r="T675" s="3"/>
      <c r="U675" s="3"/>
      <c r="V675" s="3"/>
      <c r="W675" s="3"/>
      <c r="X675" s="3"/>
      <c r="Y675" s="3"/>
      <c r="Z675" s="3"/>
      <c r="AA675" s="3"/>
      <c r="AB675" s="3"/>
      <c r="AC675" s="3"/>
      <c r="AD675" s="3"/>
      <c r="AE675" s="3"/>
      <c r="AF675" s="3"/>
      <c r="AG675" s="3"/>
    </row>
    <row r="676">
      <c r="A676" s="2">
        <v>2018.0</v>
      </c>
      <c r="B676" s="2" t="s">
        <v>902</v>
      </c>
      <c r="D676" s="2" t="s">
        <v>480</v>
      </c>
      <c r="E676" s="2" t="s">
        <v>32</v>
      </c>
      <c r="F676" s="2">
        <v>27461.0</v>
      </c>
      <c r="I676" s="2">
        <v>109418.0</v>
      </c>
      <c r="J676" s="2">
        <v>1121.0</v>
      </c>
      <c r="K676" s="2">
        <v>138000.0</v>
      </c>
      <c r="L676" s="2">
        <v>129398.0</v>
      </c>
      <c r="N676" s="2">
        <v>8602.0</v>
      </c>
      <c r="P676" s="3"/>
      <c r="Q676" s="3"/>
      <c r="R676" s="3"/>
      <c r="S676" s="3"/>
      <c r="T676" s="3"/>
      <c r="U676" s="3"/>
      <c r="V676" s="3"/>
      <c r="W676" s="3"/>
      <c r="X676" s="3"/>
      <c r="Y676" s="3"/>
      <c r="Z676" s="3"/>
      <c r="AA676" s="3"/>
      <c r="AB676" s="3"/>
      <c r="AC676" s="3"/>
      <c r="AD676" s="3"/>
      <c r="AE676" s="3"/>
      <c r="AF676" s="3"/>
      <c r="AG676" s="3"/>
    </row>
    <row r="677">
      <c r="A677" s="2">
        <v>2018.0</v>
      </c>
      <c r="B677" s="2" t="s">
        <v>902</v>
      </c>
      <c r="D677" s="2" t="s">
        <v>487</v>
      </c>
      <c r="E677" s="2" t="s">
        <v>173</v>
      </c>
      <c r="F677" s="2">
        <v>264085.0</v>
      </c>
      <c r="I677" s="2">
        <v>10000.0</v>
      </c>
      <c r="J677" s="2">
        <v>601.0</v>
      </c>
      <c r="K677" s="2">
        <v>274686.0</v>
      </c>
      <c r="L677" s="2">
        <v>270092.0</v>
      </c>
      <c r="N677" s="2">
        <v>4594.0</v>
      </c>
      <c r="P677" s="3"/>
      <c r="Q677" s="3"/>
      <c r="R677" s="3"/>
      <c r="S677" s="3"/>
      <c r="T677" s="3"/>
      <c r="U677" s="3"/>
      <c r="V677" s="3"/>
      <c r="W677" s="3"/>
      <c r="X677" s="3"/>
      <c r="Y677" s="3"/>
      <c r="Z677" s="3"/>
      <c r="AA677" s="3"/>
      <c r="AB677" s="3"/>
      <c r="AC677" s="3"/>
      <c r="AD677" s="3"/>
      <c r="AE677" s="3"/>
      <c r="AF677" s="3"/>
      <c r="AG677" s="3"/>
    </row>
    <row r="678">
      <c r="A678" s="2">
        <v>2018.0</v>
      </c>
      <c r="B678" s="2" t="s">
        <v>902</v>
      </c>
      <c r="D678" s="2" t="s">
        <v>487</v>
      </c>
      <c r="E678" s="2" t="s">
        <v>56</v>
      </c>
      <c r="F678" s="2">
        <v>500.0</v>
      </c>
      <c r="I678" s="2">
        <v>596662.0</v>
      </c>
      <c r="J678" s="2">
        <v>5806.0</v>
      </c>
      <c r="K678" s="2">
        <v>602968.0</v>
      </c>
      <c r="L678" s="2">
        <v>451735.0</v>
      </c>
      <c r="N678" s="2">
        <v>151233.0</v>
      </c>
      <c r="P678" s="3"/>
      <c r="Q678" s="3"/>
      <c r="R678" s="3"/>
      <c r="S678" s="3"/>
      <c r="T678" s="3"/>
      <c r="U678" s="3"/>
      <c r="V678" s="3"/>
      <c r="W678" s="3"/>
      <c r="X678" s="3"/>
      <c r="Y678" s="3"/>
      <c r="Z678" s="3"/>
      <c r="AA678" s="3"/>
      <c r="AB678" s="3"/>
      <c r="AC678" s="3"/>
      <c r="AD678" s="3"/>
      <c r="AE678" s="3"/>
      <c r="AF678" s="3"/>
      <c r="AG678" s="3"/>
    </row>
    <row r="679">
      <c r="A679" s="2">
        <v>2018.0</v>
      </c>
      <c r="B679" s="2" t="s">
        <v>902</v>
      </c>
      <c r="D679" s="2" t="s">
        <v>487</v>
      </c>
      <c r="E679" s="2" t="s">
        <v>759</v>
      </c>
      <c r="F679" s="2">
        <v>0.0</v>
      </c>
      <c r="I679" s="2">
        <v>484000.0</v>
      </c>
      <c r="J679" s="2">
        <v>371.0</v>
      </c>
      <c r="K679" s="2">
        <v>484371.0</v>
      </c>
      <c r="L679" s="2">
        <v>0.0</v>
      </c>
      <c r="N679" s="2">
        <v>484371.0</v>
      </c>
      <c r="P679" s="3"/>
      <c r="Q679" s="3"/>
      <c r="R679" s="3"/>
      <c r="S679" s="3"/>
      <c r="T679" s="3"/>
      <c r="U679" s="3"/>
      <c r="V679" s="3"/>
      <c r="W679" s="3"/>
      <c r="X679" s="3"/>
      <c r="Y679" s="3"/>
      <c r="Z679" s="3"/>
      <c r="AA679" s="3"/>
      <c r="AB679" s="3"/>
      <c r="AC679" s="3"/>
      <c r="AD679" s="3"/>
      <c r="AE679" s="3"/>
      <c r="AF679" s="3"/>
      <c r="AG679" s="3"/>
    </row>
    <row r="680">
      <c r="A680" s="2">
        <v>2018.0</v>
      </c>
      <c r="B680" s="2" t="s">
        <v>902</v>
      </c>
      <c r="D680" s="2" t="s">
        <v>487</v>
      </c>
      <c r="E680" s="2" t="s">
        <v>460</v>
      </c>
      <c r="F680" s="2">
        <v>15164.0</v>
      </c>
      <c r="I680" s="2">
        <v>0.0</v>
      </c>
      <c r="J680" s="2">
        <v>612.0</v>
      </c>
      <c r="K680" s="2">
        <v>15776.0</v>
      </c>
      <c r="L680" s="2">
        <v>0.0</v>
      </c>
      <c r="N680" s="2">
        <v>15776.0</v>
      </c>
      <c r="P680" s="3"/>
      <c r="Q680" s="3"/>
      <c r="R680" s="3"/>
      <c r="S680" s="3"/>
      <c r="T680" s="3"/>
      <c r="U680" s="3"/>
      <c r="V680" s="3"/>
      <c r="W680" s="3"/>
      <c r="X680" s="3"/>
      <c r="Y680" s="3"/>
      <c r="Z680" s="3"/>
      <c r="AA680" s="3"/>
      <c r="AB680" s="3"/>
      <c r="AC680" s="3"/>
      <c r="AD680" s="3"/>
      <c r="AE680" s="3"/>
      <c r="AF680" s="3"/>
      <c r="AG680" s="3"/>
    </row>
    <row r="681">
      <c r="A681" s="2">
        <v>2018.0</v>
      </c>
      <c r="B681" s="2" t="s">
        <v>26</v>
      </c>
      <c r="E681" s="1" t="s">
        <v>201</v>
      </c>
      <c r="F681" s="2">
        <v>180956.0</v>
      </c>
      <c r="I681" s="2">
        <v>1.0738E7</v>
      </c>
      <c r="J681" s="2">
        <v>39941.0</v>
      </c>
      <c r="K681" s="2">
        <v>1.0958897E7</v>
      </c>
      <c r="L681" s="2">
        <v>1.0938165E7</v>
      </c>
      <c r="N681" s="2">
        <v>20732.0</v>
      </c>
      <c r="P681" s="3"/>
      <c r="Q681" s="3"/>
      <c r="R681" s="3"/>
      <c r="S681" s="3"/>
      <c r="T681" s="3"/>
      <c r="U681" s="3"/>
      <c r="V681" s="3"/>
      <c r="W681" s="3"/>
      <c r="X681" s="3"/>
      <c r="Y681" s="3"/>
      <c r="Z681" s="3"/>
      <c r="AA681" s="3"/>
      <c r="AB681" s="3"/>
      <c r="AC681" s="3"/>
      <c r="AD681" s="3"/>
      <c r="AE681" s="3"/>
      <c r="AF681" s="3"/>
      <c r="AG681" s="3"/>
    </row>
    <row r="682">
      <c r="A682" s="2">
        <v>2018.0</v>
      </c>
      <c r="B682" s="2" t="s">
        <v>213</v>
      </c>
      <c r="E682" s="1" t="s">
        <v>201</v>
      </c>
      <c r="F682" s="2">
        <v>20732.0</v>
      </c>
      <c r="I682" s="2">
        <v>2.12E7</v>
      </c>
      <c r="J682" s="2">
        <v>39102.0</v>
      </c>
      <c r="K682" s="2">
        <v>2.1259834E7</v>
      </c>
      <c r="L682" s="2">
        <v>2.1192356E7</v>
      </c>
      <c r="N682" s="2">
        <v>67478.0</v>
      </c>
      <c r="P682" s="3"/>
      <c r="Q682" s="3"/>
      <c r="R682" s="3"/>
      <c r="S682" s="3"/>
      <c r="T682" s="3"/>
      <c r="U682" s="3"/>
      <c r="V682" s="3"/>
      <c r="W682" s="3"/>
      <c r="X682" s="3"/>
      <c r="Y682" s="3"/>
      <c r="Z682" s="3"/>
      <c r="AA682" s="3"/>
      <c r="AB682" s="3"/>
      <c r="AC682" s="3"/>
      <c r="AD682" s="3"/>
      <c r="AE682" s="3"/>
      <c r="AF682" s="3"/>
      <c r="AG682" s="3"/>
    </row>
    <row r="683">
      <c r="A683" s="2">
        <v>2018.0</v>
      </c>
      <c r="B683" s="2" t="s">
        <v>332</v>
      </c>
      <c r="E683" s="1" t="s">
        <v>201</v>
      </c>
      <c r="F683" s="2">
        <v>67478.0</v>
      </c>
      <c r="I683" s="2">
        <v>3.535E7</v>
      </c>
      <c r="J683" s="2">
        <v>30058.0</v>
      </c>
      <c r="K683" s="2">
        <v>3.5447536E7</v>
      </c>
      <c r="L683" s="2">
        <v>3.5437274E7</v>
      </c>
      <c r="N683" s="2">
        <v>10262.0</v>
      </c>
      <c r="P683" s="3"/>
      <c r="Q683" s="3"/>
      <c r="R683" s="3"/>
      <c r="S683" s="3"/>
      <c r="T683" s="3"/>
      <c r="U683" s="3"/>
      <c r="V683" s="3"/>
      <c r="W683" s="3"/>
      <c r="X683" s="3"/>
      <c r="Y683" s="3"/>
      <c r="Z683" s="3"/>
      <c r="AA683" s="3"/>
      <c r="AB683" s="3"/>
      <c r="AC683" s="3"/>
      <c r="AD683" s="3"/>
      <c r="AE683" s="3"/>
      <c r="AF683" s="3"/>
      <c r="AG683" s="3"/>
    </row>
    <row r="684">
      <c r="A684" s="2">
        <v>2018.0</v>
      </c>
      <c r="B684" s="2" t="s">
        <v>26</v>
      </c>
      <c r="E684" s="1" t="s">
        <v>201</v>
      </c>
      <c r="F684" s="2">
        <v>167311.0</v>
      </c>
      <c r="I684" s="2">
        <v>1163000.0</v>
      </c>
      <c r="J684" s="2">
        <v>6801.0</v>
      </c>
      <c r="K684" s="2">
        <v>1337112.0</v>
      </c>
      <c r="L684" s="2">
        <v>1120738.0</v>
      </c>
      <c r="N684" s="2">
        <v>216374.0</v>
      </c>
      <c r="P684" s="3"/>
      <c r="Q684" s="3"/>
      <c r="R684" s="3"/>
      <c r="S684" s="3"/>
      <c r="T684" s="3"/>
      <c r="U684" s="3"/>
      <c r="V684" s="3"/>
      <c r="W684" s="3"/>
      <c r="X684" s="3"/>
      <c r="Y684" s="3"/>
      <c r="Z684" s="3"/>
      <c r="AA684" s="3"/>
      <c r="AB684" s="3"/>
      <c r="AC684" s="3"/>
      <c r="AD684" s="3"/>
      <c r="AE684" s="3"/>
      <c r="AF684" s="3"/>
      <c r="AG684" s="3"/>
    </row>
    <row r="685">
      <c r="A685" s="2">
        <v>2018.0</v>
      </c>
      <c r="B685" s="2" t="s">
        <v>213</v>
      </c>
      <c r="E685" s="1" t="s">
        <v>201</v>
      </c>
      <c r="F685" s="2">
        <v>216374.0</v>
      </c>
      <c r="I685" s="2">
        <v>1237000.0</v>
      </c>
      <c r="J685" s="2">
        <v>8416.0</v>
      </c>
      <c r="K685" s="2">
        <v>1461790.0</v>
      </c>
      <c r="L685" s="2">
        <v>1365846.0</v>
      </c>
      <c r="N685" s="2">
        <v>95944.0</v>
      </c>
      <c r="P685" s="3"/>
      <c r="Q685" s="3"/>
      <c r="R685" s="3"/>
      <c r="S685" s="3"/>
      <c r="T685" s="3"/>
      <c r="U685" s="3"/>
      <c r="V685" s="3"/>
      <c r="W685" s="3"/>
      <c r="X685" s="3"/>
      <c r="Y685" s="3"/>
      <c r="Z685" s="3"/>
      <c r="AA685" s="3"/>
      <c r="AB685" s="3"/>
      <c r="AC685" s="3"/>
      <c r="AD685" s="3"/>
      <c r="AE685" s="3"/>
      <c r="AF685" s="3"/>
      <c r="AG685" s="3"/>
    </row>
    <row r="686">
      <c r="A686" s="2">
        <v>2018.0</v>
      </c>
      <c r="B686" s="2" t="s">
        <v>332</v>
      </c>
      <c r="E686" s="1" t="s">
        <v>201</v>
      </c>
      <c r="F686" s="2">
        <v>95944.0</v>
      </c>
      <c r="I686" s="2">
        <v>1470000.0</v>
      </c>
      <c r="J686" s="2">
        <v>7887.0</v>
      </c>
      <c r="K686" s="2">
        <v>1573831.0</v>
      </c>
      <c r="L686" s="2">
        <v>1345831.0</v>
      </c>
      <c r="N686" s="2">
        <v>228000.0</v>
      </c>
      <c r="P686" s="3"/>
      <c r="Q686" s="3"/>
      <c r="R686" s="3"/>
      <c r="S686" s="3"/>
      <c r="T686" s="3"/>
      <c r="U686" s="3"/>
      <c r="V686" s="3"/>
      <c r="W686" s="3"/>
      <c r="X686" s="3"/>
      <c r="Y686" s="3"/>
      <c r="Z686" s="3"/>
      <c r="AA686" s="3"/>
      <c r="AB686" s="3"/>
      <c r="AC686" s="3"/>
      <c r="AD686" s="3"/>
      <c r="AE686" s="3"/>
      <c r="AF686" s="3"/>
      <c r="AG686" s="3"/>
    </row>
    <row r="687">
      <c r="A687" s="2">
        <v>2018.0</v>
      </c>
      <c r="B687" s="2" t="s">
        <v>600</v>
      </c>
      <c r="E687" s="1" t="s">
        <v>201</v>
      </c>
      <c r="F687" s="2">
        <v>281198.0</v>
      </c>
      <c r="I687" s="2">
        <v>2.0597916E7</v>
      </c>
      <c r="J687" s="2"/>
      <c r="K687" s="2">
        <v>2.0879114E7</v>
      </c>
      <c r="L687" s="2">
        <v>2.062392E7</v>
      </c>
      <c r="N687" s="2">
        <v>255194.0</v>
      </c>
      <c r="P687" s="3"/>
      <c r="Q687" s="3"/>
      <c r="R687" s="3"/>
      <c r="S687" s="3"/>
      <c r="T687" s="3"/>
      <c r="U687" s="3"/>
      <c r="V687" s="3"/>
      <c r="W687" s="3"/>
      <c r="X687" s="3"/>
      <c r="Y687" s="3"/>
      <c r="Z687" s="3"/>
      <c r="AA687" s="3"/>
      <c r="AB687" s="3"/>
      <c r="AC687" s="3"/>
      <c r="AD687" s="3"/>
      <c r="AE687" s="3"/>
      <c r="AF687" s="3"/>
      <c r="AG687" s="3"/>
    </row>
    <row r="688">
      <c r="A688" s="2">
        <v>2018.0</v>
      </c>
      <c r="B688" s="2" t="s">
        <v>780</v>
      </c>
      <c r="E688" s="1" t="s">
        <v>201</v>
      </c>
      <c r="F688" s="2">
        <v>255194.0</v>
      </c>
      <c r="I688" s="2">
        <v>1.2426477E7</v>
      </c>
      <c r="J688" s="2"/>
      <c r="K688" s="2">
        <v>1.2681671E7</v>
      </c>
      <c r="L688" s="2">
        <v>1.2586613E7</v>
      </c>
      <c r="N688" s="2">
        <v>95058.0</v>
      </c>
      <c r="P688" s="3"/>
      <c r="Q688" s="3"/>
      <c r="R688" s="3"/>
      <c r="S688" s="3"/>
      <c r="T688" s="3"/>
      <c r="U688" s="3"/>
      <c r="V688" s="3"/>
      <c r="W688" s="3"/>
      <c r="X688" s="3"/>
      <c r="Y688" s="3"/>
      <c r="Z688" s="3"/>
      <c r="AA688" s="3"/>
      <c r="AB688" s="3"/>
      <c r="AC688" s="3"/>
      <c r="AD688" s="3"/>
      <c r="AE688" s="3"/>
      <c r="AF688" s="3"/>
      <c r="AG688" s="3"/>
    </row>
    <row r="689">
      <c r="A689" s="2">
        <v>2018.0</v>
      </c>
      <c r="B689" s="2" t="s">
        <v>600</v>
      </c>
      <c r="E689" s="1" t="s">
        <v>201</v>
      </c>
      <c r="F689" s="2">
        <v>1058912.0</v>
      </c>
      <c r="I689" s="2">
        <v>3.2041972E7</v>
      </c>
      <c r="J689" s="2"/>
      <c r="K689" s="2">
        <v>3.3100884E7</v>
      </c>
      <c r="L689" s="2">
        <v>3.2899087E7</v>
      </c>
      <c r="N689" s="2">
        <v>201797.0</v>
      </c>
      <c r="P689" s="3"/>
      <c r="Q689" s="3"/>
      <c r="R689" s="3"/>
      <c r="S689" s="3"/>
      <c r="T689" s="3"/>
      <c r="U689" s="3"/>
      <c r="V689" s="3"/>
      <c r="W689" s="3"/>
      <c r="X689" s="3"/>
      <c r="Y689" s="3"/>
      <c r="Z689" s="3"/>
      <c r="AA689" s="3"/>
      <c r="AB689" s="3"/>
      <c r="AC689" s="3"/>
      <c r="AD689" s="3"/>
      <c r="AE689" s="3"/>
      <c r="AF689" s="3"/>
      <c r="AG689" s="3"/>
    </row>
    <row r="690">
      <c r="A690" s="2">
        <v>2018.0</v>
      </c>
      <c r="B690" s="2" t="s">
        <v>780</v>
      </c>
      <c r="E690" s="1" t="s">
        <v>201</v>
      </c>
      <c r="F690" s="2">
        <v>201797.0</v>
      </c>
      <c r="I690" s="2">
        <v>3.9259427E7</v>
      </c>
      <c r="J690" s="2"/>
      <c r="K690" s="2">
        <v>3.9461224E7</v>
      </c>
      <c r="L690" s="2">
        <v>3.9240779E7</v>
      </c>
      <c r="N690" s="2">
        <v>220445.0</v>
      </c>
      <c r="P690" s="3"/>
      <c r="Q690" s="3"/>
      <c r="R690" s="3"/>
      <c r="S690" s="3"/>
      <c r="T690" s="3"/>
      <c r="U690" s="3"/>
      <c r="V690" s="3"/>
      <c r="W690" s="3"/>
      <c r="X690" s="3"/>
      <c r="Y690" s="3"/>
      <c r="Z690" s="3"/>
      <c r="AA690" s="3"/>
      <c r="AB690" s="3"/>
      <c r="AC690" s="3"/>
      <c r="AD690" s="3"/>
      <c r="AE690" s="3"/>
      <c r="AF690" s="3"/>
      <c r="AG690" s="3"/>
    </row>
    <row r="691">
      <c r="A691" s="2">
        <v>2018.0</v>
      </c>
      <c r="B691" s="2" t="s">
        <v>600</v>
      </c>
      <c r="E691" s="1" t="s">
        <v>201</v>
      </c>
      <c r="F691" s="2">
        <v>944607.0</v>
      </c>
      <c r="I691" s="2">
        <v>2.6892778E7</v>
      </c>
      <c r="J691" s="2"/>
      <c r="K691" s="2">
        <v>2.7837385E7</v>
      </c>
      <c r="L691" s="2">
        <v>2.7496578E7</v>
      </c>
      <c r="N691" s="2">
        <v>340807.0</v>
      </c>
      <c r="P691" s="3"/>
      <c r="Q691" s="3"/>
      <c r="R691" s="3"/>
      <c r="S691" s="3"/>
      <c r="T691" s="3"/>
      <c r="U691" s="3"/>
      <c r="V691" s="3"/>
      <c r="W691" s="3"/>
      <c r="X691" s="3"/>
      <c r="Y691" s="3"/>
      <c r="Z691" s="3"/>
      <c r="AA691" s="3"/>
      <c r="AB691" s="3"/>
      <c r="AC691" s="3"/>
      <c r="AD691" s="3"/>
      <c r="AE691" s="3"/>
      <c r="AF691" s="3"/>
      <c r="AG691" s="3"/>
    </row>
    <row r="692">
      <c r="A692" s="2">
        <v>2018.0</v>
      </c>
      <c r="B692" s="2" t="s">
        <v>780</v>
      </c>
      <c r="E692" s="1" t="s">
        <v>201</v>
      </c>
      <c r="F692" s="2">
        <v>340807.0</v>
      </c>
      <c r="I692" s="2">
        <v>3.5425752E7</v>
      </c>
      <c r="J692" s="2"/>
      <c r="K692" s="2">
        <v>3.5766559E7</v>
      </c>
      <c r="L692" s="2">
        <v>3.5698625E7</v>
      </c>
      <c r="N692" s="2">
        <v>67934.0</v>
      </c>
      <c r="P692" s="3"/>
      <c r="Q692" s="3"/>
      <c r="R692" s="3"/>
      <c r="S692" s="3"/>
      <c r="T692" s="3"/>
      <c r="U692" s="3"/>
      <c r="V692" s="3"/>
      <c r="W692" s="3"/>
      <c r="X692" s="3"/>
      <c r="Y692" s="3"/>
      <c r="Z692" s="3"/>
      <c r="AA692" s="3"/>
      <c r="AB692" s="3"/>
      <c r="AC692" s="3"/>
      <c r="AD692" s="3"/>
      <c r="AE692" s="3"/>
      <c r="AF692" s="3"/>
      <c r="AG692" s="3"/>
    </row>
    <row r="693">
      <c r="A693" s="2">
        <v>2018.0</v>
      </c>
      <c r="B693" s="2" t="s">
        <v>26</v>
      </c>
      <c r="E693" s="1" t="s">
        <v>201</v>
      </c>
      <c r="F693" s="2">
        <v>1808583.0</v>
      </c>
      <c r="I693" s="2">
        <v>2.3135E7</v>
      </c>
      <c r="J693" s="2">
        <v>70677.0</v>
      </c>
      <c r="K693" s="2">
        <v>2.501426E7</v>
      </c>
      <c r="L693" s="2">
        <v>2.4399132E7</v>
      </c>
      <c r="N693" s="2">
        <v>615128.0</v>
      </c>
      <c r="P693" s="3"/>
      <c r="Q693" s="3"/>
      <c r="R693" s="3"/>
      <c r="S693" s="3"/>
      <c r="T693" s="3"/>
      <c r="U693" s="3"/>
      <c r="V693" s="3"/>
      <c r="W693" s="3"/>
      <c r="X693" s="3"/>
      <c r="Y693" s="3"/>
      <c r="Z693" s="3"/>
      <c r="AA693" s="3"/>
      <c r="AB693" s="3"/>
      <c r="AC693" s="3"/>
      <c r="AD693" s="3"/>
      <c r="AE693" s="3"/>
      <c r="AF693" s="3"/>
      <c r="AG693" s="3"/>
    </row>
    <row r="694">
      <c r="A694" s="2">
        <v>2018.0</v>
      </c>
      <c r="B694" s="2" t="s">
        <v>213</v>
      </c>
      <c r="E694" s="1" t="s">
        <v>201</v>
      </c>
      <c r="F694" s="2">
        <v>615128.0</v>
      </c>
      <c r="I694" s="2">
        <v>2.7025E7</v>
      </c>
      <c r="J694" s="2">
        <v>101628.0</v>
      </c>
      <c r="K694" s="2">
        <v>2.7741756E7</v>
      </c>
      <c r="L694" s="2">
        <v>2.7505468E7</v>
      </c>
      <c r="N694" s="2">
        <v>236288.0</v>
      </c>
      <c r="P694" s="3"/>
      <c r="Q694" s="3"/>
      <c r="R694" s="3"/>
      <c r="S694" s="3"/>
      <c r="T694" s="3"/>
      <c r="U694" s="3"/>
      <c r="V694" s="3"/>
      <c r="W694" s="3"/>
      <c r="X694" s="3"/>
      <c r="Y694" s="3"/>
      <c r="Z694" s="3"/>
      <c r="AA694" s="3"/>
      <c r="AB694" s="3"/>
      <c r="AC694" s="3"/>
      <c r="AD694" s="3"/>
      <c r="AE694" s="3"/>
      <c r="AF694" s="3"/>
      <c r="AG694" s="3"/>
    </row>
    <row r="695">
      <c r="A695" s="2">
        <v>2018.0</v>
      </c>
      <c r="B695" s="2" t="s">
        <v>26</v>
      </c>
      <c r="E695" s="1" t="s">
        <v>201</v>
      </c>
      <c r="F695" s="2">
        <v>311151.0</v>
      </c>
      <c r="I695" s="2">
        <v>2.1659E7</v>
      </c>
      <c r="J695" s="2">
        <v>38655.0</v>
      </c>
      <c r="K695" s="2">
        <v>2.2008806E7</v>
      </c>
      <c r="L695" s="2">
        <v>2.1700164E7</v>
      </c>
      <c r="N695" s="2">
        <v>308642.0</v>
      </c>
      <c r="P695" s="3"/>
      <c r="Q695" s="3"/>
      <c r="R695" s="3"/>
      <c r="S695" s="3"/>
      <c r="T695" s="3"/>
      <c r="U695" s="3"/>
      <c r="V695" s="3"/>
      <c r="W695" s="3"/>
      <c r="X695" s="3"/>
      <c r="Y695" s="3"/>
      <c r="Z695" s="3"/>
      <c r="AA695" s="3"/>
      <c r="AB695" s="3"/>
      <c r="AC695" s="3"/>
      <c r="AD695" s="3"/>
      <c r="AE695" s="3"/>
      <c r="AF695" s="3"/>
      <c r="AG695" s="3"/>
    </row>
    <row r="696">
      <c r="A696" s="2">
        <v>2018.0</v>
      </c>
      <c r="B696" s="2" t="s">
        <v>213</v>
      </c>
      <c r="E696" s="1" t="s">
        <v>201</v>
      </c>
      <c r="F696" s="2">
        <v>308642.0</v>
      </c>
      <c r="I696" s="2">
        <v>2.5621E7</v>
      </c>
      <c r="J696" s="2">
        <v>87101.0</v>
      </c>
      <c r="K696" s="2">
        <v>2.6016743E7</v>
      </c>
      <c r="L696" s="2">
        <v>2.5951777E7</v>
      </c>
      <c r="N696" s="2">
        <v>64966.0</v>
      </c>
      <c r="P696" s="3"/>
      <c r="Q696" s="3"/>
      <c r="R696" s="3"/>
      <c r="S696" s="3"/>
      <c r="T696" s="3"/>
      <c r="U696" s="3"/>
      <c r="V696" s="3"/>
      <c r="W696" s="3"/>
      <c r="X696" s="3"/>
      <c r="Y696" s="3"/>
      <c r="Z696" s="3"/>
      <c r="AA696" s="3"/>
      <c r="AB696" s="3"/>
      <c r="AC696" s="3"/>
      <c r="AD696" s="3"/>
      <c r="AE696" s="3"/>
      <c r="AF696" s="3"/>
      <c r="AG696" s="3"/>
    </row>
    <row r="697">
      <c r="A697" s="2">
        <v>2018.0</v>
      </c>
      <c r="B697" s="2" t="s">
        <v>483</v>
      </c>
      <c r="D697" s="2" t="s">
        <v>489</v>
      </c>
      <c r="E697" s="1" t="s">
        <v>420</v>
      </c>
      <c r="F697" s="2">
        <v>198338.0</v>
      </c>
      <c r="I697" s="2">
        <v>1.360561E7</v>
      </c>
      <c r="J697" s="2">
        <v>35962.0</v>
      </c>
      <c r="K697" s="2">
        <v>1.383991E7</v>
      </c>
      <c r="L697" s="2">
        <v>1.2756492E7</v>
      </c>
      <c r="N697" s="2">
        <v>1083418.0</v>
      </c>
      <c r="P697" s="3"/>
      <c r="Q697" s="3"/>
      <c r="R697" s="3"/>
      <c r="S697" s="3"/>
      <c r="T697" s="3"/>
      <c r="U697" s="3"/>
      <c r="V697" s="3"/>
      <c r="W697" s="3"/>
      <c r="X697" s="3"/>
      <c r="Y697" s="3"/>
      <c r="Z697" s="3"/>
      <c r="AA697" s="3"/>
      <c r="AB697" s="3"/>
      <c r="AC697" s="3"/>
      <c r="AD697" s="3"/>
      <c r="AE697" s="3"/>
      <c r="AF697" s="3"/>
      <c r="AG697" s="3"/>
    </row>
    <row r="698">
      <c r="A698" s="2">
        <v>2018.0</v>
      </c>
      <c r="B698" s="2" t="s">
        <v>483</v>
      </c>
      <c r="D698" s="2" t="s">
        <v>493</v>
      </c>
      <c r="E698" s="1" t="s">
        <v>420</v>
      </c>
      <c r="F698" s="2">
        <v>354407.0</v>
      </c>
      <c r="I698" s="2">
        <v>2.4566E7</v>
      </c>
      <c r="J698" s="2">
        <v>124787.0</v>
      </c>
      <c r="K698" s="2">
        <v>2.5045194E7</v>
      </c>
      <c r="L698" s="2">
        <v>2.495006E7</v>
      </c>
      <c r="N698" s="2">
        <v>95134.0</v>
      </c>
      <c r="P698" s="3"/>
      <c r="Q698" s="3"/>
      <c r="R698" s="3"/>
      <c r="S698" s="3"/>
      <c r="T698" s="3"/>
      <c r="U698" s="3"/>
      <c r="V698" s="3"/>
      <c r="W698" s="3"/>
      <c r="X698" s="3"/>
      <c r="Y698" s="3"/>
      <c r="Z698" s="3"/>
      <c r="AA698" s="3"/>
      <c r="AB698" s="3"/>
      <c r="AC698" s="3"/>
      <c r="AD698" s="3"/>
      <c r="AE698" s="3"/>
      <c r="AF698" s="3"/>
      <c r="AG698" s="3"/>
    </row>
    <row r="699">
      <c r="A699" s="2">
        <v>2018.0</v>
      </c>
      <c r="B699" s="2" t="s">
        <v>483</v>
      </c>
      <c r="D699" s="2" t="s">
        <v>496</v>
      </c>
      <c r="E699" s="1" t="s">
        <v>420</v>
      </c>
      <c r="F699" s="2">
        <v>1000.0</v>
      </c>
      <c r="I699" s="2">
        <v>3620000.0</v>
      </c>
      <c r="J699" s="2">
        <v>10534.0</v>
      </c>
      <c r="K699" s="2">
        <v>3631534.0</v>
      </c>
      <c r="L699" s="2">
        <v>3365573.0</v>
      </c>
      <c r="N699" s="2">
        <v>265961.0</v>
      </c>
      <c r="P699" s="3"/>
      <c r="Q699" s="3"/>
      <c r="R699" s="3"/>
      <c r="S699" s="3"/>
      <c r="T699" s="3"/>
      <c r="U699" s="3"/>
      <c r="V699" s="3"/>
      <c r="W699" s="3"/>
      <c r="X699" s="3"/>
      <c r="Y699" s="3"/>
      <c r="Z699" s="3"/>
      <c r="AA699" s="3"/>
      <c r="AB699" s="3"/>
      <c r="AC699" s="3"/>
      <c r="AD699" s="3"/>
      <c r="AE699" s="3"/>
      <c r="AF699" s="3"/>
      <c r="AG699" s="3"/>
    </row>
    <row r="700">
      <c r="A700" s="2">
        <v>2018.0</v>
      </c>
      <c r="B700" s="2" t="s">
        <v>483</v>
      </c>
      <c r="D700" s="2" t="s">
        <v>499</v>
      </c>
      <c r="E700" s="1" t="s">
        <v>420</v>
      </c>
      <c r="F700" s="2">
        <v>135042.0</v>
      </c>
      <c r="I700" s="2">
        <v>3.7458E7</v>
      </c>
      <c r="J700" s="2">
        <v>88934.0</v>
      </c>
      <c r="K700" s="2">
        <v>3.7681976E7</v>
      </c>
      <c r="L700" s="2">
        <v>3.6326777E7</v>
      </c>
      <c r="N700" s="2">
        <v>1355199.0</v>
      </c>
      <c r="P700" s="3"/>
      <c r="Q700" s="3"/>
      <c r="R700" s="3"/>
      <c r="S700" s="3"/>
      <c r="T700" s="3"/>
      <c r="U700" s="3"/>
      <c r="V700" s="3"/>
      <c r="W700" s="3"/>
      <c r="X700" s="3"/>
      <c r="Y700" s="3"/>
      <c r="Z700" s="3"/>
      <c r="AA700" s="3"/>
      <c r="AB700" s="3"/>
      <c r="AC700" s="3"/>
      <c r="AD700" s="3"/>
      <c r="AE700" s="3"/>
      <c r="AF700" s="3"/>
      <c r="AG700" s="3"/>
    </row>
    <row r="701">
      <c r="A701" s="2">
        <v>2018.0</v>
      </c>
      <c r="B701" s="2" t="s">
        <v>483</v>
      </c>
      <c r="D701" s="2" t="s">
        <v>501</v>
      </c>
      <c r="E701" s="1" t="s">
        <v>420</v>
      </c>
      <c r="F701" s="2">
        <v>1309180.0</v>
      </c>
      <c r="I701" s="2">
        <v>2.2441125E7</v>
      </c>
      <c r="J701" s="2">
        <v>55030.0</v>
      </c>
      <c r="K701" s="2">
        <v>2.3805335E7</v>
      </c>
      <c r="L701" s="2">
        <v>2.171034E7</v>
      </c>
      <c r="N701" s="2">
        <v>2094995.0</v>
      </c>
      <c r="P701" s="3"/>
      <c r="Q701" s="3"/>
      <c r="R701" s="3"/>
      <c r="S701" s="3"/>
      <c r="T701" s="3"/>
      <c r="U701" s="3"/>
      <c r="V701" s="3"/>
      <c r="W701" s="3"/>
      <c r="X701" s="3"/>
      <c r="Y701" s="3"/>
      <c r="Z701" s="3"/>
      <c r="AA701" s="3"/>
      <c r="AB701" s="3"/>
      <c r="AC701" s="3"/>
      <c r="AD701" s="3"/>
      <c r="AE701" s="3"/>
      <c r="AF701" s="3"/>
      <c r="AG701" s="3"/>
    </row>
    <row r="702">
      <c r="A702" s="2">
        <v>2018.0</v>
      </c>
      <c r="B702" s="2" t="s">
        <v>483</v>
      </c>
      <c r="D702" s="2" t="s">
        <v>505</v>
      </c>
      <c r="E702" s="1" t="s">
        <v>420</v>
      </c>
      <c r="F702" s="2">
        <v>1134974.0</v>
      </c>
      <c r="I702" s="2">
        <v>1.702E7</v>
      </c>
      <c r="J702" s="2">
        <v>75000.0</v>
      </c>
      <c r="K702" s="2">
        <v>1.8229974E7</v>
      </c>
      <c r="L702" s="2">
        <v>1.6863344E7</v>
      </c>
      <c r="N702" s="2">
        <v>1366630.0</v>
      </c>
      <c r="P702" s="3"/>
      <c r="Q702" s="3"/>
      <c r="R702" s="3"/>
      <c r="S702" s="3"/>
      <c r="T702" s="3"/>
      <c r="U702" s="3"/>
      <c r="V702" s="3"/>
      <c r="W702" s="3"/>
      <c r="X702" s="3"/>
      <c r="Y702" s="3"/>
      <c r="Z702" s="3"/>
      <c r="AA702" s="3"/>
      <c r="AB702" s="3"/>
      <c r="AC702" s="3"/>
      <c r="AD702" s="3"/>
      <c r="AE702" s="3"/>
      <c r="AF702" s="3"/>
      <c r="AG702" s="3"/>
    </row>
    <row r="703">
      <c r="A703" s="2">
        <v>2018.0</v>
      </c>
      <c r="B703" s="2" t="s">
        <v>483</v>
      </c>
      <c r="D703" s="2" t="s">
        <v>508</v>
      </c>
      <c r="E703" s="1" t="s">
        <v>420</v>
      </c>
      <c r="F703" s="2">
        <v>1259698.0</v>
      </c>
      <c r="I703" s="2">
        <v>2.6639E7</v>
      </c>
      <c r="J703" s="2">
        <v>94889.0</v>
      </c>
      <c r="K703" s="2">
        <v>2.7993587E7</v>
      </c>
      <c r="L703" s="2">
        <v>2.5911258E7</v>
      </c>
      <c r="N703" s="2">
        <v>2082329.0</v>
      </c>
      <c r="P703" s="3"/>
      <c r="Q703" s="3"/>
      <c r="R703" s="3"/>
      <c r="S703" s="3"/>
      <c r="T703" s="3"/>
      <c r="U703" s="3"/>
      <c r="V703" s="3"/>
      <c r="W703" s="3"/>
      <c r="X703" s="3"/>
      <c r="Y703" s="3"/>
      <c r="Z703" s="3"/>
      <c r="AA703" s="3"/>
      <c r="AB703" s="3"/>
      <c r="AC703" s="3"/>
      <c r="AD703" s="3"/>
      <c r="AE703" s="3"/>
      <c r="AF703" s="3"/>
      <c r="AG703" s="3"/>
    </row>
    <row r="704">
      <c r="A704" s="2">
        <v>2018.0</v>
      </c>
      <c r="B704" s="2" t="s">
        <v>483</v>
      </c>
      <c r="D704" s="2" t="s">
        <v>510</v>
      </c>
      <c r="E704" s="1" t="s">
        <v>420</v>
      </c>
      <c r="F704" s="2">
        <v>973957.0</v>
      </c>
      <c r="I704" s="2">
        <v>8626000.0</v>
      </c>
      <c r="J704" s="2">
        <v>37903.0</v>
      </c>
      <c r="K704" s="2">
        <v>9637860.0</v>
      </c>
      <c r="L704" s="2">
        <v>9239528.0</v>
      </c>
      <c r="N704" s="2">
        <v>398332.0</v>
      </c>
      <c r="P704" s="3"/>
      <c r="Q704" s="3"/>
      <c r="R704" s="3"/>
      <c r="S704" s="3"/>
      <c r="T704" s="3"/>
      <c r="U704" s="3"/>
      <c r="V704" s="3"/>
      <c r="W704" s="3"/>
      <c r="X704" s="3"/>
      <c r="Y704" s="3"/>
      <c r="Z704" s="3"/>
      <c r="AA704" s="3"/>
      <c r="AB704" s="3"/>
      <c r="AC704" s="3"/>
      <c r="AD704" s="3"/>
      <c r="AE704" s="3"/>
      <c r="AF704" s="3"/>
      <c r="AG704" s="3"/>
    </row>
    <row r="705">
      <c r="A705" s="2">
        <v>2018.0</v>
      </c>
      <c r="B705" s="2" t="s">
        <v>483</v>
      </c>
      <c r="D705" s="2" t="s">
        <v>518</v>
      </c>
      <c r="E705" s="1" t="s">
        <v>420</v>
      </c>
      <c r="F705" s="2">
        <v>1106540.0</v>
      </c>
      <c r="I705" s="2">
        <v>2.2697429E7</v>
      </c>
      <c r="J705" s="2">
        <v>91417.0</v>
      </c>
      <c r="K705" s="2">
        <v>2.3895386E7</v>
      </c>
      <c r="L705" s="2">
        <v>2.1920951E7</v>
      </c>
      <c r="N705" s="2">
        <v>1974435.0</v>
      </c>
      <c r="P705" s="3"/>
      <c r="Q705" s="3"/>
      <c r="R705" s="3"/>
      <c r="S705" s="3"/>
      <c r="T705" s="3"/>
      <c r="U705" s="3"/>
      <c r="V705" s="3"/>
      <c r="W705" s="3"/>
      <c r="X705" s="3"/>
      <c r="Y705" s="3"/>
      <c r="Z705" s="3"/>
      <c r="AA705" s="3"/>
      <c r="AB705" s="3"/>
      <c r="AC705" s="3"/>
      <c r="AD705" s="3"/>
      <c r="AE705" s="3"/>
      <c r="AF705" s="3"/>
      <c r="AG705" s="3"/>
    </row>
    <row r="706">
      <c r="A706" s="2">
        <v>2018.0</v>
      </c>
      <c r="B706" s="2" t="s">
        <v>483</v>
      </c>
      <c r="D706" s="2" t="s">
        <v>1018</v>
      </c>
      <c r="E706" s="1" t="s">
        <v>420</v>
      </c>
      <c r="F706" s="2">
        <v>2906809.0</v>
      </c>
      <c r="I706" s="2">
        <v>2940000.0</v>
      </c>
      <c r="J706" s="2">
        <v>146858.0</v>
      </c>
      <c r="K706" s="2">
        <v>5993667.0</v>
      </c>
      <c r="L706" s="2">
        <v>2654935.0</v>
      </c>
      <c r="N706" s="2">
        <v>3338732.0</v>
      </c>
      <c r="P706" s="3"/>
      <c r="Q706" s="3"/>
      <c r="R706" s="3"/>
      <c r="S706" s="3"/>
      <c r="T706" s="3"/>
      <c r="U706" s="3"/>
      <c r="V706" s="3"/>
      <c r="W706" s="3"/>
      <c r="X706" s="3"/>
      <c r="Y706" s="3"/>
      <c r="Z706" s="3"/>
      <c r="AA706" s="3"/>
      <c r="AB706" s="3"/>
      <c r="AC706" s="3"/>
      <c r="AD706" s="3"/>
      <c r="AE706" s="3"/>
      <c r="AF706" s="3"/>
      <c r="AG706" s="3"/>
    </row>
    <row r="707">
      <c r="A707" s="2">
        <v>2018.0</v>
      </c>
      <c r="B707" s="2" t="s">
        <v>483</v>
      </c>
      <c r="D707" s="2" t="s">
        <v>1019</v>
      </c>
      <c r="E707" s="1" t="s">
        <v>420</v>
      </c>
      <c r="F707" s="2">
        <v>724563.0</v>
      </c>
      <c r="I707" s="2">
        <v>7647000.0</v>
      </c>
      <c r="J707" s="2">
        <v>44925.0</v>
      </c>
      <c r="K707" s="2">
        <v>8416488.0</v>
      </c>
      <c r="L707" s="2">
        <v>8004175.0</v>
      </c>
      <c r="N707" s="2">
        <v>412313.0</v>
      </c>
      <c r="P707" s="3"/>
      <c r="Q707" s="3"/>
      <c r="R707" s="3"/>
      <c r="S707" s="3"/>
      <c r="T707" s="3"/>
      <c r="U707" s="3"/>
      <c r="V707" s="3"/>
      <c r="W707" s="3"/>
      <c r="X707" s="3"/>
      <c r="Y707" s="3"/>
      <c r="Z707" s="3"/>
      <c r="AA707" s="3"/>
      <c r="AB707" s="3"/>
      <c r="AC707" s="3"/>
      <c r="AD707" s="3"/>
      <c r="AE707" s="3"/>
      <c r="AF707" s="3"/>
      <c r="AG707" s="3"/>
    </row>
    <row r="708">
      <c r="A708" s="2">
        <v>2018.0</v>
      </c>
      <c r="B708" s="2" t="s">
        <v>483</v>
      </c>
      <c r="D708" s="2" t="s">
        <v>1020</v>
      </c>
      <c r="E708" s="1" t="s">
        <v>420</v>
      </c>
      <c r="F708" s="2">
        <v>977352.0</v>
      </c>
      <c r="I708" s="2">
        <v>1.4798E7</v>
      </c>
      <c r="J708" s="2">
        <v>153877.0</v>
      </c>
      <c r="K708" s="2">
        <v>1.5929229E7</v>
      </c>
      <c r="L708" s="2">
        <v>1.251507E7</v>
      </c>
      <c r="N708" s="2">
        <v>3414159.0</v>
      </c>
      <c r="P708" s="3"/>
      <c r="Q708" s="3"/>
      <c r="R708" s="3"/>
      <c r="S708" s="3"/>
      <c r="T708" s="3"/>
      <c r="U708" s="3"/>
      <c r="V708" s="3"/>
      <c r="W708" s="3"/>
      <c r="X708" s="3"/>
      <c r="Y708" s="3"/>
      <c r="Z708" s="3"/>
      <c r="AA708" s="3"/>
      <c r="AB708" s="3"/>
      <c r="AC708" s="3"/>
      <c r="AD708" s="3"/>
      <c r="AE708" s="3"/>
      <c r="AF708" s="3"/>
      <c r="AG708" s="3"/>
    </row>
    <row r="709">
      <c r="A709" s="2">
        <v>2018.0</v>
      </c>
      <c r="B709" s="2" t="s">
        <v>483</v>
      </c>
      <c r="D709" s="2" t="s">
        <v>1021</v>
      </c>
      <c r="E709" s="1" t="s">
        <v>420</v>
      </c>
      <c r="F709" s="2">
        <v>258195.0</v>
      </c>
      <c r="I709" s="2">
        <v>1.4603E7</v>
      </c>
      <c r="J709" s="2">
        <v>29184.0</v>
      </c>
      <c r="K709" s="2">
        <v>1.4090379E7</v>
      </c>
      <c r="L709" s="2">
        <v>1.298366E7</v>
      </c>
      <c r="N709" s="2">
        <v>1106719.0</v>
      </c>
      <c r="P709" s="3"/>
      <c r="Q709" s="3"/>
      <c r="R709" s="3"/>
      <c r="S709" s="3"/>
      <c r="T709" s="3"/>
      <c r="U709" s="3"/>
      <c r="V709" s="3"/>
      <c r="W709" s="3"/>
      <c r="X709" s="3"/>
      <c r="Y709" s="3"/>
      <c r="Z709" s="3"/>
      <c r="AA709" s="3"/>
      <c r="AB709" s="3"/>
      <c r="AC709" s="3"/>
      <c r="AD709" s="3"/>
      <c r="AE709" s="3"/>
      <c r="AF709" s="3"/>
      <c r="AG709" s="3"/>
    </row>
    <row r="710">
      <c r="A710" s="2">
        <v>2018.0</v>
      </c>
      <c r="B710" s="2" t="s">
        <v>483</v>
      </c>
      <c r="D710" s="2" t="s">
        <v>1022</v>
      </c>
      <c r="E710" s="1" t="s">
        <v>420</v>
      </c>
      <c r="F710" s="2">
        <v>1000.0</v>
      </c>
      <c r="I710" s="2">
        <v>1.6504E7</v>
      </c>
      <c r="J710" s="2">
        <v>55161.0</v>
      </c>
      <c r="K710" s="2">
        <v>1.6560161E7</v>
      </c>
      <c r="L710" s="2">
        <v>1.4537869E7</v>
      </c>
      <c r="N710" s="2">
        <v>2022292.0</v>
      </c>
      <c r="P710" s="3"/>
      <c r="Q710" s="3"/>
      <c r="R710" s="3"/>
      <c r="S710" s="3"/>
      <c r="T710" s="3"/>
      <c r="U710" s="3"/>
      <c r="V710" s="3"/>
      <c r="W710" s="3"/>
      <c r="X710" s="3"/>
      <c r="Y710" s="3"/>
      <c r="Z710" s="3"/>
      <c r="AA710" s="3"/>
      <c r="AB710" s="3"/>
      <c r="AC710" s="3"/>
      <c r="AD710" s="3"/>
      <c r="AE710" s="3"/>
      <c r="AF710" s="3"/>
      <c r="AG710" s="3"/>
    </row>
    <row r="711">
      <c r="A711" s="2">
        <v>2018.0</v>
      </c>
      <c r="B711" s="2" t="s">
        <v>483</v>
      </c>
      <c r="D711" s="2" t="s">
        <v>1024</v>
      </c>
      <c r="E711" s="1" t="s">
        <v>420</v>
      </c>
      <c r="F711" s="2">
        <v>1000.0</v>
      </c>
      <c r="I711" s="2">
        <v>1.4071875E7</v>
      </c>
      <c r="J711" s="2">
        <v>8362.0</v>
      </c>
      <c r="K711" s="2">
        <v>1.4081237E7</v>
      </c>
      <c r="L711" s="2">
        <v>1.4080237E7</v>
      </c>
      <c r="N711" s="2">
        <v>1000.0</v>
      </c>
      <c r="P711" s="3"/>
      <c r="Q711" s="3"/>
      <c r="R711" s="3"/>
      <c r="S711" s="3"/>
      <c r="T711" s="3"/>
      <c r="U711" s="3"/>
      <c r="V711" s="3"/>
      <c r="W711" s="3"/>
      <c r="X711" s="3"/>
      <c r="Y711" s="3"/>
      <c r="Z711" s="3"/>
      <c r="AA711" s="3"/>
      <c r="AB711" s="3"/>
      <c r="AC711" s="3"/>
      <c r="AD711" s="3"/>
      <c r="AE711" s="3"/>
      <c r="AF711" s="3"/>
      <c r="AG711" s="3"/>
    </row>
    <row r="712">
      <c r="A712" s="2">
        <v>2018.0</v>
      </c>
      <c r="B712" s="2" t="s">
        <v>483</v>
      </c>
      <c r="D712" s="2" t="s">
        <v>1025</v>
      </c>
      <c r="E712" s="1" t="s">
        <v>420</v>
      </c>
      <c r="F712" s="2">
        <v>891545.0</v>
      </c>
      <c r="I712" s="2">
        <v>1.3679E7</v>
      </c>
      <c r="J712" s="2">
        <v>91541.0</v>
      </c>
      <c r="K712" s="2">
        <v>1.4662086E7</v>
      </c>
      <c r="L712" s="2">
        <v>1.2410576E7</v>
      </c>
      <c r="N712" s="2">
        <v>2251510.0</v>
      </c>
      <c r="P712" s="3"/>
      <c r="Q712" s="3"/>
      <c r="R712" s="3"/>
      <c r="S712" s="3"/>
      <c r="T712" s="3"/>
      <c r="U712" s="3"/>
      <c r="V712" s="3"/>
      <c r="W712" s="3"/>
      <c r="X712" s="3"/>
      <c r="Y712" s="3"/>
      <c r="Z712" s="3"/>
      <c r="AA712" s="3"/>
      <c r="AB712" s="3"/>
      <c r="AC712" s="3"/>
      <c r="AD712" s="3"/>
      <c r="AE712" s="3"/>
      <c r="AF712" s="3"/>
      <c r="AG712" s="3"/>
    </row>
    <row r="713">
      <c r="A713" s="2">
        <v>2018.0</v>
      </c>
      <c r="B713" s="2" t="s">
        <v>483</v>
      </c>
      <c r="D713" s="2" t="s">
        <v>1026</v>
      </c>
      <c r="E713" s="1" t="s">
        <v>420</v>
      </c>
      <c r="F713" s="2">
        <v>17559.0</v>
      </c>
      <c r="I713" s="2">
        <v>6687000.0</v>
      </c>
      <c r="J713" s="2">
        <v>52197.0</v>
      </c>
      <c r="K713" s="2">
        <v>6756756.0</v>
      </c>
      <c r="L713" s="2">
        <v>5859119.0</v>
      </c>
      <c r="N713" s="2">
        <v>897637.0</v>
      </c>
      <c r="P713" s="3"/>
      <c r="Q713" s="3"/>
      <c r="R713" s="3"/>
      <c r="S713" s="3"/>
      <c r="T713" s="3"/>
      <c r="U713" s="3"/>
      <c r="V713" s="3"/>
      <c r="W713" s="3"/>
      <c r="X713" s="3"/>
      <c r="Y713" s="3"/>
      <c r="Z713" s="3"/>
      <c r="AA713" s="3"/>
      <c r="AB713" s="3"/>
      <c r="AC713" s="3"/>
      <c r="AD713" s="3"/>
      <c r="AE713" s="3"/>
      <c r="AF713" s="3"/>
      <c r="AG713" s="3"/>
    </row>
    <row r="714">
      <c r="A714" s="2">
        <v>2018.0</v>
      </c>
      <c r="B714" s="2" t="s">
        <v>483</v>
      </c>
      <c r="D714" s="2" t="s">
        <v>1028</v>
      </c>
      <c r="E714" s="1" t="s">
        <v>420</v>
      </c>
      <c r="F714" s="2">
        <v>624418.0</v>
      </c>
      <c r="I714" s="2">
        <v>9625000.0</v>
      </c>
      <c r="J714" s="2">
        <v>55341.0</v>
      </c>
      <c r="K714" s="2">
        <v>1.0304759E7</v>
      </c>
      <c r="L714" s="2">
        <v>9304342.0</v>
      </c>
      <c r="N714" s="2">
        <v>1000417.0</v>
      </c>
      <c r="P714" s="3"/>
      <c r="Q714" s="3"/>
      <c r="R714" s="3"/>
      <c r="S714" s="3"/>
      <c r="T714" s="3"/>
      <c r="U714" s="3"/>
      <c r="V714" s="3"/>
      <c r="W714" s="3"/>
      <c r="X714" s="3"/>
      <c r="Y714" s="3"/>
      <c r="Z714" s="3"/>
      <c r="AA714" s="3"/>
      <c r="AB714" s="3"/>
      <c r="AC714" s="3"/>
      <c r="AD714" s="3"/>
      <c r="AE714" s="3"/>
      <c r="AF714" s="3"/>
      <c r="AG714" s="3"/>
    </row>
    <row r="715">
      <c r="A715" s="2">
        <v>2018.0</v>
      </c>
      <c r="B715" s="2" t="s">
        <v>483</v>
      </c>
      <c r="D715" s="2" t="s">
        <v>681</v>
      </c>
      <c r="E715" s="1" t="s">
        <v>420</v>
      </c>
      <c r="F715" s="2">
        <v>254776.0</v>
      </c>
      <c r="I715" s="2">
        <v>9948000.0</v>
      </c>
      <c r="J715" s="2">
        <v>31819.0</v>
      </c>
      <c r="K715" s="2">
        <v>1.0234595E7</v>
      </c>
      <c r="L715" s="2">
        <v>9636088.0</v>
      </c>
      <c r="N715" s="2">
        <v>598507.0</v>
      </c>
      <c r="P715" s="3"/>
      <c r="Q715" s="3"/>
      <c r="R715" s="3"/>
      <c r="S715" s="3"/>
      <c r="T715" s="3"/>
      <c r="U715" s="3"/>
      <c r="V715" s="3"/>
      <c r="W715" s="3"/>
      <c r="X715" s="3"/>
      <c r="Y715" s="3"/>
      <c r="Z715" s="3"/>
      <c r="AA715" s="3"/>
      <c r="AB715" s="3"/>
      <c r="AC715" s="3"/>
      <c r="AD715" s="3"/>
      <c r="AE715" s="3"/>
      <c r="AF715" s="3"/>
      <c r="AG715" s="3"/>
    </row>
    <row r="716">
      <c r="A716" s="2">
        <v>2018.0</v>
      </c>
      <c r="B716" s="2" t="s">
        <v>483</v>
      </c>
      <c r="D716" s="2" t="s">
        <v>684</v>
      </c>
      <c r="E716" s="1" t="s">
        <v>420</v>
      </c>
      <c r="F716" s="2">
        <v>32801.0</v>
      </c>
      <c r="I716" s="2">
        <v>2.0752E7</v>
      </c>
      <c r="J716" s="2">
        <v>32510.0</v>
      </c>
      <c r="K716" s="2">
        <v>2.0817311E7</v>
      </c>
      <c r="L716" s="2">
        <v>2.0051606E7</v>
      </c>
      <c r="N716" s="2">
        <v>765705.0</v>
      </c>
      <c r="P716" s="3"/>
      <c r="Q716" s="3"/>
      <c r="R716" s="3"/>
      <c r="S716" s="3"/>
      <c r="T716" s="3"/>
      <c r="U716" s="3"/>
      <c r="V716" s="3"/>
      <c r="W716" s="3"/>
      <c r="X716" s="3"/>
      <c r="Y716" s="3"/>
      <c r="Z716" s="3"/>
      <c r="AA716" s="3"/>
      <c r="AB716" s="3"/>
      <c r="AC716" s="3"/>
      <c r="AD716" s="3"/>
      <c r="AE716" s="3"/>
      <c r="AF716" s="3"/>
      <c r="AG716" s="3"/>
    </row>
    <row r="717">
      <c r="A717" s="2">
        <v>2018.0</v>
      </c>
      <c r="B717" s="2" t="s">
        <v>483</v>
      </c>
      <c r="D717" s="2" t="s">
        <v>688</v>
      </c>
      <c r="E717" s="1" t="s">
        <v>420</v>
      </c>
      <c r="F717" s="2">
        <v>1608784.0</v>
      </c>
      <c r="I717" s="2">
        <v>9893200.0</v>
      </c>
      <c r="J717" s="2">
        <v>69230.0</v>
      </c>
      <c r="K717" s="2">
        <v>1.1571214E7</v>
      </c>
      <c r="L717" s="2">
        <v>1.0603622E7</v>
      </c>
      <c r="N717" s="2">
        <v>967592.0</v>
      </c>
      <c r="P717" s="3"/>
      <c r="Q717" s="3"/>
      <c r="R717" s="3"/>
      <c r="S717" s="3"/>
      <c r="T717" s="3"/>
      <c r="U717" s="3"/>
      <c r="V717" s="3"/>
      <c r="W717" s="3"/>
      <c r="X717" s="3"/>
      <c r="Y717" s="3"/>
      <c r="Z717" s="3"/>
      <c r="AA717" s="3"/>
      <c r="AB717" s="3"/>
      <c r="AC717" s="3"/>
      <c r="AD717" s="3"/>
      <c r="AE717" s="3"/>
      <c r="AF717" s="3"/>
      <c r="AG717" s="3"/>
    </row>
    <row r="718">
      <c r="A718" s="2">
        <v>2018.0</v>
      </c>
      <c r="B718" s="2" t="s">
        <v>483</v>
      </c>
      <c r="D718" s="2" t="s">
        <v>484</v>
      </c>
      <c r="E718" s="1" t="s">
        <v>420</v>
      </c>
      <c r="F718" s="2">
        <v>223038.0</v>
      </c>
      <c r="I718" s="2">
        <v>6989000.0</v>
      </c>
      <c r="J718" s="2">
        <v>28726.0</v>
      </c>
      <c r="K718" s="2">
        <v>7240764.0</v>
      </c>
      <c r="L718" s="2">
        <v>6558565.0</v>
      </c>
      <c r="N718" s="2">
        <v>682199.0</v>
      </c>
      <c r="P718" s="3"/>
      <c r="Q718" s="3"/>
      <c r="R718" s="3"/>
      <c r="S718" s="3"/>
      <c r="T718" s="3"/>
      <c r="U718" s="3"/>
      <c r="V718" s="3"/>
      <c r="W718" s="3"/>
      <c r="X718" s="3"/>
      <c r="Y718" s="3"/>
      <c r="Z718" s="3"/>
      <c r="AA718" s="3"/>
      <c r="AB718" s="3"/>
      <c r="AC718" s="3"/>
      <c r="AD718" s="3"/>
      <c r="AE718" s="3"/>
      <c r="AF718" s="3"/>
      <c r="AG718" s="3"/>
    </row>
    <row r="719">
      <c r="A719" s="2">
        <v>2018.0</v>
      </c>
      <c r="B719" s="2" t="s">
        <v>483</v>
      </c>
      <c r="D719" s="2" t="s">
        <v>884</v>
      </c>
      <c r="E719" s="1" t="s">
        <v>420</v>
      </c>
      <c r="F719" s="2">
        <v>3346.0</v>
      </c>
      <c r="I719" s="2">
        <v>5855000.0</v>
      </c>
      <c r="J719" s="2">
        <v>13488.0</v>
      </c>
      <c r="K719" s="2">
        <v>5871834.0</v>
      </c>
      <c r="L719" s="2">
        <v>5255143.0</v>
      </c>
      <c r="N719" s="2">
        <v>616691.0</v>
      </c>
      <c r="P719" s="3"/>
      <c r="Q719" s="3"/>
      <c r="R719" s="3"/>
      <c r="S719" s="3"/>
      <c r="T719" s="3"/>
      <c r="U719" s="3"/>
      <c r="V719" s="3"/>
      <c r="W719" s="3"/>
      <c r="X719" s="3"/>
      <c r="Y719" s="3"/>
      <c r="Z719" s="3"/>
      <c r="AA719" s="3"/>
      <c r="AB719" s="3"/>
      <c r="AC719" s="3"/>
      <c r="AD719" s="3"/>
      <c r="AE719" s="3"/>
      <c r="AF719" s="3"/>
      <c r="AG719" s="3"/>
    </row>
    <row r="720">
      <c r="A720" s="2">
        <v>2018.0</v>
      </c>
      <c r="B720" s="2" t="s">
        <v>483</v>
      </c>
      <c r="D720" s="2" t="s">
        <v>487</v>
      </c>
      <c r="E720" s="1" t="s">
        <v>420</v>
      </c>
      <c r="F720" s="2">
        <v>470398.0</v>
      </c>
      <c r="I720" s="2">
        <v>7793000.0</v>
      </c>
      <c r="J720" s="2">
        <v>25239.0</v>
      </c>
      <c r="K720" s="2">
        <v>8288637.0</v>
      </c>
      <c r="L720" s="2">
        <v>7798953.0</v>
      </c>
      <c r="N720" s="2">
        <v>489684.0</v>
      </c>
      <c r="P720" s="3"/>
      <c r="Q720" s="3"/>
      <c r="R720" s="3"/>
      <c r="S720" s="3"/>
      <c r="T720" s="3"/>
      <c r="U720" s="3"/>
      <c r="V720" s="3"/>
      <c r="W720" s="3"/>
      <c r="X720" s="3"/>
      <c r="Y720" s="3"/>
      <c r="Z720" s="3"/>
      <c r="AA720" s="3"/>
      <c r="AB720" s="3"/>
      <c r="AC720" s="3"/>
      <c r="AD720" s="3"/>
      <c r="AE720" s="3"/>
      <c r="AF720" s="3"/>
      <c r="AG720" s="3"/>
    </row>
    <row r="721">
      <c r="A721" s="2">
        <v>2018.0</v>
      </c>
      <c r="B721" s="2" t="s">
        <v>483</v>
      </c>
      <c r="D721" s="2" t="s">
        <v>671</v>
      </c>
      <c r="E721" s="1" t="s">
        <v>420</v>
      </c>
      <c r="F721" s="2">
        <v>703880.0</v>
      </c>
      <c r="I721" s="2">
        <v>1.9689E7</v>
      </c>
      <c r="J721" s="2">
        <v>39438.0</v>
      </c>
      <c r="K721" s="2">
        <v>2.0432318E7</v>
      </c>
      <c r="L721" s="2">
        <v>1.8581543E7</v>
      </c>
      <c r="N721" s="2">
        <v>1850775.0</v>
      </c>
      <c r="P721" s="3"/>
      <c r="Q721" s="3"/>
      <c r="R721" s="3"/>
      <c r="S721" s="3"/>
      <c r="T721" s="3"/>
      <c r="U721" s="3"/>
      <c r="V721" s="3"/>
      <c r="W721" s="3"/>
      <c r="X721" s="3"/>
      <c r="Y721" s="3"/>
      <c r="Z721" s="3"/>
      <c r="AA721" s="3"/>
      <c r="AB721" s="3"/>
      <c r="AC721" s="3"/>
      <c r="AD721" s="3"/>
      <c r="AE721" s="3"/>
      <c r="AF721" s="3"/>
      <c r="AG721" s="3"/>
    </row>
    <row r="722">
      <c r="A722" s="2">
        <v>2018.0</v>
      </c>
      <c r="B722" s="2" t="s">
        <v>483</v>
      </c>
      <c r="D722" s="2" t="s">
        <v>1037</v>
      </c>
      <c r="E722" s="1" t="s">
        <v>420</v>
      </c>
      <c r="F722" s="2">
        <v>358516.0</v>
      </c>
      <c r="I722" s="2">
        <v>1.7551E7</v>
      </c>
      <c r="J722" s="2">
        <v>64597.0</v>
      </c>
      <c r="K722" s="2">
        <v>1.7974113E7</v>
      </c>
      <c r="L722" s="2">
        <v>1.6075807E7</v>
      </c>
      <c r="N722" s="2">
        <v>1898306.0</v>
      </c>
      <c r="P722" s="3"/>
      <c r="Q722" s="3"/>
      <c r="R722" s="3"/>
      <c r="S722" s="3"/>
      <c r="T722" s="3"/>
      <c r="U722" s="3"/>
      <c r="V722" s="3"/>
      <c r="W722" s="3"/>
      <c r="X722" s="3"/>
      <c r="Y722" s="3"/>
      <c r="Z722" s="3"/>
      <c r="AA722" s="3"/>
      <c r="AB722" s="3"/>
      <c r="AC722" s="3"/>
      <c r="AD722" s="3"/>
      <c r="AE722" s="3"/>
      <c r="AF722" s="3"/>
      <c r="AG722" s="3"/>
    </row>
    <row r="723">
      <c r="A723" s="2">
        <v>2018.0</v>
      </c>
      <c r="B723" s="2" t="s">
        <v>483</v>
      </c>
      <c r="D723" s="2" t="s">
        <v>675</v>
      </c>
      <c r="E723" s="1" t="s">
        <v>420</v>
      </c>
      <c r="F723" s="2">
        <v>655620.0</v>
      </c>
      <c r="I723" s="2">
        <v>1.3676E7</v>
      </c>
      <c r="J723" s="2">
        <v>43555.0</v>
      </c>
      <c r="K723" s="2">
        <v>1.4375175E7</v>
      </c>
      <c r="L723" s="2">
        <v>1.432749E7</v>
      </c>
      <c r="N723" s="2">
        <v>47685.0</v>
      </c>
      <c r="P723" s="3"/>
      <c r="Q723" s="3"/>
      <c r="R723" s="3"/>
      <c r="S723" s="3"/>
      <c r="T723" s="3"/>
      <c r="U723" s="3"/>
      <c r="V723" s="3"/>
      <c r="W723" s="3"/>
      <c r="X723" s="3"/>
      <c r="Y723" s="3"/>
      <c r="Z723" s="3"/>
      <c r="AA723" s="3"/>
      <c r="AB723" s="3"/>
      <c r="AC723" s="3"/>
      <c r="AD723" s="3"/>
      <c r="AE723" s="3"/>
      <c r="AF723" s="3"/>
      <c r="AG723" s="3"/>
    </row>
    <row r="724">
      <c r="A724" s="2">
        <v>2018.0</v>
      </c>
      <c r="B724" s="2" t="s">
        <v>483</v>
      </c>
      <c r="D724" s="2" t="s">
        <v>677</v>
      </c>
      <c r="E724" s="1" t="s">
        <v>420</v>
      </c>
      <c r="F724" s="2">
        <v>355398.0</v>
      </c>
      <c r="I724" s="2">
        <v>1.31785E7</v>
      </c>
      <c r="J724" s="2">
        <v>65459.0</v>
      </c>
      <c r="K724" s="2">
        <v>1.3599357E7</v>
      </c>
      <c r="L724" s="2">
        <v>1.2608923E7</v>
      </c>
      <c r="N724" s="2">
        <v>990434.0</v>
      </c>
      <c r="P724" s="3"/>
      <c r="Q724" s="3"/>
      <c r="R724" s="3"/>
      <c r="S724" s="3"/>
      <c r="T724" s="3"/>
      <c r="U724" s="3"/>
      <c r="V724" s="3"/>
      <c r="W724" s="3"/>
      <c r="X724" s="3"/>
      <c r="Y724" s="3"/>
      <c r="Z724" s="3"/>
      <c r="AA724" s="3"/>
      <c r="AB724" s="3"/>
      <c r="AC724" s="3"/>
      <c r="AD724" s="3"/>
      <c r="AE724" s="3"/>
      <c r="AF724" s="3"/>
      <c r="AG724" s="3"/>
    </row>
    <row r="725">
      <c r="A725" s="2">
        <v>2018.0</v>
      </c>
      <c r="B725" s="2" t="s">
        <v>483</v>
      </c>
      <c r="D725" s="2" t="s">
        <v>680</v>
      </c>
      <c r="E725" s="1" t="s">
        <v>420</v>
      </c>
      <c r="F725" s="2">
        <v>94596.0</v>
      </c>
      <c r="I725" s="2">
        <v>9027000.0</v>
      </c>
      <c r="J725" s="2">
        <v>51029.0</v>
      </c>
      <c r="K725" s="2">
        <v>9172625.0</v>
      </c>
      <c r="L725" s="2">
        <v>7127140.0</v>
      </c>
      <c r="N725" s="2">
        <v>2045485.0</v>
      </c>
      <c r="P725" s="3"/>
      <c r="Q725" s="3"/>
      <c r="R725" s="3"/>
      <c r="S725" s="3"/>
      <c r="T725" s="3"/>
      <c r="U725" s="3"/>
      <c r="V725" s="3"/>
      <c r="W725" s="3"/>
      <c r="X725" s="3"/>
      <c r="Y725" s="3"/>
      <c r="Z725" s="3"/>
      <c r="AA725" s="3"/>
      <c r="AB725" s="3"/>
      <c r="AC725" s="3"/>
      <c r="AD725" s="3"/>
      <c r="AE725" s="3"/>
      <c r="AF725" s="3"/>
      <c r="AG725" s="3"/>
    </row>
    <row r="726">
      <c r="A726" s="2">
        <v>2018.0</v>
      </c>
      <c r="B726" s="2" t="s">
        <v>483</v>
      </c>
      <c r="D726" s="2" t="s">
        <v>661</v>
      </c>
      <c r="E726" s="1" t="s">
        <v>420</v>
      </c>
      <c r="F726" s="2">
        <v>1219602.0</v>
      </c>
      <c r="I726" s="2">
        <v>2.0647E7</v>
      </c>
      <c r="J726" s="2">
        <v>0.0</v>
      </c>
      <c r="K726" s="2">
        <v>2.1866602E7</v>
      </c>
      <c r="L726" s="2">
        <v>1.9917664E7</v>
      </c>
      <c r="N726" s="2">
        <v>1948938.0</v>
      </c>
      <c r="P726" s="3"/>
      <c r="Q726" s="3"/>
      <c r="R726" s="3"/>
      <c r="S726" s="3"/>
      <c r="T726" s="3"/>
      <c r="U726" s="3"/>
      <c r="V726" s="3"/>
      <c r="W726" s="3"/>
      <c r="X726" s="3"/>
      <c r="Y726" s="3"/>
      <c r="Z726" s="3"/>
      <c r="AA726" s="3"/>
      <c r="AB726" s="3"/>
      <c r="AC726" s="3"/>
      <c r="AD726" s="3"/>
      <c r="AE726" s="3"/>
      <c r="AF726" s="3"/>
      <c r="AG726" s="3"/>
    </row>
    <row r="727">
      <c r="A727" s="2">
        <v>2018.0</v>
      </c>
      <c r="B727" s="2" t="s">
        <v>483</v>
      </c>
      <c r="D727" s="2" t="s">
        <v>662</v>
      </c>
      <c r="E727" s="1" t="s">
        <v>420</v>
      </c>
      <c r="F727" s="2">
        <v>2197840.0</v>
      </c>
      <c r="I727" s="2">
        <v>1.2335E7</v>
      </c>
      <c r="J727" s="2">
        <v>0.0</v>
      </c>
      <c r="K727" s="2">
        <v>1.453284E7</v>
      </c>
      <c r="L727" s="2">
        <v>1.1696217E7</v>
      </c>
      <c r="N727" s="2">
        <v>2836623.0</v>
      </c>
      <c r="P727" s="3"/>
      <c r="Q727" s="3"/>
      <c r="R727" s="3"/>
      <c r="S727" s="3"/>
      <c r="T727" s="3"/>
      <c r="U727" s="3"/>
      <c r="V727" s="3"/>
      <c r="W727" s="3"/>
      <c r="X727" s="3"/>
      <c r="Y727" s="3"/>
      <c r="Z727" s="3"/>
      <c r="AA727" s="3"/>
      <c r="AB727" s="3"/>
      <c r="AC727" s="3"/>
      <c r="AD727" s="3"/>
      <c r="AE727" s="3"/>
      <c r="AF727" s="3"/>
      <c r="AG727" s="3"/>
    </row>
    <row r="728">
      <c r="A728" s="2">
        <v>2018.0</v>
      </c>
      <c r="B728" s="2" t="s">
        <v>483</v>
      </c>
      <c r="D728" s="2" t="s">
        <v>664</v>
      </c>
      <c r="E728" s="1" t="s">
        <v>420</v>
      </c>
      <c r="F728" s="2">
        <v>57820.0</v>
      </c>
      <c r="I728" s="2">
        <v>1.8214E7</v>
      </c>
      <c r="J728" s="2">
        <v>0.0</v>
      </c>
      <c r="K728" s="2">
        <v>1.827182E7</v>
      </c>
      <c r="L728" s="2">
        <v>1.6870371E7</v>
      </c>
      <c r="N728" s="2">
        <v>1401449.0</v>
      </c>
      <c r="P728" s="3"/>
      <c r="Q728" s="3"/>
      <c r="R728" s="3"/>
      <c r="S728" s="3"/>
      <c r="T728" s="3"/>
      <c r="U728" s="3"/>
      <c r="V728" s="3"/>
      <c r="W728" s="3"/>
      <c r="X728" s="3"/>
      <c r="Y728" s="3"/>
      <c r="Z728" s="3"/>
      <c r="AA728" s="3"/>
      <c r="AB728" s="3"/>
      <c r="AC728" s="3"/>
      <c r="AD728" s="3"/>
      <c r="AE728" s="3"/>
      <c r="AF728" s="3"/>
      <c r="AG728" s="3"/>
    </row>
    <row r="729">
      <c r="A729" s="2">
        <v>2018.0</v>
      </c>
      <c r="B729" s="2" t="s">
        <v>483</v>
      </c>
      <c r="D729" s="2" t="s">
        <v>666</v>
      </c>
      <c r="E729" s="1" t="s">
        <v>420</v>
      </c>
      <c r="F729" s="2">
        <v>4102927.0</v>
      </c>
      <c r="I729" s="2">
        <v>2.1885232E7</v>
      </c>
      <c r="J729" s="2">
        <v>0.0</v>
      </c>
      <c r="K729" s="2">
        <v>2.5988159E7</v>
      </c>
      <c r="L729" s="2">
        <v>2.2594804E7</v>
      </c>
      <c r="N729" s="2">
        <v>3393355.0</v>
      </c>
      <c r="P729" s="3"/>
      <c r="Q729" s="3"/>
      <c r="R729" s="3"/>
      <c r="S729" s="3"/>
      <c r="T729" s="3"/>
      <c r="U729" s="3"/>
      <c r="V729" s="3"/>
      <c r="W729" s="3"/>
      <c r="X729" s="3"/>
      <c r="Y729" s="3"/>
      <c r="Z729" s="3"/>
      <c r="AA729" s="3"/>
      <c r="AB729" s="3"/>
      <c r="AC729" s="3"/>
      <c r="AD729" s="3"/>
      <c r="AE729" s="3"/>
      <c r="AF729" s="3"/>
      <c r="AG729" s="3"/>
    </row>
    <row r="730">
      <c r="A730" s="2">
        <v>2018.0</v>
      </c>
      <c r="B730" s="2" t="s">
        <v>483</v>
      </c>
      <c r="D730" s="2" t="s">
        <v>668</v>
      </c>
      <c r="E730" s="1" t="s">
        <v>420</v>
      </c>
      <c r="F730" s="2">
        <v>1690434.0</v>
      </c>
      <c r="I730" s="2">
        <v>1.6549E7</v>
      </c>
      <c r="J730" s="2">
        <v>0.0</v>
      </c>
      <c r="K730" s="2">
        <v>1.8239434E7</v>
      </c>
      <c r="L730" s="2">
        <v>1.427491E7</v>
      </c>
      <c r="N730" s="2">
        <v>3964524.0</v>
      </c>
      <c r="P730" s="3"/>
      <c r="Q730" s="3"/>
      <c r="R730" s="3"/>
      <c r="S730" s="3"/>
      <c r="T730" s="3"/>
      <c r="U730" s="3"/>
      <c r="V730" s="3"/>
      <c r="W730" s="3"/>
      <c r="X730" s="3"/>
      <c r="Y730" s="3"/>
      <c r="Z730" s="3"/>
      <c r="AA730" s="3"/>
      <c r="AB730" s="3"/>
      <c r="AC730" s="3"/>
      <c r="AD730" s="3"/>
      <c r="AE730" s="3"/>
      <c r="AF730" s="3"/>
      <c r="AG730" s="3"/>
    </row>
    <row r="731">
      <c r="A731" s="2">
        <v>2018.0</v>
      </c>
      <c r="B731" s="2" t="s">
        <v>483</v>
      </c>
      <c r="D731" s="2" t="s">
        <v>1050</v>
      </c>
      <c r="E731" s="1" t="s">
        <v>420</v>
      </c>
      <c r="F731" s="2">
        <v>3338360.0</v>
      </c>
      <c r="I731" s="2">
        <v>1.11E7</v>
      </c>
      <c r="J731" s="2">
        <v>55680.0</v>
      </c>
      <c r="K731" s="2">
        <v>1.449404E7</v>
      </c>
      <c r="L731" s="2">
        <v>8708829.0</v>
      </c>
      <c r="M731" s="2">
        <v>3600000.0</v>
      </c>
      <c r="N731" s="2">
        <v>2185211.0</v>
      </c>
      <c r="P731" s="3"/>
      <c r="Q731" s="3"/>
      <c r="R731" s="3"/>
      <c r="S731" s="3"/>
      <c r="T731" s="3"/>
      <c r="U731" s="3"/>
      <c r="V731" s="3"/>
      <c r="W731" s="3"/>
      <c r="X731" s="3"/>
      <c r="Y731" s="3"/>
      <c r="Z731" s="3"/>
      <c r="AA731" s="3"/>
      <c r="AB731" s="3"/>
      <c r="AC731" s="3"/>
      <c r="AD731" s="3"/>
      <c r="AE731" s="3"/>
      <c r="AF731" s="3"/>
      <c r="AG731" s="3"/>
    </row>
    <row r="732">
      <c r="A732" s="2">
        <v>2018.0</v>
      </c>
      <c r="B732" s="2" t="s">
        <v>483</v>
      </c>
      <c r="D732" s="2" t="s">
        <v>1052</v>
      </c>
      <c r="E732" s="1" t="s">
        <v>420</v>
      </c>
      <c r="F732" s="2">
        <v>1504208.0</v>
      </c>
      <c r="I732" s="2">
        <v>2.2E7</v>
      </c>
      <c r="J732" s="2">
        <v>35017.0</v>
      </c>
      <c r="K732" s="2">
        <v>2.3539225E7</v>
      </c>
      <c r="L732" s="2">
        <v>2.1090702E7</v>
      </c>
      <c r="M732" s="2">
        <v>1500000.0</v>
      </c>
      <c r="N732" s="2">
        <v>948523.0</v>
      </c>
      <c r="P732" s="3"/>
      <c r="Q732" s="3"/>
      <c r="R732" s="3"/>
      <c r="S732" s="3"/>
      <c r="T732" s="3"/>
      <c r="U732" s="3"/>
      <c r="V732" s="3"/>
      <c r="W732" s="3"/>
      <c r="X732" s="3"/>
      <c r="Y732" s="3"/>
      <c r="Z732" s="3"/>
      <c r="AA732" s="3"/>
      <c r="AB732" s="3"/>
      <c r="AC732" s="3"/>
      <c r="AD732" s="3"/>
      <c r="AE732" s="3"/>
      <c r="AF732" s="3"/>
      <c r="AG732" s="3"/>
    </row>
    <row r="733">
      <c r="A733" s="2">
        <v>2018.0</v>
      </c>
      <c r="B733" s="2" t="s">
        <v>483</v>
      </c>
      <c r="D733" s="2" t="s">
        <v>1054</v>
      </c>
      <c r="E733" s="1" t="s">
        <v>420</v>
      </c>
      <c r="F733" s="2">
        <v>193234.0</v>
      </c>
      <c r="I733" s="2">
        <v>7100000.0</v>
      </c>
      <c r="J733" s="2">
        <v>38548.0</v>
      </c>
      <c r="K733" s="2">
        <v>7331782.0</v>
      </c>
      <c r="L733" s="2">
        <v>4848021.0</v>
      </c>
      <c r="N733" s="2">
        <v>2483761.0</v>
      </c>
      <c r="P733" s="3"/>
      <c r="Q733" s="3"/>
      <c r="R733" s="3"/>
      <c r="S733" s="3"/>
      <c r="T733" s="3"/>
      <c r="U733" s="3"/>
      <c r="V733" s="3"/>
      <c r="W733" s="3"/>
      <c r="X733" s="3"/>
      <c r="Y733" s="3"/>
      <c r="Z733" s="3"/>
      <c r="AA733" s="3"/>
      <c r="AB733" s="3"/>
      <c r="AC733" s="3"/>
      <c r="AD733" s="3"/>
      <c r="AE733" s="3"/>
      <c r="AF733" s="3"/>
      <c r="AG733" s="3"/>
    </row>
    <row r="734">
      <c r="A734" s="2">
        <v>2018.0</v>
      </c>
      <c r="B734" s="2" t="s">
        <v>483</v>
      </c>
      <c r="D734" s="2" t="s">
        <v>1055</v>
      </c>
      <c r="E734" s="1" t="s">
        <v>420</v>
      </c>
      <c r="F734" s="2">
        <v>1489752.0</v>
      </c>
      <c r="I734" s="2">
        <v>1.8E7</v>
      </c>
      <c r="J734" s="2">
        <v>120462.0</v>
      </c>
      <c r="K734" s="2">
        <v>1.9610214E7</v>
      </c>
      <c r="L734" s="2">
        <v>1.3701141E7</v>
      </c>
      <c r="M734" s="2">
        <v>3000000.0</v>
      </c>
      <c r="N734" s="2">
        <v>2909073.0</v>
      </c>
      <c r="P734" s="3"/>
      <c r="Q734" s="3"/>
      <c r="R734" s="3"/>
      <c r="S734" s="3"/>
      <c r="T734" s="3"/>
      <c r="U734" s="3"/>
      <c r="V734" s="3"/>
      <c r="W734" s="3"/>
      <c r="X734" s="3"/>
      <c r="Y734" s="3"/>
      <c r="Z734" s="3"/>
      <c r="AA734" s="3"/>
      <c r="AB734" s="3"/>
      <c r="AC734" s="3"/>
      <c r="AD734" s="3"/>
      <c r="AE734" s="3"/>
      <c r="AF734" s="3"/>
      <c r="AG734" s="3"/>
    </row>
    <row r="735">
      <c r="A735" s="2">
        <v>2018.0</v>
      </c>
      <c r="B735" s="2" t="s">
        <v>483</v>
      </c>
      <c r="D735" s="2" t="s">
        <v>1058</v>
      </c>
      <c r="E735" s="1" t="s">
        <v>420</v>
      </c>
      <c r="F735" s="2">
        <v>1377305.0</v>
      </c>
      <c r="I735" s="2">
        <v>1.9112E7</v>
      </c>
      <c r="J735" s="2">
        <v>92079.0</v>
      </c>
      <c r="K735" s="2">
        <v>2.0581384E7</v>
      </c>
      <c r="L735" s="2">
        <v>1.6400267E7</v>
      </c>
      <c r="M735" s="2">
        <v>1200000.0</v>
      </c>
      <c r="N735" s="2">
        <v>2981117.0</v>
      </c>
      <c r="P735" s="3"/>
      <c r="Q735" s="3"/>
      <c r="R735" s="3"/>
      <c r="S735" s="3"/>
      <c r="T735" s="3"/>
      <c r="U735" s="3"/>
      <c r="V735" s="3"/>
      <c r="W735" s="3"/>
      <c r="X735" s="3"/>
      <c r="Y735" s="3"/>
      <c r="Z735" s="3"/>
      <c r="AA735" s="3"/>
      <c r="AB735" s="3"/>
      <c r="AC735" s="3"/>
      <c r="AD735" s="3"/>
      <c r="AE735" s="3"/>
      <c r="AF735" s="3"/>
      <c r="AG735" s="3"/>
    </row>
    <row r="736">
      <c r="A736" s="2">
        <v>2018.0</v>
      </c>
      <c r="B736" s="2" t="s">
        <v>483</v>
      </c>
      <c r="D736" s="2" t="s">
        <v>1060</v>
      </c>
      <c r="E736" s="1" t="s">
        <v>420</v>
      </c>
      <c r="F736" s="2">
        <v>595220.0</v>
      </c>
      <c r="I736" s="2">
        <v>2.78E7</v>
      </c>
      <c r="J736" s="2">
        <v>66521.0</v>
      </c>
      <c r="K736" s="2">
        <v>2.8461741E7</v>
      </c>
      <c r="L736" s="2">
        <v>2.6557339E7</v>
      </c>
      <c r="N736" s="2" t="s">
        <v>1062</v>
      </c>
      <c r="P736" s="3"/>
      <c r="Q736" s="3"/>
      <c r="R736" s="3"/>
      <c r="S736" s="3"/>
      <c r="T736" s="3"/>
      <c r="U736" s="3"/>
      <c r="V736" s="3"/>
      <c r="W736" s="3"/>
      <c r="X736" s="3"/>
      <c r="Y736" s="3"/>
      <c r="Z736" s="3"/>
      <c r="AA736" s="3"/>
      <c r="AB736" s="3"/>
      <c r="AC736" s="3"/>
      <c r="AD736" s="3"/>
      <c r="AE736" s="3"/>
      <c r="AF736" s="3"/>
      <c r="AG736" s="3"/>
    </row>
    <row r="737">
      <c r="A737" s="2">
        <v>2018.0</v>
      </c>
      <c r="B737" s="2" t="s">
        <v>600</v>
      </c>
      <c r="D737" s="2" t="s">
        <v>489</v>
      </c>
      <c r="E737" s="1" t="s">
        <v>420</v>
      </c>
      <c r="F737" s="2">
        <v>1083418.0</v>
      </c>
      <c r="I737" s="2">
        <v>1.4322E7</v>
      </c>
      <c r="J737" s="2">
        <v>70847.0</v>
      </c>
      <c r="K737" s="2">
        <v>1.5476265E7</v>
      </c>
      <c r="L737" s="2">
        <v>1.376975E7</v>
      </c>
      <c r="N737" s="2">
        <v>1706515.0</v>
      </c>
      <c r="P737" s="3"/>
      <c r="Q737" s="3"/>
      <c r="R737" s="3"/>
      <c r="S737" s="3"/>
      <c r="T737" s="3"/>
      <c r="U737" s="3"/>
      <c r="V737" s="3"/>
      <c r="W737" s="3"/>
      <c r="X737" s="3"/>
      <c r="Y737" s="3"/>
      <c r="Z737" s="3"/>
      <c r="AA737" s="3"/>
      <c r="AB737" s="3"/>
      <c r="AC737" s="3"/>
      <c r="AD737" s="3"/>
      <c r="AE737" s="3"/>
      <c r="AF737" s="3"/>
      <c r="AG737" s="3"/>
    </row>
    <row r="738">
      <c r="A738" s="2">
        <v>2018.0</v>
      </c>
      <c r="B738" s="2" t="s">
        <v>600</v>
      </c>
      <c r="D738" s="2" t="s">
        <v>493</v>
      </c>
      <c r="E738" s="1" t="s">
        <v>420</v>
      </c>
      <c r="F738" s="2">
        <v>95134.0</v>
      </c>
      <c r="I738" s="2">
        <v>2.9061E7</v>
      </c>
      <c r="J738" s="2">
        <v>112123.0</v>
      </c>
      <c r="K738" s="2">
        <v>2.9268257E7</v>
      </c>
      <c r="L738" s="2">
        <v>2.8726463E7</v>
      </c>
      <c r="N738" s="2">
        <v>541794.0</v>
      </c>
      <c r="P738" s="3"/>
      <c r="Q738" s="3"/>
      <c r="R738" s="3"/>
      <c r="S738" s="3"/>
      <c r="T738" s="3"/>
      <c r="U738" s="3"/>
      <c r="V738" s="3"/>
      <c r="W738" s="3"/>
      <c r="X738" s="3"/>
      <c r="Y738" s="3"/>
      <c r="Z738" s="3"/>
      <c r="AA738" s="3"/>
      <c r="AB738" s="3"/>
      <c r="AC738" s="3"/>
      <c r="AD738" s="3"/>
      <c r="AE738" s="3"/>
      <c r="AF738" s="3"/>
      <c r="AG738" s="3"/>
    </row>
    <row r="739">
      <c r="A739" s="2">
        <v>2018.0</v>
      </c>
      <c r="B739" s="2" t="s">
        <v>600</v>
      </c>
      <c r="D739" s="2" t="s">
        <v>496</v>
      </c>
      <c r="E739" s="1" t="s">
        <v>420</v>
      </c>
      <c r="F739" s="2">
        <v>265961.0</v>
      </c>
      <c r="I739" s="2">
        <v>3950000.0</v>
      </c>
      <c r="J739" s="2">
        <v>26968.0</v>
      </c>
      <c r="K739" s="2">
        <v>4242929.0</v>
      </c>
      <c r="L739" s="2">
        <v>3613305.0</v>
      </c>
      <c r="N739" s="2">
        <v>629624.0</v>
      </c>
      <c r="P739" s="3"/>
      <c r="Q739" s="3"/>
      <c r="R739" s="3"/>
      <c r="S739" s="3"/>
      <c r="T739" s="3"/>
      <c r="U739" s="3"/>
      <c r="V739" s="3"/>
      <c r="W739" s="3"/>
      <c r="X739" s="3"/>
      <c r="Y739" s="3"/>
      <c r="Z739" s="3"/>
      <c r="AA739" s="3"/>
      <c r="AB739" s="3"/>
      <c r="AC739" s="3"/>
      <c r="AD739" s="3"/>
      <c r="AE739" s="3"/>
      <c r="AF739" s="3"/>
      <c r="AG739" s="3"/>
    </row>
    <row r="740">
      <c r="A740" s="2">
        <v>2018.0</v>
      </c>
      <c r="B740" s="2" t="s">
        <v>600</v>
      </c>
      <c r="D740" s="2" t="s">
        <v>499</v>
      </c>
      <c r="E740" s="1" t="s">
        <v>420</v>
      </c>
      <c r="F740" s="2">
        <v>1355199.0</v>
      </c>
      <c r="I740" s="2">
        <v>3.9123609E7</v>
      </c>
      <c r="J740" s="2">
        <v>169456.0</v>
      </c>
      <c r="K740" s="2">
        <v>4.0648264E7</v>
      </c>
      <c r="L740" s="2">
        <v>3.6818535E7</v>
      </c>
      <c r="N740" s="2">
        <v>3829729.0</v>
      </c>
      <c r="P740" s="3"/>
      <c r="Q740" s="3"/>
      <c r="R740" s="3"/>
      <c r="S740" s="3"/>
      <c r="T740" s="3"/>
      <c r="U740" s="3"/>
      <c r="V740" s="3"/>
      <c r="W740" s="3"/>
      <c r="X740" s="3"/>
      <c r="Y740" s="3"/>
      <c r="Z740" s="3"/>
      <c r="AA740" s="3"/>
      <c r="AB740" s="3"/>
      <c r="AC740" s="3"/>
      <c r="AD740" s="3"/>
      <c r="AE740" s="3"/>
      <c r="AF740" s="3"/>
      <c r="AG740" s="3"/>
    </row>
    <row r="741">
      <c r="A741" s="2">
        <v>2018.0</v>
      </c>
      <c r="B741" s="2" t="s">
        <v>600</v>
      </c>
      <c r="D741" s="2" t="s">
        <v>501</v>
      </c>
      <c r="E741" s="1" t="s">
        <v>420</v>
      </c>
      <c r="F741" s="2">
        <v>2094995.0</v>
      </c>
      <c r="I741" s="2">
        <v>2.5622E7</v>
      </c>
      <c r="J741" s="2">
        <v>125670.0</v>
      </c>
      <c r="K741" s="2">
        <v>2.7842665E7</v>
      </c>
      <c r="L741" s="2">
        <v>2.3106012E7</v>
      </c>
      <c r="N741" s="2">
        <v>4736653.0</v>
      </c>
      <c r="P741" s="3"/>
      <c r="Q741" s="3"/>
      <c r="R741" s="3"/>
      <c r="S741" s="3"/>
      <c r="T741" s="3"/>
      <c r="U741" s="3"/>
      <c r="V741" s="3"/>
      <c r="W741" s="3"/>
      <c r="X741" s="3"/>
      <c r="Y741" s="3"/>
      <c r="Z741" s="3"/>
      <c r="AA741" s="3"/>
      <c r="AB741" s="3"/>
      <c r="AC741" s="3"/>
      <c r="AD741" s="3"/>
      <c r="AE741" s="3"/>
      <c r="AF741" s="3"/>
      <c r="AG741" s="3"/>
    </row>
    <row r="742">
      <c r="A742" s="2">
        <v>2018.0</v>
      </c>
      <c r="B742" s="2" t="s">
        <v>600</v>
      </c>
      <c r="D742" s="2" t="s">
        <v>505</v>
      </c>
      <c r="E742" s="1" t="s">
        <v>420</v>
      </c>
      <c r="F742" s="2">
        <v>1366630.0</v>
      </c>
      <c r="I742" s="2">
        <v>1.74E7</v>
      </c>
      <c r="J742" s="2">
        <v>73176.0</v>
      </c>
      <c r="K742" s="2">
        <v>1.8839806E7</v>
      </c>
      <c r="L742" s="2">
        <v>1.7566796E7</v>
      </c>
      <c r="N742" s="2">
        <v>1273010.0</v>
      </c>
      <c r="P742" s="3"/>
      <c r="Q742" s="3"/>
      <c r="R742" s="3"/>
      <c r="S742" s="3"/>
      <c r="T742" s="3"/>
      <c r="U742" s="3"/>
      <c r="V742" s="3"/>
      <c r="W742" s="3"/>
      <c r="X742" s="3"/>
      <c r="Y742" s="3"/>
      <c r="Z742" s="3"/>
      <c r="AA742" s="3"/>
      <c r="AB742" s="3"/>
      <c r="AC742" s="3"/>
      <c r="AD742" s="3"/>
      <c r="AE742" s="3"/>
      <c r="AF742" s="3"/>
      <c r="AG742" s="3"/>
    </row>
    <row r="743">
      <c r="A743" s="2">
        <v>2018.0</v>
      </c>
      <c r="B743" s="2" t="s">
        <v>600</v>
      </c>
      <c r="D743" s="2" t="s">
        <v>508</v>
      </c>
      <c r="E743" s="1" t="s">
        <v>420</v>
      </c>
      <c r="F743" s="2">
        <v>2082329.0</v>
      </c>
      <c r="I743" s="2">
        <v>2.8598E7</v>
      </c>
      <c r="J743" s="2">
        <v>103560.0</v>
      </c>
      <c r="K743" s="2">
        <v>3.0783889E7</v>
      </c>
      <c r="L743" s="2">
        <v>2.9109829E7</v>
      </c>
      <c r="N743" s="2">
        <v>1674060.0</v>
      </c>
      <c r="P743" s="3"/>
      <c r="Q743" s="3"/>
      <c r="R743" s="3"/>
      <c r="S743" s="3"/>
      <c r="T743" s="3"/>
      <c r="U743" s="3"/>
      <c r="V743" s="3"/>
      <c r="W743" s="3"/>
      <c r="X743" s="3"/>
      <c r="Y743" s="3"/>
      <c r="Z743" s="3"/>
      <c r="AA743" s="3"/>
      <c r="AB743" s="3"/>
      <c r="AC743" s="3"/>
      <c r="AD743" s="3"/>
      <c r="AE743" s="3"/>
      <c r="AF743" s="3"/>
      <c r="AG743" s="3"/>
    </row>
    <row r="744">
      <c r="A744" s="2">
        <v>2018.0</v>
      </c>
      <c r="B744" s="2" t="s">
        <v>600</v>
      </c>
      <c r="D744" s="2" t="s">
        <v>510</v>
      </c>
      <c r="E744" s="1" t="s">
        <v>420</v>
      </c>
      <c r="F744" s="2">
        <v>398332.0</v>
      </c>
      <c r="I744" s="2">
        <v>1.0566E7</v>
      </c>
      <c r="J744" s="2">
        <v>45926.0</v>
      </c>
      <c r="K744" s="2">
        <v>1.1010258E7</v>
      </c>
      <c r="L744" s="2">
        <v>9968445.0</v>
      </c>
      <c r="N744" s="2">
        <v>1041813.0</v>
      </c>
      <c r="P744" s="3"/>
      <c r="Q744" s="3"/>
      <c r="R744" s="3"/>
      <c r="S744" s="3"/>
      <c r="T744" s="3"/>
      <c r="U744" s="3"/>
      <c r="V744" s="3"/>
      <c r="W744" s="3"/>
      <c r="X744" s="3"/>
      <c r="Y744" s="3"/>
      <c r="Z744" s="3"/>
      <c r="AA744" s="3"/>
      <c r="AB744" s="3"/>
      <c r="AC744" s="3"/>
      <c r="AD744" s="3"/>
      <c r="AE744" s="3"/>
      <c r="AF744" s="3"/>
      <c r="AG744" s="3"/>
    </row>
    <row r="745">
      <c r="A745" s="2">
        <v>2018.0</v>
      </c>
      <c r="B745" s="2" t="s">
        <v>600</v>
      </c>
      <c r="D745" s="2" t="s">
        <v>518</v>
      </c>
      <c r="E745" s="1" t="s">
        <v>420</v>
      </c>
      <c r="F745" s="2">
        <v>1974435.0</v>
      </c>
      <c r="I745" s="2">
        <v>2.288E7</v>
      </c>
      <c r="J745" s="2">
        <v>89765.0</v>
      </c>
      <c r="K745" s="2">
        <v>2.49442E7</v>
      </c>
      <c r="L745" s="2">
        <v>2.2624635E7</v>
      </c>
      <c r="N745" s="2">
        <v>2319565.0</v>
      </c>
      <c r="P745" s="3"/>
      <c r="Q745" s="3"/>
      <c r="R745" s="3"/>
      <c r="S745" s="3"/>
      <c r="T745" s="3"/>
      <c r="U745" s="3"/>
      <c r="V745" s="3"/>
      <c r="W745" s="3"/>
      <c r="X745" s="3"/>
      <c r="Y745" s="3"/>
      <c r="Z745" s="3"/>
      <c r="AA745" s="3"/>
      <c r="AB745" s="3"/>
      <c r="AC745" s="3"/>
      <c r="AD745" s="3"/>
      <c r="AE745" s="3"/>
      <c r="AF745" s="3"/>
      <c r="AG745" s="3"/>
    </row>
    <row r="746">
      <c r="A746" s="2">
        <v>2018.0</v>
      </c>
      <c r="B746" s="2" t="s">
        <v>600</v>
      </c>
      <c r="D746" s="2" t="s">
        <v>1018</v>
      </c>
      <c r="E746" s="1" t="s">
        <v>420</v>
      </c>
      <c r="F746" s="2">
        <v>3338732.0</v>
      </c>
      <c r="I746" s="2">
        <v>4100000.0</v>
      </c>
      <c r="J746" s="2">
        <v>151361.0</v>
      </c>
      <c r="K746" s="2">
        <v>7590093.0</v>
      </c>
      <c r="L746" s="2">
        <v>2381491.0</v>
      </c>
      <c r="N746" s="2">
        <v>5208602.0</v>
      </c>
      <c r="P746" s="3"/>
      <c r="Q746" s="3"/>
      <c r="R746" s="3"/>
      <c r="S746" s="3"/>
      <c r="T746" s="3"/>
      <c r="U746" s="3"/>
      <c r="V746" s="3"/>
      <c r="W746" s="3"/>
      <c r="X746" s="3"/>
      <c r="Y746" s="3"/>
      <c r="Z746" s="3"/>
      <c r="AA746" s="3"/>
      <c r="AB746" s="3"/>
      <c r="AC746" s="3"/>
      <c r="AD746" s="3"/>
      <c r="AE746" s="3"/>
      <c r="AF746" s="3"/>
      <c r="AG746" s="3"/>
    </row>
    <row r="747">
      <c r="A747" s="2">
        <v>2018.0</v>
      </c>
      <c r="B747" s="2" t="s">
        <v>600</v>
      </c>
      <c r="D747" s="2" t="s">
        <v>1019</v>
      </c>
      <c r="E747" s="1" t="s">
        <v>420</v>
      </c>
      <c r="F747" s="2">
        <v>412313.0</v>
      </c>
      <c r="I747" s="2">
        <v>9468000.0</v>
      </c>
      <c r="J747" s="2">
        <v>38896.0</v>
      </c>
      <c r="K747" s="2">
        <v>9919209.0</v>
      </c>
      <c r="L747" s="2">
        <v>8036135.0</v>
      </c>
      <c r="N747" s="2">
        <v>1883074.0</v>
      </c>
      <c r="P747" s="3"/>
      <c r="Q747" s="3"/>
      <c r="R747" s="3"/>
      <c r="S747" s="3"/>
      <c r="T747" s="3"/>
      <c r="U747" s="3"/>
      <c r="V747" s="3"/>
      <c r="W747" s="3"/>
      <c r="X747" s="3"/>
      <c r="Y747" s="3"/>
      <c r="Z747" s="3"/>
      <c r="AA747" s="3"/>
      <c r="AB747" s="3"/>
      <c r="AC747" s="3"/>
      <c r="AD747" s="3"/>
      <c r="AE747" s="3"/>
      <c r="AF747" s="3"/>
      <c r="AG747" s="3"/>
    </row>
    <row r="748">
      <c r="A748" s="2">
        <v>2018.0</v>
      </c>
      <c r="B748" s="2" t="s">
        <v>600</v>
      </c>
      <c r="D748" s="2" t="s">
        <v>1020</v>
      </c>
      <c r="E748" s="1" t="s">
        <v>420</v>
      </c>
      <c r="F748" s="2">
        <v>3414158.0</v>
      </c>
      <c r="I748" s="2">
        <v>9883800.0</v>
      </c>
      <c r="J748" s="2">
        <v>100518.0</v>
      </c>
      <c r="K748" s="2">
        <v>1.3398476E7</v>
      </c>
      <c r="L748" s="2">
        <v>9495656.0</v>
      </c>
      <c r="N748" s="2">
        <v>3902820.0</v>
      </c>
      <c r="P748" s="3"/>
      <c r="Q748" s="3"/>
      <c r="R748" s="3"/>
      <c r="S748" s="3"/>
      <c r="T748" s="3"/>
      <c r="U748" s="3"/>
      <c r="V748" s="3"/>
      <c r="W748" s="3"/>
      <c r="X748" s="3"/>
      <c r="Y748" s="3"/>
      <c r="Z748" s="3"/>
      <c r="AA748" s="3"/>
      <c r="AB748" s="3"/>
      <c r="AC748" s="3"/>
      <c r="AD748" s="3"/>
      <c r="AE748" s="3"/>
      <c r="AF748" s="3"/>
      <c r="AG748" s="3"/>
    </row>
    <row r="749">
      <c r="A749" s="2">
        <v>2018.0</v>
      </c>
      <c r="B749" s="2" t="s">
        <v>600</v>
      </c>
      <c r="D749" s="2" t="s">
        <v>1021</v>
      </c>
      <c r="E749" s="1" t="s">
        <v>420</v>
      </c>
      <c r="F749" s="2">
        <v>1106719.0</v>
      </c>
      <c r="I749" s="2">
        <v>1.5869E7</v>
      </c>
      <c r="J749" s="2">
        <v>45838.0</v>
      </c>
      <c r="K749" s="2">
        <v>1.7021557E7</v>
      </c>
      <c r="L749" s="2">
        <v>1.4354619E7</v>
      </c>
      <c r="N749" s="2">
        <v>2666938.0</v>
      </c>
      <c r="P749" s="3"/>
      <c r="Q749" s="3"/>
      <c r="R749" s="3"/>
      <c r="S749" s="3"/>
      <c r="T749" s="3"/>
      <c r="U749" s="3"/>
      <c r="V749" s="3"/>
      <c r="W749" s="3"/>
      <c r="X749" s="3"/>
      <c r="Y749" s="3"/>
      <c r="Z749" s="3"/>
      <c r="AA749" s="3"/>
      <c r="AB749" s="3"/>
      <c r="AC749" s="3"/>
      <c r="AD749" s="3"/>
      <c r="AE749" s="3"/>
      <c r="AF749" s="3"/>
      <c r="AG749" s="3"/>
    </row>
    <row r="750">
      <c r="A750" s="2">
        <v>2018.0</v>
      </c>
      <c r="B750" s="2" t="s">
        <v>600</v>
      </c>
      <c r="D750" s="2" t="s">
        <v>1022</v>
      </c>
      <c r="E750" s="1" t="s">
        <v>420</v>
      </c>
      <c r="F750" s="2">
        <v>2022292.0</v>
      </c>
      <c r="I750" s="2">
        <v>1.6798E7</v>
      </c>
      <c r="J750" s="2">
        <v>73058.0</v>
      </c>
      <c r="K750" s="2">
        <v>1.889335E7</v>
      </c>
      <c r="L750" s="2">
        <v>1.4672543E7</v>
      </c>
      <c r="N750" s="2">
        <v>4220807.0</v>
      </c>
      <c r="P750" s="3"/>
      <c r="Q750" s="3"/>
      <c r="R750" s="3"/>
      <c r="S750" s="3"/>
      <c r="T750" s="3"/>
      <c r="U750" s="3"/>
      <c r="V750" s="3"/>
      <c r="W750" s="3"/>
      <c r="X750" s="3"/>
      <c r="Y750" s="3"/>
      <c r="Z750" s="3"/>
      <c r="AA750" s="3"/>
      <c r="AB750" s="3"/>
      <c r="AC750" s="3"/>
      <c r="AD750" s="3"/>
      <c r="AE750" s="3"/>
      <c r="AF750" s="3"/>
      <c r="AG750" s="3"/>
    </row>
    <row r="751">
      <c r="A751" s="2">
        <v>2018.0</v>
      </c>
      <c r="B751" s="2" t="s">
        <v>600</v>
      </c>
      <c r="D751" s="2" t="s">
        <v>1024</v>
      </c>
      <c r="E751" s="1" t="s">
        <v>420</v>
      </c>
      <c r="F751" s="2">
        <v>659858.0</v>
      </c>
      <c r="I751" s="2">
        <v>8408573.0</v>
      </c>
      <c r="J751" s="2">
        <v>90000.0</v>
      </c>
      <c r="K751" s="2">
        <v>9158431.0</v>
      </c>
      <c r="L751" s="2">
        <v>5967499.0</v>
      </c>
      <c r="N751" s="2">
        <v>3190932.0</v>
      </c>
      <c r="P751" s="3"/>
      <c r="Q751" s="3"/>
      <c r="R751" s="3"/>
      <c r="S751" s="3"/>
      <c r="T751" s="3"/>
      <c r="U751" s="3"/>
      <c r="V751" s="3"/>
      <c r="W751" s="3"/>
      <c r="X751" s="3"/>
      <c r="Y751" s="3"/>
      <c r="Z751" s="3"/>
      <c r="AA751" s="3"/>
      <c r="AB751" s="3"/>
      <c r="AC751" s="3"/>
      <c r="AD751" s="3"/>
      <c r="AE751" s="3"/>
      <c r="AF751" s="3"/>
      <c r="AG751" s="3"/>
    </row>
    <row r="752">
      <c r="A752" s="2">
        <v>2018.0</v>
      </c>
      <c r="B752" s="2" t="s">
        <v>600</v>
      </c>
      <c r="D752" s="2" t="s">
        <v>1025</v>
      </c>
      <c r="E752" s="1" t="s">
        <v>420</v>
      </c>
      <c r="F752" s="2">
        <v>2251510.0</v>
      </c>
      <c r="I752" s="2">
        <v>1.2099E7</v>
      </c>
      <c r="J752" s="2">
        <v>111556.0</v>
      </c>
      <c r="K752" s="2">
        <v>1.4462066E7</v>
      </c>
      <c r="L752" s="2">
        <v>1.1893136E7</v>
      </c>
      <c r="N752" s="2">
        <v>2568930.0</v>
      </c>
      <c r="P752" s="3"/>
      <c r="Q752" s="3"/>
      <c r="R752" s="3"/>
      <c r="S752" s="3"/>
      <c r="T752" s="3"/>
      <c r="U752" s="3"/>
      <c r="V752" s="3"/>
      <c r="W752" s="3"/>
      <c r="X752" s="3"/>
      <c r="Y752" s="3"/>
      <c r="Z752" s="3"/>
      <c r="AA752" s="3"/>
      <c r="AB752" s="3"/>
      <c r="AC752" s="3"/>
      <c r="AD752" s="3"/>
      <c r="AE752" s="3"/>
      <c r="AF752" s="3"/>
      <c r="AG752" s="3"/>
    </row>
    <row r="753">
      <c r="A753" s="2">
        <v>2018.0</v>
      </c>
      <c r="B753" s="2" t="s">
        <v>600</v>
      </c>
      <c r="D753" s="2" t="s">
        <v>1026</v>
      </c>
      <c r="E753" s="1" t="s">
        <v>420</v>
      </c>
      <c r="F753" s="2">
        <v>897637.0</v>
      </c>
      <c r="I753" s="2">
        <v>7167000.0</v>
      </c>
      <c r="J753" s="2">
        <v>69494.0</v>
      </c>
      <c r="K753" s="2">
        <v>8134131.0</v>
      </c>
      <c r="L753" s="2">
        <v>5606415.0</v>
      </c>
      <c r="N753" s="2">
        <v>2527716.0</v>
      </c>
      <c r="P753" s="3"/>
      <c r="Q753" s="3"/>
      <c r="R753" s="3"/>
      <c r="S753" s="3"/>
      <c r="T753" s="3"/>
      <c r="U753" s="3"/>
      <c r="V753" s="3"/>
      <c r="W753" s="3"/>
      <c r="X753" s="3"/>
      <c r="Y753" s="3"/>
      <c r="Z753" s="3"/>
      <c r="AA753" s="3"/>
      <c r="AB753" s="3"/>
      <c r="AC753" s="3"/>
      <c r="AD753" s="3"/>
      <c r="AE753" s="3"/>
      <c r="AF753" s="3"/>
      <c r="AG753" s="3"/>
    </row>
    <row r="754">
      <c r="A754" s="2">
        <v>2018.0</v>
      </c>
      <c r="B754" s="2" t="s">
        <v>600</v>
      </c>
      <c r="D754" s="2" t="s">
        <v>1028</v>
      </c>
      <c r="E754" s="1" t="s">
        <v>420</v>
      </c>
      <c r="F754" s="2">
        <v>1000417.0</v>
      </c>
      <c r="I754" s="2">
        <v>1.1974E7</v>
      </c>
      <c r="J754" s="2">
        <v>33347.0</v>
      </c>
      <c r="K754" s="2">
        <v>1.3007764E7</v>
      </c>
      <c r="L754" s="2">
        <v>1.1483329E7</v>
      </c>
      <c r="N754" s="2">
        <v>1524435.0</v>
      </c>
      <c r="P754" s="3"/>
      <c r="Q754" s="3"/>
      <c r="R754" s="3"/>
      <c r="S754" s="3"/>
      <c r="T754" s="3"/>
      <c r="U754" s="3"/>
      <c r="V754" s="3"/>
      <c r="W754" s="3"/>
      <c r="X754" s="3"/>
      <c r="Y754" s="3"/>
      <c r="Z754" s="3"/>
      <c r="AA754" s="3"/>
      <c r="AB754" s="3"/>
      <c r="AC754" s="3"/>
      <c r="AD754" s="3"/>
      <c r="AE754" s="3"/>
      <c r="AF754" s="3"/>
      <c r="AG754" s="3"/>
    </row>
    <row r="755">
      <c r="A755" s="2">
        <v>2018.0</v>
      </c>
      <c r="B755" s="2" t="s">
        <v>600</v>
      </c>
      <c r="D755" s="2" t="s">
        <v>681</v>
      </c>
      <c r="E755" s="1" t="s">
        <v>420</v>
      </c>
      <c r="F755" s="2">
        <v>598507.0</v>
      </c>
      <c r="I755" s="2">
        <v>1.2328E7</v>
      </c>
      <c r="J755" s="2">
        <v>71875.0</v>
      </c>
      <c r="K755" s="2">
        <v>1.2998382E7</v>
      </c>
      <c r="L755" s="2">
        <v>1.0880836E7</v>
      </c>
      <c r="N755" s="2">
        <v>2117546.0</v>
      </c>
      <c r="P755" s="3"/>
      <c r="Q755" s="3"/>
      <c r="R755" s="3"/>
      <c r="S755" s="3"/>
      <c r="T755" s="3"/>
      <c r="U755" s="3"/>
      <c r="V755" s="3"/>
      <c r="W755" s="3"/>
      <c r="X755" s="3"/>
      <c r="Y755" s="3"/>
      <c r="Z755" s="3"/>
      <c r="AA755" s="3"/>
      <c r="AB755" s="3"/>
      <c r="AC755" s="3"/>
      <c r="AD755" s="3"/>
      <c r="AE755" s="3"/>
      <c r="AF755" s="3"/>
      <c r="AG755" s="3"/>
    </row>
    <row r="756">
      <c r="A756" s="2">
        <v>2018.0</v>
      </c>
      <c r="B756" s="2" t="s">
        <v>600</v>
      </c>
      <c r="D756" s="2" t="s">
        <v>684</v>
      </c>
      <c r="E756" s="1" t="s">
        <v>420</v>
      </c>
      <c r="F756" s="2">
        <v>765705.0</v>
      </c>
      <c r="I756" s="2">
        <v>2.586E7</v>
      </c>
      <c r="J756" s="2">
        <v>88625.0</v>
      </c>
      <c r="K756" s="2">
        <v>2.671433E7</v>
      </c>
      <c r="L756" s="2">
        <v>2.2130544E7</v>
      </c>
      <c r="N756" s="2">
        <v>4583786.0</v>
      </c>
      <c r="P756" s="3"/>
      <c r="Q756" s="3"/>
      <c r="R756" s="3"/>
      <c r="S756" s="3"/>
      <c r="T756" s="3"/>
      <c r="U756" s="3"/>
      <c r="V756" s="3"/>
      <c r="W756" s="3"/>
      <c r="X756" s="3"/>
      <c r="Y756" s="3"/>
      <c r="Z756" s="3"/>
      <c r="AA756" s="3"/>
      <c r="AB756" s="3"/>
      <c r="AC756" s="3"/>
      <c r="AD756" s="3"/>
      <c r="AE756" s="3"/>
      <c r="AF756" s="3"/>
      <c r="AG756" s="3"/>
    </row>
    <row r="757">
      <c r="A757" s="2">
        <v>2018.0</v>
      </c>
      <c r="B757" s="2" t="s">
        <v>600</v>
      </c>
      <c r="D757" s="2" t="s">
        <v>688</v>
      </c>
      <c r="E757" s="1" t="s">
        <v>420</v>
      </c>
      <c r="F757" s="2">
        <v>967592.0</v>
      </c>
      <c r="I757" s="2">
        <v>1.2324E7</v>
      </c>
      <c r="J757" s="2">
        <v>81590.0</v>
      </c>
      <c r="K757" s="2">
        <v>1.3373182E7</v>
      </c>
      <c r="L757" s="2">
        <v>1.1268946E7</v>
      </c>
      <c r="N757" s="2">
        <v>2104236.0</v>
      </c>
      <c r="P757" s="3"/>
      <c r="Q757" s="3"/>
      <c r="R757" s="3"/>
      <c r="S757" s="3"/>
      <c r="T757" s="3"/>
      <c r="U757" s="3"/>
      <c r="V757" s="3"/>
      <c r="W757" s="3"/>
      <c r="X757" s="3"/>
      <c r="Y757" s="3"/>
      <c r="Z757" s="3"/>
      <c r="AA757" s="3"/>
      <c r="AB757" s="3"/>
      <c r="AC757" s="3"/>
      <c r="AD757" s="3"/>
      <c r="AE757" s="3"/>
      <c r="AF757" s="3"/>
      <c r="AG757" s="3"/>
    </row>
    <row r="758">
      <c r="A758" s="2">
        <v>2018.0</v>
      </c>
      <c r="B758" s="2" t="s">
        <v>600</v>
      </c>
      <c r="D758" s="2" t="s">
        <v>1071</v>
      </c>
      <c r="E758" s="1" t="s">
        <v>420</v>
      </c>
      <c r="F758" s="2">
        <v>876934.0</v>
      </c>
      <c r="I758" s="2">
        <v>7479331.0</v>
      </c>
      <c r="J758" s="2">
        <v>56037.0</v>
      </c>
      <c r="K758" s="2">
        <v>8412302.0</v>
      </c>
      <c r="L758" s="2">
        <v>7599126.0</v>
      </c>
      <c r="N758" s="2">
        <v>813176.0</v>
      </c>
      <c r="P758" s="3"/>
      <c r="Q758" s="3"/>
      <c r="R758" s="3"/>
      <c r="S758" s="3"/>
      <c r="T758" s="3"/>
      <c r="U758" s="3"/>
      <c r="V758" s="3"/>
      <c r="W758" s="3"/>
      <c r="X758" s="3"/>
      <c r="Y758" s="3"/>
      <c r="Z758" s="3"/>
      <c r="AA758" s="3"/>
      <c r="AB758" s="3"/>
      <c r="AC758" s="3"/>
      <c r="AD758" s="3"/>
      <c r="AE758" s="3"/>
      <c r="AF758" s="3"/>
      <c r="AG758" s="3"/>
    </row>
    <row r="759">
      <c r="A759" s="2">
        <v>2018.0</v>
      </c>
      <c r="B759" s="2" t="s">
        <v>600</v>
      </c>
      <c r="D759" s="2" t="s">
        <v>1072</v>
      </c>
      <c r="E759" s="1" t="s">
        <v>420</v>
      </c>
      <c r="F759" s="2">
        <v>2307500.0</v>
      </c>
      <c r="I759" s="2">
        <v>2.0895E7</v>
      </c>
      <c r="J759" s="2">
        <v>119021.0</v>
      </c>
      <c r="K759" s="2">
        <v>2.3321521E7</v>
      </c>
      <c r="L759" s="2">
        <v>2.0998201E7</v>
      </c>
      <c r="N759" s="2">
        <v>2323320.0</v>
      </c>
      <c r="P759" s="3"/>
      <c r="Q759" s="3"/>
      <c r="R759" s="3"/>
      <c r="S759" s="3"/>
      <c r="T759" s="3"/>
      <c r="U759" s="3"/>
      <c r="V759" s="3"/>
      <c r="W759" s="3"/>
      <c r="X759" s="3"/>
      <c r="Y759" s="3"/>
      <c r="Z759" s="3"/>
      <c r="AA759" s="3"/>
      <c r="AB759" s="3"/>
      <c r="AC759" s="3"/>
      <c r="AD759" s="3"/>
      <c r="AE759" s="3"/>
      <c r="AF759" s="3"/>
      <c r="AG759" s="3"/>
    </row>
    <row r="760">
      <c r="A760" s="2">
        <v>2018.0</v>
      </c>
      <c r="B760" s="2" t="s">
        <v>600</v>
      </c>
      <c r="D760" s="2" t="s">
        <v>1073</v>
      </c>
      <c r="E760" s="1" t="s">
        <v>420</v>
      </c>
      <c r="F760" s="2">
        <v>751954.0</v>
      </c>
      <c r="I760" s="2">
        <v>6412000.0</v>
      </c>
      <c r="J760" s="2">
        <v>49889.0</v>
      </c>
      <c r="K760" s="2">
        <v>7213843.0</v>
      </c>
      <c r="L760" s="2">
        <v>6179471.0</v>
      </c>
      <c r="N760" s="2">
        <v>1034372.0</v>
      </c>
      <c r="P760" s="3"/>
      <c r="Q760" s="3"/>
      <c r="R760" s="3"/>
      <c r="S760" s="3"/>
      <c r="T760" s="3"/>
      <c r="U760" s="3"/>
      <c r="V760" s="3"/>
      <c r="W760" s="3"/>
      <c r="X760" s="3"/>
      <c r="Y760" s="3"/>
      <c r="Z760" s="3"/>
      <c r="AA760" s="3"/>
      <c r="AB760" s="3"/>
      <c r="AC760" s="3"/>
      <c r="AD760" s="3"/>
      <c r="AE760" s="3"/>
      <c r="AF760" s="3"/>
      <c r="AG760" s="3"/>
    </row>
    <row r="761">
      <c r="A761" s="2">
        <v>2018.0</v>
      </c>
      <c r="B761" s="2" t="s">
        <v>600</v>
      </c>
      <c r="D761" s="2" t="s">
        <v>1074</v>
      </c>
      <c r="E761" s="1" t="s">
        <v>420</v>
      </c>
      <c r="F761" s="2">
        <v>1442732.0</v>
      </c>
      <c r="I761" s="2">
        <v>1.4814E7</v>
      </c>
      <c r="J761" s="2">
        <v>89378.0</v>
      </c>
      <c r="K761" s="2">
        <v>1.634611E7</v>
      </c>
      <c r="L761" s="2">
        <v>1.4899167E7</v>
      </c>
      <c r="N761" s="2">
        <v>1446943.0</v>
      </c>
      <c r="P761" s="3"/>
      <c r="Q761" s="3"/>
      <c r="R761" s="3"/>
      <c r="S761" s="3"/>
      <c r="T761" s="3"/>
      <c r="U761" s="3"/>
      <c r="V761" s="3"/>
      <c r="W761" s="3"/>
      <c r="X761" s="3"/>
      <c r="Y761" s="3"/>
      <c r="Z761" s="3"/>
      <c r="AA761" s="3"/>
      <c r="AB761" s="3"/>
      <c r="AC761" s="3"/>
      <c r="AD761" s="3"/>
      <c r="AE761" s="3"/>
      <c r="AF761" s="3"/>
      <c r="AG761" s="3"/>
    </row>
    <row r="762">
      <c r="A762" s="2">
        <v>2018.0</v>
      </c>
      <c r="B762" s="2" t="s">
        <v>600</v>
      </c>
      <c r="D762" s="2" t="s">
        <v>1075</v>
      </c>
      <c r="E762" s="1" t="s">
        <v>420</v>
      </c>
      <c r="F762" s="2">
        <v>2155271.0</v>
      </c>
      <c r="I762" s="2">
        <v>1.9693E7</v>
      </c>
      <c r="J762" s="2">
        <v>134024.0</v>
      </c>
      <c r="K762" s="2">
        <v>2.1982295E7</v>
      </c>
      <c r="L762" s="2">
        <v>1.9364293E7</v>
      </c>
      <c r="N762" s="2">
        <v>2618002.0</v>
      </c>
      <c r="P762" s="3"/>
      <c r="Q762" s="3"/>
      <c r="R762" s="3"/>
      <c r="S762" s="3"/>
      <c r="T762" s="3"/>
      <c r="U762" s="3"/>
      <c r="V762" s="3"/>
      <c r="W762" s="3"/>
      <c r="X762" s="3"/>
      <c r="Y762" s="3"/>
      <c r="Z762" s="3"/>
      <c r="AA762" s="3"/>
      <c r="AB762" s="3"/>
      <c r="AC762" s="3"/>
      <c r="AD762" s="3"/>
      <c r="AE762" s="3"/>
      <c r="AF762" s="3"/>
      <c r="AG762" s="3"/>
    </row>
    <row r="763">
      <c r="A763" s="2">
        <v>2018.0</v>
      </c>
      <c r="B763" s="2" t="s">
        <v>600</v>
      </c>
      <c r="D763" s="2" t="s">
        <v>1076</v>
      </c>
      <c r="E763" s="1" t="s">
        <v>420</v>
      </c>
      <c r="F763" s="2">
        <v>924947.0</v>
      </c>
      <c r="I763" s="2">
        <v>9124000.0</v>
      </c>
      <c r="J763" s="2">
        <v>66937.0</v>
      </c>
      <c r="K763" s="2">
        <v>1.0115884E7</v>
      </c>
      <c r="L763" s="2">
        <v>9226530.0</v>
      </c>
      <c r="N763" s="2">
        <v>889354.0</v>
      </c>
      <c r="P763" s="3"/>
      <c r="Q763" s="3"/>
      <c r="R763" s="3"/>
      <c r="S763" s="3"/>
      <c r="T763" s="3"/>
      <c r="U763" s="3"/>
      <c r="V763" s="3"/>
      <c r="W763" s="3"/>
      <c r="X763" s="3"/>
      <c r="Y763" s="3"/>
      <c r="Z763" s="3"/>
      <c r="AA763" s="3"/>
      <c r="AB763" s="3"/>
      <c r="AC763" s="3"/>
      <c r="AD763" s="3"/>
      <c r="AE763" s="3"/>
      <c r="AF763" s="3"/>
      <c r="AG763" s="3"/>
    </row>
    <row r="764">
      <c r="A764" s="2">
        <v>2018.0</v>
      </c>
      <c r="B764" s="2" t="s">
        <v>600</v>
      </c>
      <c r="D764" s="2" t="s">
        <v>1077</v>
      </c>
      <c r="E764" s="1" t="s">
        <v>420</v>
      </c>
      <c r="F764" s="2">
        <v>1962433.0</v>
      </c>
      <c r="I764" s="2">
        <v>1.785E7</v>
      </c>
      <c r="J764" s="2">
        <v>112033.0</v>
      </c>
      <c r="K764" s="2">
        <v>1.9924466E7</v>
      </c>
      <c r="L764" s="2">
        <v>1.7242397E7</v>
      </c>
      <c r="N764" s="2">
        <v>2682069.0</v>
      </c>
      <c r="P764" s="3"/>
      <c r="Q764" s="3"/>
      <c r="R764" s="3"/>
      <c r="S764" s="3"/>
      <c r="T764" s="3"/>
      <c r="U764" s="3"/>
      <c r="V764" s="3"/>
      <c r="W764" s="3"/>
      <c r="X764" s="3"/>
      <c r="Y764" s="3"/>
      <c r="Z764" s="3"/>
      <c r="AA764" s="3"/>
      <c r="AB764" s="3"/>
      <c r="AC764" s="3"/>
      <c r="AD764" s="3"/>
      <c r="AE764" s="3"/>
      <c r="AF764" s="3"/>
      <c r="AG764" s="3"/>
    </row>
    <row r="765">
      <c r="A765" s="2">
        <v>2018.0</v>
      </c>
      <c r="B765" s="2" t="s">
        <v>600</v>
      </c>
      <c r="D765" s="2" t="s">
        <v>484</v>
      </c>
      <c r="E765" s="1" t="s">
        <v>420</v>
      </c>
      <c r="F765" s="2">
        <v>682199.0</v>
      </c>
      <c r="I765" s="2">
        <v>7154000.0</v>
      </c>
      <c r="J765" s="2">
        <v>48798.0</v>
      </c>
      <c r="K765" s="2">
        <v>7884997.0</v>
      </c>
      <c r="L765" s="2">
        <v>6435634.0</v>
      </c>
      <c r="N765" s="2">
        <v>1449363.0</v>
      </c>
      <c r="P765" s="3"/>
      <c r="Q765" s="3"/>
      <c r="R765" s="3"/>
      <c r="S765" s="3"/>
      <c r="T765" s="3"/>
      <c r="U765" s="3"/>
      <c r="V765" s="3"/>
      <c r="W765" s="3"/>
      <c r="X765" s="3"/>
      <c r="Y765" s="3"/>
      <c r="Z765" s="3"/>
      <c r="AA765" s="3"/>
      <c r="AB765" s="3"/>
      <c r="AC765" s="3"/>
      <c r="AD765" s="3"/>
      <c r="AE765" s="3"/>
      <c r="AF765" s="3"/>
      <c r="AG765" s="3"/>
    </row>
    <row r="766">
      <c r="A766" s="2">
        <v>2018.0</v>
      </c>
      <c r="B766" s="2" t="s">
        <v>600</v>
      </c>
      <c r="D766" s="2" t="s">
        <v>884</v>
      </c>
      <c r="E766" s="1" t="s">
        <v>420</v>
      </c>
      <c r="F766" s="2">
        <v>616691.0</v>
      </c>
      <c r="I766" s="2">
        <v>6106000.0</v>
      </c>
      <c r="J766" s="2">
        <v>44914.0</v>
      </c>
      <c r="K766" s="2">
        <v>6767605.0</v>
      </c>
      <c r="L766" s="2">
        <v>5736090.0</v>
      </c>
      <c r="N766" s="2">
        <v>1031515.0</v>
      </c>
      <c r="P766" s="3"/>
      <c r="Q766" s="3"/>
      <c r="R766" s="3"/>
      <c r="S766" s="3"/>
      <c r="T766" s="3"/>
      <c r="U766" s="3"/>
      <c r="V766" s="3"/>
      <c r="W766" s="3"/>
      <c r="X766" s="3"/>
      <c r="Y766" s="3"/>
      <c r="Z766" s="3"/>
      <c r="AA766" s="3"/>
      <c r="AB766" s="3"/>
      <c r="AC766" s="3"/>
      <c r="AD766" s="3"/>
      <c r="AE766" s="3"/>
      <c r="AF766" s="3"/>
      <c r="AG766" s="3"/>
    </row>
    <row r="767">
      <c r="A767" s="2">
        <v>2018.0</v>
      </c>
      <c r="B767" s="2" t="s">
        <v>600</v>
      </c>
      <c r="D767" s="2" t="s">
        <v>487</v>
      </c>
      <c r="E767" s="1" t="s">
        <v>420</v>
      </c>
      <c r="F767" s="2">
        <v>489684.0</v>
      </c>
      <c r="I767" s="2">
        <v>8427000.0</v>
      </c>
      <c r="J767" s="2">
        <v>39907.0</v>
      </c>
      <c r="K767" s="2">
        <v>8956591.0</v>
      </c>
      <c r="L767" s="2">
        <v>8057654.0</v>
      </c>
      <c r="N767" s="2">
        <v>898937.0</v>
      </c>
      <c r="P767" s="3"/>
      <c r="Q767" s="3"/>
      <c r="R767" s="3"/>
      <c r="S767" s="3"/>
      <c r="T767" s="3"/>
      <c r="U767" s="3"/>
      <c r="V767" s="3"/>
      <c r="W767" s="3"/>
      <c r="X767" s="3"/>
      <c r="Y767" s="3"/>
      <c r="Z767" s="3"/>
      <c r="AA767" s="3"/>
      <c r="AB767" s="3"/>
      <c r="AC767" s="3"/>
      <c r="AD767" s="3"/>
      <c r="AE767" s="3"/>
      <c r="AF767" s="3"/>
      <c r="AG767" s="3"/>
    </row>
    <row r="768">
      <c r="A768" s="2">
        <v>2018.0</v>
      </c>
      <c r="B768" s="2" t="s">
        <v>600</v>
      </c>
      <c r="D768" s="2" t="s">
        <v>671</v>
      </c>
      <c r="E768" s="1" t="s">
        <v>420</v>
      </c>
      <c r="F768" s="2">
        <v>1850775.0</v>
      </c>
      <c r="I768" s="2">
        <v>2.4181E7</v>
      </c>
      <c r="J768" s="2">
        <v>83746.0</v>
      </c>
      <c r="K768" s="2">
        <v>2.6115521E7</v>
      </c>
      <c r="L768" s="2">
        <v>2.4716843E7</v>
      </c>
      <c r="N768" s="2">
        <v>1398678.0</v>
      </c>
      <c r="P768" s="3"/>
      <c r="Q768" s="3"/>
      <c r="R768" s="3"/>
      <c r="S768" s="3"/>
      <c r="T768" s="3"/>
      <c r="U768" s="3"/>
      <c r="V768" s="3"/>
      <c r="W768" s="3"/>
      <c r="X768" s="3"/>
      <c r="Y768" s="3"/>
      <c r="Z768" s="3"/>
      <c r="AA768" s="3"/>
      <c r="AB768" s="3"/>
      <c r="AC768" s="3"/>
      <c r="AD768" s="3"/>
      <c r="AE768" s="3"/>
      <c r="AF768" s="3"/>
      <c r="AG768" s="3"/>
    </row>
    <row r="769">
      <c r="A769" s="2">
        <v>2018.0</v>
      </c>
      <c r="B769" s="2" t="s">
        <v>600</v>
      </c>
      <c r="D769" s="2" t="s">
        <v>1037</v>
      </c>
      <c r="E769" s="1" t="s">
        <v>420</v>
      </c>
      <c r="F769" s="2">
        <v>1898306.0</v>
      </c>
      <c r="I769" s="2">
        <v>1.8912093E7</v>
      </c>
      <c r="J769" s="2">
        <v>109356.0</v>
      </c>
      <c r="K769" s="2">
        <v>2.0919755E7</v>
      </c>
      <c r="L769" s="2">
        <v>1.9098674E7</v>
      </c>
      <c r="N769" s="2">
        <v>1821081.0</v>
      </c>
      <c r="P769" s="3"/>
      <c r="Q769" s="3"/>
      <c r="R769" s="3"/>
      <c r="S769" s="3"/>
      <c r="T769" s="3"/>
      <c r="U769" s="3"/>
      <c r="V769" s="3"/>
      <c r="W769" s="3"/>
      <c r="X769" s="3"/>
      <c r="Y769" s="3"/>
      <c r="Z769" s="3"/>
      <c r="AA769" s="3"/>
      <c r="AB769" s="3"/>
      <c r="AC769" s="3"/>
      <c r="AD769" s="3"/>
      <c r="AE769" s="3"/>
      <c r="AF769" s="3"/>
      <c r="AG769" s="3"/>
    </row>
    <row r="770">
      <c r="A770" s="2">
        <v>2018.0</v>
      </c>
      <c r="B770" s="2" t="s">
        <v>600</v>
      </c>
      <c r="D770" s="2" t="s">
        <v>675</v>
      </c>
      <c r="E770" s="1" t="s">
        <v>420</v>
      </c>
      <c r="F770" s="2">
        <v>47685.0</v>
      </c>
      <c r="I770" s="2">
        <v>1.97302E7</v>
      </c>
      <c r="J770" s="2">
        <v>70720.0</v>
      </c>
      <c r="K770" s="2">
        <v>1.9848605E7</v>
      </c>
      <c r="L770" s="2">
        <v>1.692558E7</v>
      </c>
      <c r="N770" s="2">
        <v>2923025.0</v>
      </c>
      <c r="P770" s="3"/>
      <c r="Q770" s="3"/>
      <c r="R770" s="3"/>
      <c r="S770" s="3"/>
      <c r="T770" s="3"/>
      <c r="U770" s="3"/>
      <c r="V770" s="3"/>
      <c r="W770" s="3"/>
      <c r="X770" s="3"/>
      <c r="Y770" s="3"/>
      <c r="Z770" s="3"/>
      <c r="AA770" s="3"/>
      <c r="AB770" s="3"/>
      <c r="AC770" s="3"/>
      <c r="AD770" s="3"/>
      <c r="AE770" s="3"/>
      <c r="AF770" s="3"/>
      <c r="AG770" s="3"/>
    </row>
    <row r="771">
      <c r="A771" s="2">
        <v>2018.0</v>
      </c>
      <c r="B771" s="2" t="s">
        <v>600</v>
      </c>
      <c r="D771" s="2" t="s">
        <v>677</v>
      </c>
      <c r="E771" s="1" t="s">
        <v>420</v>
      </c>
      <c r="F771" s="2">
        <v>990434.0</v>
      </c>
      <c r="I771" s="2">
        <v>1.3037675E7</v>
      </c>
      <c r="J771" s="2">
        <v>75319.0</v>
      </c>
      <c r="K771" s="2">
        <v>1.4103428E7</v>
      </c>
      <c r="L771" s="2">
        <v>1.2519863E7</v>
      </c>
      <c r="N771" s="2">
        <v>1583565.0</v>
      </c>
      <c r="P771" s="3"/>
      <c r="Q771" s="3"/>
      <c r="R771" s="3"/>
      <c r="S771" s="3"/>
      <c r="T771" s="3"/>
      <c r="U771" s="3"/>
      <c r="V771" s="3"/>
      <c r="W771" s="3"/>
      <c r="X771" s="3"/>
      <c r="Y771" s="3"/>
      <c r="Z771" s="3"/>
      <c r="AA771" s="3"/>
      <c r="AB771" s="3"/>
      <c r="AC771" s="3"/>
      <c r="AD771" s="3"/>
      <c r="AE771" s="3"/>
      <c r="AF771" s="3"/>
      <c r="AG771" s="3"/>
    </row>
    <row r="772">
      <c r="A772" s="2">
        <v>2018.0</v>
      </c>
      <c r="B772" s="2" t="s">
        <v>600</v>
      </c>
      <c r="D772" s="2" t="s">
        <v>680</v>
      </c>
      <c r="E772" s="1" t="s">
        <v>420</v>
      </c>
      <c r="F772" s="2">
        <v>2045485.0</v>
      </c>
      <c r="I772" s="2">
        <v>7235150.0</v>
      </c>
      <c r="J772" s="2">
        <v>125616.0</v>
      </c>
      <c r="K772" s="2">
        <v>9406251.0</v>
      </c>
      <c r="L772" s="2">
        <v>7146534.0</v>
      </c>
      <c r="N772" s="2">
        <v>2259717.0</v>
      </c>
      <c r="P772" s="3"/>
      <c r="Q772" s="3"/>
      <c r="R772" s="3"/>
      <c r="S772" s="3"/>
      <c r="T772" s="3"/>
      <c r="U772" s="3"/>
      <c r="V772" s="3"/>
      <c r="W772" s="3"/>
      <c r="X772" s="3"/>
      <c r="Y772" s="3"/>
      <c r="Z772" s="3"/>
      <c r="AA772" s="3"/>
      <c r="AB772" s="3"/>
      <c r="AC772" s="3"/>
      <c r="AD772" s="3"/>
      <c r="AE772" s="3"/>
      <c r="AF772" s="3"/>
      <c r="AG772" s="3"/>
    </row>
    <row r="773">
      <c r="A773" s="2">
        <v>2018.0</v>
      </c>
      <c r="B773" s="2" t="s">
        <v>600</v>
      </c>
      <c r="D773" s="2" t="s">
        <v>661</v>
      </c>
      <c r="E773" s="1" t="s">
        <v>420</v>
      </c>
      <c r="F773" s="2">
        <v>1948938.0</v>
      </c>
      <c r="I773" s="2">
        <v>2.053E7</v>
      </c>
      <c r="J773" s="2">
        <v>0.0</v>
      </c>
      <c r="K773" s="2">
        <v>2.2478938E7</v>
      </c>
      <c r="L773" s="2">
        <v>1.9861838E7</v>
      </c>
      <c r="N773" s="2">
        <v>2617100.0</v>
      </c>
      <c r="P773" s="3"/>
      <c r="Q773" s="3"/>
      <c r="R773" s="3"/>
      <c r="S773" s="3"/>
      <c r="T773" s="3"/>
      <c r="U773" s="3"/>
      <c r="V773" s="3"/>
      <c r="W773" s="3"/>
      <c r="X773" s="3"/>
      <c r="Y773" s="3"/>
      <c r="Z773" s="3"/>
      <c r="AA773" s="3"/>
      <c r="AB773" s="3"/>
      <c r="AC773" s="3"/>
      <c r="AD773" s="3"/>
      <c r="AE773" s="3"/>
      <c r="AF773" s="3"/>
      <c r="AG773" s="3"/>
    </row>
    <row r="774">
      <c r="A774" s="2">
        <v>2018.0</v>
      </c>
      <c r="B774" s="2" t="s">
        <v>600</v>
      </c>
      <c r="D774" s="2" t="s">
        <v>662</v>
      </c>
      <c r="E774" s="1" t="s">
        <v>420</v>
      </c>
      <c r="F774" s="2">
        <v>2836623.0</v>
      </c>
      <c r="I774" s="2">
        <v>1.374929E7</v>
      </c>
      <c r="J774" s="2">
        <v>0.0</v>
      </c>
      <c r="K774" s="2">
        <v>1.6585913E7</v>
      </c>
      <c r="L774" s="2">
        <v>1.2850289E7</v>
      </c>
      <c r="N774" s="2">
        <v>3735624.0</v>
      </c>
      <c r="P774" s="3"/>
      <c r="Q774" s="3"/>
      <c r="R774" s="3"/>
      <c r="S774" s="3"/>
      <c r="T774" s="3"/>
      <c r="U774" s="3"/>
      <c r="V774" s="3"/>
      <c r="W774" s="3"/>
      <c r="X774" s="3"/>
      <c r="Y774" s="3"/>
      <c r="Z774" s="3"/>
      <c r="AA774" s="3"/>
      <c r="AB774" s="3"/>
      <c r="AC774" s="3"/>
      <c r="AD774" s="3"/>
      <c r="AE774" s="3"/>
      <c r="AF774" s="3"/>
      <c r="AG774" s="3"/>
    </row>
    <row r="775">
      <c r="A775" s="2">
        <v>2018.0</v>
      </c>
      <c r="B775" s="2" t="s">
        <v>600</v>
      </c>
      <c r="D775" s="2" t="s">
        <v>664</v>
      </c>
      <c r="E775" s="1" t="s">
        <v>420</v>
      </c>
      <c r="F775" s="2">
        <v>1401449.0</v>
      </c>
      <c r="I775" s="2">
        <v>2.458E7</v>
      </c>
      <c r="J775" s="2">
        <v>0.0</v>
      </c>
      <c r="K775" s="2">
        <v>2.5981449E7</v>
      </c>
      <c r="L775" s="2">
        <v>1.9226322E7</v>
      </c>
      <c r="N775" s="2">
        <v>6755127.0</v>
      </c>
      <c r="P775" s="3"/>
      <c r="Q775" s="3"/>
      <c r="R775" s="3"/>
      <c r="S775" s="3"/>
      <c r="T775" s="3"/>
      <c r="U775" s="3"/>
      <c r="V775" s="3"/>
      <c r="W775" s="3"/>
      <c r="X775" s="3"/>
      <c r="Y775" s="3"/>
      <c r="Z775" s="3"/>
      <c r="AA775" s="3"/>
      <c r="AB775" s="3"/>
      <c r="AC775" s="3"/>
      <c r="AD775" s="3"/>
      <c r="AE775" s="3"/>
      <c r="AF775" s="3"/>
      <c r="AG775" s="3"/>
    </row>
    <row r="776">
      <c r="A776" s="2">
        <v>2018.0</v>
      </c>
      <c r="B776" s="2" t="s">
        <v>600</v>
      </c>
      <c r="D776" s="2" t="s">
        <v>666</v>
      </c>
      <c r="E776" s="1" t="s">
        <v>420</v>
      </c>
      <c r="F776" s="2">
        <v>3393355.0</v>
      </c>
      <c r="I776" s="2">
        <v>3.1392E7</v>
      </c>
      <c r="J776" s="2">
        <v>0.0</v>
      </c>
      <c r="K776" s="2">
        <v>3.4785355E7</v>
      </c>
      <c r="L776" s="2">
        <v>2.6546596E7</v>
      </c>
      <c r="N776" s="2">
        <v>8238759.0</v>
      </c>
      <c r="P776" s="3"/>
      <c r="Q776" s="3"/>
      <c r="R776" s="3"/>
      <c r="S776" s="3"/>
      <c r="T776" s="3"/>
      <c r="U776" s="3"/>
      <c r="V776" s="3"/>
      <c r="W776" s="3"/>
      <c r="X776" s="3"/>
      <c r="Y776" s="3"/>
      <c r="Z776" s="3"/>
      <c r="AA776" s="3"/>
      <c r="AB776" s="3"/>
      <c r="AC776" s="3"/>
      <c r="AD776" s="3"/>
      <c r="AE776" s="3"/>
      <c r="AF776" s="3"/>
      <c r="AG776" s="3"/>
    </row>
    <row r="777">
      <c r="A777" s="2">
        <v>2018.0</v>
      </c>
      <c r="B777" s="2" t="s">
        <v>600</v>
      </c>
      <c r="D777" s="2" t="s">
        <v>668</v>
      </c>
      <c r="E777" s="1" t="s">
        <v>420</v>
      </c>
      <c r="F777" s="2">
        <v>3964524.0</v>
      </c>
      <c r="I777" s="2">
        <v>2.1856333E7</v>
      </c>
      <c r="J777" s="2">
        <v>0.0</v>
      </c>
      <c r="K777" s="2">
        <v>2.5820857E7</v>
      </c>
      <c r="L777" s="2">
        <v>1.5421765E7</v>
      </c>
      <c r="N777" s="2">
        <v>1.0399092E7</v>
      </c>
      <c r="P777" s="3"/>
      <c r="Q777" s="3"/>
      <c r="R777" s="3"/>
      <c r="S777" s="3"/>
      <c r="T777" s="3"/>
      <c r="U777" s="3"/>
      <c r="V777" s="3"/>
      <c r="W777" s="3"/>
      <c r="X777" s="3"/>
      <c r="Y777" s="3"/>
      <c r="Z777" s="3"/>
      <c r="AA777" s="3"/>
      <c r="AB777" s="3"/>
      <c r="AC777" s="3"/>
      <c r="AD777" s="3"/>
      <c r="AE777" s="3"/>
      <c r="AF777" s="3"/>
      <c r="AG777" s="3"/>
    </row>
    <row r="778">
      <c r="A778" s="2">
        <v>2018.0</v>
      </c>
      <c r="B778" s="2" t="s">
        <v>600</v>
      </c>
      <c r="D778" s="2" t="s">
        <v>1050</v>
      </c>
      <c r="E778" s="1" t="s">
        <v>420</v>
      </c>
      <c r="F778" s="2">
        <v>2185211.0</v>
      </c>
      <c r="I778" s="2">
        <v>9949000.0</v>
      </c>
      <c r="J778" s="2">
        <v>101988.0</v>
      </c>
      <c r="K778" s="2">
        <v>1.2236199E7</v>
      </c>
      <c r="L778" s="2">
        <v>8087095.0</v>
      </c>
      <c r="M778" s="2">
        <v>2400000.0</v>
      </c>
      <c r="N778" s="2">
        <v>1749104.0</v>
      </c>
      <c r="P778" s="3"/>
      <c r="Q778" s="3"/>
      <c r="R778" s="3"/>
      <c r="S778" s="3"/>
      <c r="T778" s="3"/>
      <c r="U778" s="3"/>
      <c r="V778" s="3"/>
      <c r="W778" s="3"/>
      <c r="X778" s="3"/>
      <c r="Y778" s="3"/>
      <c r="Z778" s="3"/>
      <c r="AA778" s="3"/>
      <c r="AB778" s="3"/>
      <c r="AC778" s="3"/>
      <c r="AD778" s="3"/>
      <c r="AE778" s="3"/>
      <c r="AF778" s="3"/>
      <c r="AG778" s="3"/>
    </row>
    <row r="779">
      <c r="A779" s="2">
        <v>2018.0</v>
      </c>
      <c r="B779" s="2" t="s">
        <v>600</v>
      </c>
      <c r="D779" s="2" t="s">
        <v>1052</v>
      </c>
      <c r="E779" s="1" t="s">
        <v>420</v>
      </c>
      <c r="F779" s="2">
        <v>948523.0</v>
      </c>
      <c r="I779" s="2">
        <v>2.13E7</v>
      </c>
      <c r="J779" s="2">
        <v>77527.0</v>
      </c>
      <c r="K779" s="2">
        <v>2.232605E7</v>
      </c>
      <c r="L779" s="2">
        <v>2.2241565E7</v>
      </c>
      <c r="N779" s="2">
        <v>84485.0</v>
      </c>
      <c r="P779" s="3"/>
      <c r="Q779" s="3"/>
      <c r="R779" s="3"/>
      <c r="S779" s="3"/>
      <c r="T779" s="3"/>
      <c r="U779" s="3"/>
      <c r="V779" s="3"/>
      <c r="W779" s="3"/>
      <c r="X779" s="3"/>
      <c r="Y779" s="3"/>
      <c r="Z779" s="3"/>
      <c r="AA779" s="3"/>
      <c r="AB779" s="3"/>
      <c r="AC779" s="3"/>
      <c r="AD779" s="3"/>
      <c r="AE779" s="3"/>
      <c r="AF779" s="3"/>
      <c r="AG779" s="3"/>
    </row>
    <row r="780">
      <c r="A780" s="2">
        <v>2018.0</v>
      </c>
      <c r="B780" s="2" t="s">
        <v>600</v>
      </c>
      <c r="D780" s="2" t="s">
        <v>1054</v>
      </c>
      <c r="E780" s="1" t="s">
        <v>420</v>
      </c>
      <c r="F780" s="2">
        <v>2483761.0</v>
      </c>
      <c r="I780" s="2">
        <v>5100000.0</v>
      </c>
      <c r="J780" s="2">
        <v>110994.0</v>
      </c>
      <c r="K780" s="2">
        <v>7694755.0</v>
      </c>
      <c r="L780" s="2">
        <v>5906155.0</v>
      </c>
      <c r="N780" s="2">
        <v>1788600.0</v>
      </c>
      <c r="P780" s="3"/>
      <c r="Q780" s="3"/>
      <c r="R780" s="3"/>
      <c r="S780" s="3"/>
      <c r="T780" s="3"/>
      <c r="U780" s="3"/>
      <c r="V780" s="3"/>
      <c r="W780" s="3"/>
      <c r="X780" s="3"/>
      <c r="Y780" s="3"/>
      <c r="Z780" s="3"/>
      <c r="AA780" s="3"/>
      <c r="AB780" s="3"/>
      <c r="AC780" s="3"/>
      <c r="AD780" s="3"/>
      <c r="AE780" s="3"/>
      <c r="AF780" s="3"/>
      <c r="AG780" s="3"/>
    </row>
    <row r="781">
      <c r="A781" s="2">
        <v>2018.0</v>
      </c>
      <c r="B781" s="2" t="s">
        <v>600</v>
      </c>
      <c r="D781" s="2" t="s">
        <v>1055</v>
      </c>
      <c r="E781" s="1" t="s">
        <v>420</v>
      </c>
      <c r="F781" s="2">
        <v>2909073.0</v>
      </c>
      <c r="I781" s="2">
        <v>1.445E7</v>
      </c>
      <c r="J781" s="2">
        <v>149238.0</v>
      </c>
      <c r="K781" s="2">
        <v>1.7508311E7</v>
      </c>
      <c r="L781" s="2">
        <v>1.4685834E7</v>
      </c>
      <c r="M781" s="2">
        <v>600000.0</v>
      </c>
      <c r="N781" s="2">
        <v>2222477.0</v>
      </c>
      <c r="P781" s="3"/>
      <c r="Q781" s="3"/>
      <c r="R781" s="3"/>
      <c r="S781" s="3"/>
      <c r="T781" s="3"/>
      <c r="U781" s="3"/>
      <c r="V781" s="3"/>
      <c r="W781" s="3"/>
      <c r="X781" s="3"/>
      <c r="Y781" s="3"/>
      <c r="Z781" s="3"/>
      <c r="AA781" s="3"/>
      <c r="AB781" s="3"/>
      <c r="AC781" s="3"/>
      <c r="AD781" s="3"/>
      <c r="AE781" s="3"/>
      <c r="AF781" s="3"/>
      <c r="AG781" s="3"/>
    </row>
    <row r="782">
      <c r="A782" s="2">
        <v>2018.0</v>
      </c>
      <c r="B782" s="2" t="s">
        <v>600</v>
      </c>
      <c r="D782" s="2" t="s">
        <v>1058</v>
      </c>
      <c r="E782" s="1" t="s">
        <v>420</v>
      </c>
      <c r="F782" s="2">
        <v>2981117.0</v>
      </c>
      <c r="I782" s="2">
        <v>1.563283E7</v>
      </c>
      <c r="J782" s="2">
        <v>106511.0</v>
      </c>
      <c r="K782" s="2">
        <v>1.8720458E7</v>
      </c>
      <c r="L782" s="2">
        <v>1.7996766E7</v>
      </c>
      <c r="M782" s="2">
        <v>600000.0</v>
      </c>
      <c r="N782" s="2">
        <v>123692.0</v>
      </c>
      <c r="P782" s="3"/>
      <c r="Q782" s="3"/>
      <c r="R782" s="3"/>
      <c r="S782" s="3"/>
      <c r="T782" s="3"/>
      <c r="U782" s="3"/>
      <c r="V782" s="3"/>
      <c r="W782" s="3"/>
      <c r="X782" s="3"/>
      <c r="Y782" s="3"/>
      <c r="Z782" s="3"/>
      <c r="AA782" s="3"/>
      <c r="AB782" s="3"/>
      <c r="AC782" s="3"/>
      <c r="AD782" s="3"/>
      <c r="AE782" s="3"/>
      <c r="AF782" s="3"/>
      <c r="AG782" s="3"/>
    </row>
    <row r="783">
      <c r="A783" s="2">
        <v>2018.0</v>
      </c>
      <c r="B783" s="2" t="s">
        <v>600</v>
      </c>
      <c r="D783" s="2" t="s">
        <v>1060</v>
      </c>
      <c r="E783" s="1" t="s">
        <v>420</v>
      </c>
      <c r="F783" s="2">
        <v>1904402.0</v>
      </c>
      <c r="I783" s="2">
        <v>2.9833694E7</v>
      </c>
      <c r="J783" s="2">
        <v>175275.0</v>
      </c>
      <c r="K783" s="2">
        <v>3.1913371E7</v>
      </c>
      <c r="L783" s="2">
        <v>2.5544425E7</v>
      </c>
      <c r="N783" s="2">
        <v>6368946.0</v>
      </c>
      <c r="P783" s="3"/>
      <c r="Q783" s="3"/>
      <c r="R783" s="3"/>
      <c r="S783" s="3"/>
      <c r="T783" s="3"/>
      <c r="U783" s="3"/>
      <c r="V783" s="3"/>
      <c r="W783" s="3"/>
      <c r="X783" s="3"/>
      <c r="Y783" s="3"/>
      <c r="Z783" s="3"/>
      <c r="AA783" s="3"/>
      <c r="AB783" s="3"/>
      <c r="AC783" s="3"/>
      <c r="AD783" s="3"/>
      <c r="AE783" s="3"/>
      <c r="AF783" s="3"/>
      <c r="AG783" s="3"/>
    </row>
    <row r="784">
      <c r="A784" s="2">
        <v>2018.0</v>
      </c>
      <c r="B784" s="2" t="s">
        <v>780</v>
      </c>
      <c r="D784" s="2" t="s">
        <v>489</v>
      </c>
      <c r="E784" s="1" t="s">
        <v>420</v>
      </c>
      <c r="F784" s="2">
        <v>1706515.0</v>
      </c>
      <c r="I784" s="2">
        <v>2.0733E7</v>
      </c>
      <c r="J784" s="2">
        <v>152888.0</v>
      </c>
      <c r="K784" s="2">
        <v>2.2592403E7</v>
      </c>
      <c r="L784" s="2">
        <v>1.538572E7</v>
      </c>
      <c r="N784" s="2">
        <v>7206683.0</v>
      </c>
      <c r="P784" s="3"/>
      <c r="Q784" s="3"/>
      <c r="R784" s="3"/>
      <c r="S784" s="3"/>
      <c r="T784" s="3"/>
      <c r="U784" s="3"/>
      <c r="V784" s="3"/>
      <c r="W784" s="3"/>
      <c r="X784" s="3"/>
      <c r="Y784" s="3"/>
      <c r="Z784" s="3"/>
      <c r="AA784" s="3"/>
      <c r="AB784" s="3"/>
      <c r="AC784" s="3"/>
      <c r="AD784" s="3"/>
      <c r="AE784" s="3"/>
      <c r="AF784" s="3"/>
      <c r="AG784" s="3"/>
    </row>
    <row r="785">
      <c r="A785" s="2">
        <v>2018.0</v>
      </c>
      <c r="B785" s="2" t="s">
        <v>780</v>
      </c>
      <c r="D785" s="2" t="s">
        <v>493</v>
      </c>
      <c r="E785" s="1" t="s">
        <v>420</v>
      </c>
      <c r="F785" s="2">
        <v>541794.0</v>
      </c>
      <c r="I785" s="2">
        <v>3.3893E7</v>
      </c>
      <c r="J785" s="2">
        <v>198406.0</v>
      </c>
      <c r="K785" s="2">
        <v>3.46332E7</v>
      </c>
      <c r="L785" s="2">
        <v>3.1680117E7</v>
      </c>
      <c r="N785" s="2">
        <v>2953083.0</v>
      </c>
      <c r="P785" s="3"/>
      <c r="Q785" s="3"/>
      <c r="R785" s="3"/>
      <c r="S785" s="3"/>
      <c r="T785" s="3"/>
      <c r="U785" s="3"/>
      <c r="V785" s="3"/>
      <c r="W785" s="3"/>
      <c r="X785" s="3"/>
      <c r="Y785" s="3"/>
      <c r="Z785" s="3"/>
      <c r="AA785" s="3"/>
      <c r="AB785" s="3"/>
      <c r="AC785" s="3"/>
      <c r="AD785" s="3"/>
      <c r="AE785" s="3"/>
      <c r="AF785" s="3"/>
      <c r="AG785" s="3"/>
    </row>
    <row r="786">
      <c r="A786" s="2">
        <v>2018.0</v>
      </c>
      <c r="B786" s="2" t="s">
        <v>780</v>
      </c>
      <c r="D786" s="2" t="s">
        <v>496</v>
      </c>
      <c r="E786" s="1" t="s">
        <v>420</v>
      </c>
      <c r="F786" s="2">
        <v>629624.0</v>
      </c>
      <c r="I786" s="2">
        <v>3486000.0</v>
      </c>
      <c r="J786" s="2">
        <v>36299.0</v>
      </c>
      <c r="K786" s="2">
        <v>4151923.0</v>
      </c>
      <c r="L786" s="2">
        <v>3330986.0</v>
      </c>
      <c r="N786" s="2">
        <v>820937.0</v>
      </c>
      <c r="P786" s="3"/>
      <c r="Q786" s="3"/>
      <c r="R786" s="3"/>
      <c r="S786" s="3"/>
      <c r="T786" s="3"/>
      <c r="U786" s="3"/>
      <c r="V786" s="3"/>
      <c r="W786" s="3"/>
      <c r="X786" s="3"/>
      <c r="Y786" s="3"/>
      <c r="Z786" s="3"/>
      <c r="AA786" s="3"/>
      <c r="AB786" s="3"/>
      <c r="AC786" s="3"/>
      <c r="AD786" s="3"/>
      <c r="AE786" s="3"/>
      <c r="AF786" s="3"/>
      <c r="AG786" s="3"/>
    </row>
    <row r="787">
      <c r="A787" s="2">
        <v>2018.0</v>
      </c>
      <c r="B787" s="2" t="s">
        <v>780</v>
      </c>
      <c r="D787" s="2" t="s">
        <v>499</v>
      </c>
      <c r="E787" s="1" t="s">
        <v>420</v>
      </c>
      <c r="F787" s="2">
        <v>3829729.0</v>
      </c>
      <c r="I787" s="2">
        <v>4.1861E7</v>
      </c>
      <c r="J787" s="2">
        <v>241009.0</v>
      </c>
      <c r="K787" s="2">
        <v>4.5931738E7</v>
      </c>
      <c r="L787" s="2">
        <v>4.1111613E7</v>
      </c>
      <c r="N787" s="2">
        <v>4820125.0</v>
      </c>
      <c r="P787" s="3"/>
      <c r="Q787" s="3"/>
      <c r="R787" s="3"/>
      <c r="S787" s="3"/>
      <c r="T787" s="3"/>
      <c r="U787" s="3"/>
      <c r="V787" s="3"/>
      <c r="W787" s="3"/>
      <c r="X787" s="3"/>
      <c r="Y787" s="3"/>
      <c r="Z787" s="3"/>
      <c r="AA787" s="3"/>
      <c r="AB787" s="3"/>
      <c r="AC787" s="3"/>
      <c r="AD787" s="3"/>
      <c r="AE787" s="3"/>
      <c r="AF787" s="3"/>
      <c r="AG787" s="3"/>
    </row>
    <row r="788">
      <c r="A788" s="2">
        <v>2018.0</v>
      </c>
      <c r="B788" s="2" t="s">
        <v>780</v>
      </c>
      <c r="D788" s="2" t="s">
        <v>501</v>
      </c>
      <c r="E788" s="1" t="s">
        <v>420</v>
      </c>
      <c r="F788" s="2">
        <v>4736653.0</v>
      </c>
      <c r="I788" s="2">
        <v>2.5485E7</v>
      </c>
      <c r="J788" s="2">
        <v>228405.0</v>
      </c>
      <c r="K788" s="2">
        <v>3.0450058E7</v>
      </c>
      <c r="L788" s="2">
        <v>2.4888679E7</v>
      </c>
      <c r="N788" s="2">
        <v>5561379.0</v>
      </c>
      <c r="P788" s="3"/>
      <c r="Q788" s="3"/>
      <c r="R788" s="3"/>
      <c r="S788" s="3"/>
      <c r="T788" s="3"/>
      <c r="U788" s="3"/>
      <c r="V788" s="3"/>
      <c r="W788" s="3"/>
      <c r="X788" s="3"/>
      <c r="Y788" s="3"/>
      <c r="Z788" s="3"/>
      <c r="AA788" s="3"/>
      <c r="AB788" s="3"/>
      <c r="AC788" s="3"/>
      <c r="AD788" s="3"/>
      <c r="AE788" s="3"/>
      <c r="AF788" s="3"/>
      <c r="AG788" s="3"/>
    </row>
    <row r="789">
      <c r="A789" s="2">
        <v>2018.0</v>
      </c>
      <c r="B789" s="2" t="s">
        <v>780</v>
      </c>
      <c r="D789" s="2" t="s">
        <v>505</v>
      </c>
      <c r="E789" s="1" t="s">
        <v>420</v>
      </c>
      <c r="F789" s="2">
        <v>1273010.0</v>
      </c>
      <c r="I789" s="2">
        <v>1.9966E7</v>
      </c>
      <c r="J789" s="2">
        <v>140344.0</v>
      </c>
      <c r="K789" s="2">
        <v>2.1379354E7</v>
      </c>
      <c r="L789" s="2">
        <v>1.8910174E7</v>
      </c>
      <c r="N789" s="2">
        <v>2469180.0</v>
      </c>
      <c r="P789" s="3"/>
      <c r="Q789" s="3"/>
      <c r="R789" s="3"/>
      <c r="S789" s="3"/>
      <c r="T789" s="3"/>
      <c r="U789" s="3"/>
      <c r="V789" s="3"/>
      <c r="W789" s="3"/>
      <c r="X789" s="3"/>
      <c r="Y789" s="3"/>
      <c r="Z789" s="3"/>
      <c r="AA789" s="3"/>
      <c r="AB789" s="3"/>
      <c r="AC789" s="3"/>
      <c r="AD789" s="3"/>
      <c r="AE789" s="3"/>
      <c r="AF789" s="3"/>
      <c r="AG789" s="3"/>
    </row>
    <row r="790">
      <c r="A790" s="2">
        <v>2018.0</v>
      </c>
      <c r="B790" s="2" t="s">
        <v>780</v>
      </c>
      <c r="D790" s="2" t="s">
        <v>508</v>
      </c>
      <c r="E790" s="1" t="s">
        <v>420</v>
      </c>
      <c r="F790" s="2">
        <v>1674060.0</v>
      </c>
      <c r="I790" s="2">
        <v>3.453E7</v>
      </c>
      <c r="J790" s="2">
        <v>242361.0</v>
      </c>
      <c r="K790" s="2">
        <v>3.6446421E7</v>
      </c>
      <c r="L790" s="2">
        <v>3.0515523E7</v>
      </c>
      <c r="N790" s="2">
        <v>5930898.0</v>
      </c>
      <c r="P790" s="3"/>
      <c r="Q790" s="3"/>
      <c r="R790" s="3"/>
      <c r="S790" s="3"/>
      <c r="T790" s="3"/>
      <c r="U790" s="3"/>
      <c r="V790" s="3"/>
      <c r="W790" s="3"/>
      <c r="X790" s="3"/>
      <c r="Y790" s="3"/>
      <c r="Z790" s="3"/>
      <c r="AA790" s="3"/>
      <c r="AB790" s="3"/>
      <c r="AC790" s="3"/>
      <c r="AD790" s="3"/>
      <c r="AE790" s="3"/>
      <c r="AF790" s="3"/>
      <c r="AG790" s="3"/>
    </row>
    <row r="791">
      <c r="A791" s="2">
        <v>2018.0</v>
      </c>
      <c r="B791" s="2" t="s">
        <v>780</v>
      </c>
      <c r="D791" s="2" t="s">
        <v>510</v>
      </c>
      <c r="E791" s="1" t="s">
        <v>420</v>
      </c>
      <c r="F791" s="2">
        <v>1041813.0</v>
      </c>
      <c r="I791" s="2">
        <v>1.2663E7</v>
      </c>
      <c r="J791" s="2">
        <v>95712.0</v>
      </c>
      <c r="K791" s="2">
        <v>1.3800525E7</v>
      </c>
      <c r="L791" s="2">
        <v>1.2741848E7</v>
      </c>
      <c r="N791" s="2">
        <v>1058677.0</v>
      </c>
      <c r="P791" s="3"/>
      <c r="Q791" s="3"/>
      <c r="R791" s="3"/>
      <c r="S791" s="3"/>
      <c r="T791" s="3"/>
      <c r="U791" s="3"/>
      <c r="V791" s="3"/>
      <c r="W791" s="3"/>
      <c r="X791" s="3"/>
      <c r="Y791" s="3"/>
      <c r="Z791" s="3"/>
      <c r="AA791" s="3"/>
      <c r="AB791" s="3"/>
      <c r="AC791" s="3"/>
      <c r="AD791" s="3"/>
      <c r="AE791" s="3"/>
      <c r="AF791" s="3"/>
      <c r="AG791" s="3"/>
    </row>
    <row r="792">
      <c r="A792" s="2">
        <v>2018.0</v>
      </c>
      <c r="B792" s="2" t="s">
        <v>780</v>
      </c>
      <c r="D792" s="2" t="s">
        <v>518</v>
      </c>
      <c r="E792" s="1" t="s">
        <v>420</v>
      </c>
      <c r="F792" s="2">
        <v>2319565.0</v>
      </c>
      <c r="I792" s="2">
        <v>2.9204E7</v>
      </c>
      <c r="J792" s="2">
        <v>189045.0</v>
      </c>
      <c r="K792" s="2">
        <v>3.171261E7</v>
      </c>
      <c r="L792" s="2">
        <v>2.6245356E7</v>
      </c>
      <c r="N792" s="2">
        <v>5467254.0</v>
      </c>
      <c r="P792" s="3"/>
      <c r="Q792" s="3"/>
      <c r="R792" s="3"/>
      <c r="S792" s="3"/>
      <c r="T792" s="3"/>
      <c r="U792" s="3"/>
      <c r="V792" s="3"/>
      <c r="W792" s="3"/>
      <c r="X792" s="3"/>
      <c r="Y792" s="3"/>
      <c r="Z792" s="3"/>
      <c r="AA792" s="3"/>
      <c r="AB792" s="3"/>
      <c r="AC792" s="3"/>
      <c r="AD792" s="3"/>
      <c r="AE792" s="3"/>
      <c r="AF792" s="3"/>
      <c r="AG792" s="3"/>
    </row>
    <row r="793">
      <c r="A793" s="2">
        <v>2018.0</v>
      </c>
      <c r="B793" s="2" t="s">
        <v>780</v>
      </c>
      <c r="D793" s="2" t="s">
        <v>1018</v>
      </c>
      <c r="E793" s="1" t="s">
        <v>420</v>
      </c>
      <c r="F793" s="2">
        <v>5208602.0</v>
      </c>
      <c r="I793" s="2">
        <v>3805000.0</v>
      </c>
      <c r="J793" s="2">
        <v>234769.0</v>
      </c>
      <c r="K793" s="2">
        <v>9248371.0</v>
      </c>
      <c r="L793" s="2">
        <v>2270549.0</v>
      </c>
      <c r="N793" s="2">
        <v>6977822.0</v>
      </c>
      <c r="P793" s="3"/>
      <c r="Q793" s="3"/>
      <c r="R793" s="3"/>
      <c r="S793" s="3"/>
      <c r="T793" s="3"/>
      <c r="U793" s="3"/>
      <c r="V793" s="3"/>
      <c r="W793" s="3"/>
      <c r="X793" s="3"/>
      <c r="Y793" s="3"/>
      <c r="Z793" s="3"/>
      <c r="AA793" s="3"/>
      <c r="AB793" s="3"/>
      <c r="AC793" s="3"/>
      <c r="AD793" s="3"/>
      <c r="AE793" s="3"/>
      <c r="AF793" s="3"/>
      <c r="AG793" s="3"/>
    </row>
    <row r="794">
      <c r="A794" s="2">
        <v>2018.0</v>
      </c>
      <c r="B794" s="2" t="s">
        <v>780</v>
      </c>
      <c r="D794" s="2" t="s">
        <v>1019</v>
      </c>
      <c r="E794" s="1" t="s">
        <v>420</v>
      </c>
      <c r="F794" s="2">
        <v>1883074.0</v>
      </c>
      <c r="I794" s="2">
        <v>6200000.0</v>
      </c>
      <c r="J794" s="2">
        <v>93938.0</v>
      </c>
      <c r="K794" s="2">
        <v>8177012.0</v>
      </c>
      <c r="L794" s="2">
        <v>5346622.0</v>
      </c>
      <c r="N794" s="2">
        <v>2830390.0</v>
      </c>
      <c r="P794" s="3"/>
      <c r="Q794" s="3"/>
      <c r="R794" s="3"/>
      <c r="S794" s="3"/>
      <c r="T794" s="3"/>
      <c r="U794" s="3"/>
      <c r="V794" s="3"/>
      <c r="W794" s="3"/>
      <c r="X794" s="3"/>
      <c r="Y794" s="3"/>
      <c r="Z794" s="3"/>
      <c r="AA794" s="3"/>
      <c r="AB794" s="3"/>
      <c r="AC794" s="3"/>
      <c r="AD794" s="3"/>
      <c r="AE794" s="3"/>
      <c r="AF794" s="3"/>
      <c r="AG794" s="3"/>
    </row>
    <row r="795">
      <c r="A795" s="2">
        <v>2018.0</v>
      </c>
      <c r="B795" s="2" t="s">
        <v>780</v>
      </c>
      <c r="D795" s="2" t="s">
        <v>1020</v>
      </c>
      <c r="E795" s="1" t="s">
        <v>420</v>
      </c>
      <c r="F795" s="2">
        <v>3902820.0</v>
      </c>
      <c r="I795" s="2">
        <v>4797200.0</v>
      </c>
      <c r="J795" s="2">
        <v>166450.0</v>
      </c>
      <c r="K795" s="2">
        <v>8866470.0</v>
      </c>
      <c r="L795" s="2">
        <v>3285096.0</v>
      </c>
      <c r="N795" s="2">
        <v>5581374.0</v>
      </c>
      <c r="P795" s="3"/>
      <c r="Q795" s="3"/>
      <c r="R795" s="3"/>
      <c r="S795" s="3"/>
      <c r="T795" s="3"/>
      <c r="U795" s="3"/>
      <c r="V795" s="3"/>
      <c r="W795" s="3"/>
      <c r="X795" s="3"/>
      <c r="Y795" s="3"/>
      <c r="Z795" s="3"/>
      <c r="AA795" s="3"/>
      <c r="AB795" s="3"/>
      <c r="AC795" s="3"/>
      <c r="AD795" s="3"/>
      <c r="AE795" s="3"/>
      <c r="AF795" s="3"/>
      <c r="AG795" s="3"/>
    </row>
    <row r="796">
      <c r="A796" s="2">
        <v>2018.0</v>
      </c>
      <c r="B796" s="2" t="s">
        <v>780</v>
      </c>
      <c r="D796" s="2" t="s">
        <v>1021</v>
      </c>
      <c r="E796" s="1" t="s">
        <v>420</v>
      </c>
      <c r="F796" s="2">
        <v>2666938.0</v>
      </c>
      <c r="I796" s="2">
        <v>1.989E7</v>
      </c>
      <c r="J796" s="2">
        <v>116383.0</v>
      </c>
      <c r="K796" s="2">
        <v>2.2673321E7</v>
      </c>
      <c r="L796" s="2">
        <v>1.6870311E7</v>
      </c>
      <c r="N796" s="2">
        <v>5803010.0</v>
      </c>
      <c r="P796" s="3"/>
      <c r="Q796" s="3"/>
      <c r="R796" s="3"/>
      <c r="S796" s="3"/>
      <c r="T796" s="3"/>
      <c r="U796" s="3"/>
      <c r="V796" s="3"/>
      <c r="W796" s="3"/>
      <c r="X796" s="3"/>
      <c r="Y796" s="3"/>
      <c r="Z796" s="3"/>
      <c r="AA796" s="3"/>
      <c r="AB796" s="3"/>
      <c r="AC796" s="3"/>
      <c r="AD796" s="3"/>
      <c r="AE796" s="3"/>
      <c r="AF796" s="3"/>
      <c r="AG796" s="3"/>
    </row>
    <row r="797">
      <c r="A797" s="2">
        <v>2018.0</v>
      </c>
      <c r="B797" s="2" t="s">
        <v>780</v>
      </c>
      <c r="D797" s="2" t="s">
        <v>1022</v>
      </c>
      <c r="E797" s="1" t="s">
        <v>420</v>
      </c>
      <c r="F797" s="2">
        <v>4220807.0</v>
      </c>
      <c r="I797" s="2">
        <v>1.58E7</v>
      </c>
      <c r="J797" s="2">
        <v>108495.0</v>
      </c>
      <c r="K797" s="2">
        <v>2.0129302E7</v>
      </c>
      <c r="L797" s="2">
        <v>1.4854613E7</v>
      </c>
      <c r="N797" s="2">
        <v>5274689.0</v>
      </c>
      <c r="P797" s="3"/>
      <c r="Q797" s="3"/>
      <c r="R797" s="3"/>
      <c r="S797" s="3"/>
      <c r="T797" s="3"/>
      <c r="U797" s="3"/>
      <c r="V797" s="3"/>
      <c r="W797" s="3"/>
      <c r="X797" s="3"/>
      <c r="Y797" s="3"/>
      <c r="Z797" s="3"/>
      <c r="AA797" s="3"/>
      <c r="AB797" s="3"/>
      <c r="AC797" s="3"/>
      <c r="AD797" s="3"/>
      <c r="AE797" s="3"/>
      <c r="AF797" s="3"/>
      <c r="AG797" s="3"/>
    </row>
    <row r="798">
      <c r="A798" s="2">
        <v>2018.0</v>
      </c>
      <c r="B798" s="2" t="s">
        <v>780</v>
      </c>
      <c r="D798" s="2" t="s">
        <v>1024</v>
      </c>
      <c r="E798" s="1" t="s">
        <v>420</v>
      </c>
      <c r="F798" s="2">
        <v>3190932.0</v>
      </c>
      <c r="I798" s="2">
        <v>5100000.0</v>
      </c>
      <c r="J798" s="2">
        <v>174972.0</v>
      </c>
      <c r="K798" s="2">
        <v>8465904.0</v>
      </c>
      <c r="L798" s="2">
        <v>3675279.0</v>
      </c>
      <c r="N798" s="2">
        <v>4790625.0</v>
      </c>
      <c r="P798" s="3"/>
      <c r="Q798" s="3"/>
      <c r="R798" s="3"/>
      <c r="S798" s="3"/>
      <c r="T798" s="3"/>
      <c r="U798" s="3"/>
      <c r="V798" s="3"/>
      <c r="W798" s="3"/>
      <c r="X798" s="3"/>
      <c r="Y798" s="3"/>
      <c r="Z798" s="3"/>
      <c r="AA798" s="3"/>
      <c r="AB798" s="3"/>
      <c r="AC798" s="3"/>
      <c r="AD798" s="3"/>
      <c r="AE798" s="3"/>
      <c r="AF798" s="3"/>
      <c r="AG798" s="3"/>
    </row>
    <row r="799">
      <c r="A799" s="2">
        <v>2018.0</v>
      </c>
      <c r="B799" s="2" t="s">
        <v>780</v>
      </c>
      <c r="D799" s="2" t="s">
        <v>1025</v>
      </c>
      <c r="E799" s="1" t="s">
        <v>420</v>
      </c>
      <c r="F799" s="2">
        <v>2568930.0</v>
      </c>
      <c r="I799" s="2">
        <v>1.4035E7</v>
      </c>
      <c r="J799" s="2">
        <v>71850.0</v>
      </c>
      <c r="K799" s="2">
        <v>1.667578E7</v>
      </c>
      <c r="L799" s="2">
        <v>1.3598874E7</v>
      </c>
      <c r="N799" s="2">
        <v>3076906.0</v>
      </c>
      <c r="P799" s="3"/>
      <c r="Q799" s="3"/>
      <c r="R799" s="3"/>
      <c r="S799" s="3"/>
      <c r="T799" s="3"/>
      <c r="U799" s="3"/>
      <c r="V799" s="3"/>
      <c r="W799" s="3"/>
      <c r="X799" s="3"/>
      <c r="Y799" s="3"/>
      <c r="Z799" s="3"/>
      <c r="AA799" s="3"/>
      <c r="AB799" s="3"/>
      <c r="AC799" s="3"/>
      <c r="AD799" s="3"/>
      <c r="AE799" s="3"/>
      <c r="AF799" s="3"/>
      <c r="AG799" s="3"/>
    </row>
    <row r="800">
      <c r="A800" s="2">
        <v>2018.0</v>
      </c>
      <c r="B800" s="2" t="s">
        <v>780</v>
      </c>
      <c r="D800" s="2" t="s">
        <v>1026</v>
      </c>
      <c r="E800" s="1" t="s">
        <v>420</v>
      </c>
      <c r="F800" s="2">
        <v>2527716.0</v>
      </c>
      <c r="I800" s="2">
        <v>5501000.0</v>
      </c>
      <c r="J800" s="2">
        <v>76507.0</v>
      </c>
      <c r="K800" s="2">
        <v>8105223.0</v>
      </c>
      <c r="L800" s="2">
        <v>5317709.0</v>
      </c>
      <c r="N800" s="2">
        <v>2787514.0</v>
      </c>
      <c r="P800" s="3"/>
      <c r="Q800" s="3"/>
      <c r="R800" s="3"/>
      <c r="S800" s="3"/>
      <c r="T800" s="3"/>
      <c r="U800" s="3"/>
      <c r="V800" s="3"/>
      <c r="W800" s="3"/>
      <c r="X800" s="3"/>
      <c r="Y800" s="3"/>
      <c r="Z800" s="3"/>
      <c r="AA800" s="3"/>
      <c r="AB800" s="3"/>
      <c r="AC800" s="3"/>
      <c r="AD800" s="3"/>
      <c r="AE800" s="3"/>
      <c r="AF800" s="3"/>
      <c r="AG800" s="3"/>
    </row>
    <row r="801">
      <c r="A801" s="2">
        <v>2018.0</v>
      </c>
      <c r="B801" s="2" t="s">
        <v>780</v>
      </c>
      <c r="D801" s="2" t="s">
        <v>1028</v>
      </c>
      <c r="E801" s="1" t="s">
        <v>420</v>
      </c>
      <c r="F801" s="2">
        <v>1524435.0</v>
      </c>
      <c r="I801" s="2">
        <v>1.55E7</v>
      </c>
      <c r="J801" s="2">
        <v>59734.0</v>
      </c>
      <c r="K801" s="2">
        <v>1.7084169E7</v>
      </c>
      <c r="L801" s="2">
        <v>1.4471758E7</v>
      </c>
      <c r="N801" s="2">
        <v>2612411.0</v>
      </c>
      <c r="P801" s="3"/>
      <c r="Q801" s="3"/>
      <c r="R801" s="3"/>
      <c r="S801" s="3"/>
      <c r="T801" s="3"/>
      <c r="U801" s="3"/>
      <c r="V801" s="3"/>
      <c r="W801" s="3"/>
      <c r="X801" s="3"/>
      <c r="Y801" s="3"/>
      <c r="Z801" s="3"/>
      <c r="AA801" s="3"/>
      <c r="AB801" s="3"/>
      <c r="AC801" s="3"/>
      <c r="AD801" s="3"/>
      <c r="AE801" s="3"/>
      <c r="AF801" s="3"/>
      <c r="AG801" s="3"/>
    </row>
    <row r="802">
      <c r="A802" s="2">
        <v>2018.0</v>
      </c>
      <c r="B802" s="2" t="s">
        <v>780</v>
      </c>
      <c r="D802" s="2" t="s">
        <v>681</v>
      </c>
      <c r="E802" s="1" t="s">
        <v>420</v>
      </c>
      <c r="F802" s="2">
        <v>2117546.0</v>
      </c>
      <c r="I802" s="2">
        <v>1.154E7</v>
      </c>
      <c r="J802" s="2">
        <v>96893.0</v>
      </c>
      <c r="K802" s="2">
        <v>1.3754439E7</v>
      </c>
      <c r="L802" s="2">
        <v>1.1593768E7</v>
      </c>
      <c r="N802" s="2">
        <v>2160671.0</v>
      </c>
      <c r="P802" s="3"/>
      <c r="Q802" s="3"/>
      <c r="R802" s="3"/>
      <c r="S802" s="3"/>
      <c r="T802" s="3"/>
      <c r="U802" s="3"/>
      <c r="V802" s="3"/>
      <c r="W802" s="3"/>
      <c r="X802" s="3"/>
      <c r="Y802" s="3"/>
      <c r="Z802" s="3"/>
      <c r="AA802" s="3"/>
      <c r="AB802" s="3"/>
      <c r="AC802" s="3"/>
      <c r="AD802" s="3"/>
      <c r="AE802" s="3"/>
      <c r="AF802" s="3"/>
      <c r="AG802" s="3"/>
    </row>
    <row r="803">
      <c r="A803" s="2">
        <v>2018.0</v>
      </c>
      <c r="B803" s="2" t="s">
        <v>780</v>
      </c>
      <c r="D803" s="2" t="s">
        <v>684</v>
      </c>
      <c r="E803" s="1" t="s">
        <v>420</v>
      </c>
      <c r="F803" s="2">
        <v>4583786.0</v>
      </c>
      <c r="I803" s="2">
        <v>2.3644E7</v>
      </c>
      <c r="J803" s="2">
        <v>121609.0</v>
      </c>
      <c r="K803" s="2">
        <v>2.8349395E7</v>
      </c>
      <c r="L803" s="2">
        <v>2.4405183E7</v>
      </c>
      <c r="N803" s="2">
        <v>3944212.0</v>
      </c>
      <c r="P803" s="3"/>
      <c r="Q803" s="3"/>
      <c r="R803" s="3"/>
      <c r="S803" s="3"/>
      <c r="T803" s="3"/>
      <c r="U803" s="3"/>
      <c r="V803" s="3"/>
      <c r="W803" s="3"/>
      <c r="X803" s="3"/>
      <c r="Y803" s="3"/>
      <c r="Z803" s="3"/>
      <c r="AA803" s="3"/>
      <c r="AB803" s="3"/>
      <c r="AC803" s="3"/>
      <c r="AD803" s="3"/>
      <c r="AE803" s="3"/>
      <c r="AF803" s="3"/>
      <c r="AG803" s="3"/>
    </row>
    <row r="804">
      <c r="A804" s="2">
        <v>2018.0</v>
      </c>
      <c r="B804" s="2" t="s">
        <v>780</v>
      </c>
      <c r="D804" s="2" t="s">
        <v>688</v>
      </c>
      <c r="E804" s="1" t="s">
        <v>420</v>
      </c>
      <c r="F804" s="2">
        <v>2104236.0</v>
      </c>
      <c r="I804" s="2">
        <v>1.2786125E7</v>
      </c>
      <c r="J804" s="2">
        <v>86451.0</v>
      </c>
      <c r="K804" s="2">
        <v>1.4976812E7</v>
      </c>
      <c r="L804" s="2">
        <v>1.2771356E7</v>
      </c>
      <c r="N804" s="2">
        <v>2205456.0</v>
      </c>
      <c r="P804" s="3"/>
      <c r="Q804" s="3"/>
      <c r="R804" s="3"/>
      <c r="S804" s="3"/>
      <c r="T804" s="3"/>
      <c r="U804" s="3"/>
      <c r="V804" s="3"/>
      <c r="W804" s="3"/>
      <c r="X804" s="3"/>
      <c r="Y804" s="3"/>
      <c r="Z804" s="3"/>
      <c r="AA804" s="3"/>
      <c r="AB804" s="3"/>
      <c r="AC804" s="3"/>
      <c r="AD804" s="3"/>
      <c r="AE804" s="3"/>
      <c r="AF804" s="3"/>
      <c r="AG804" s="3"/>
    </row>
    <row r="805">
      <c r="A805" s="2">
        <v>2018.0</v>
      </c>
      <c r="B805" s="2" t="s">
        <v>780</v>
      </c>
      <c r="D805" s="2" t="s">
        <v>1071</v>
      </c>
      <c r="E805" s="1" t="s">
        <v>420</v>
      </c>
      <c r="F805" s="2">
        <v>813176.0</v>
      </c>
      <c r="I805" s="2">
        <v>1.005E7</v>
      </c>
      <c r="J805" s="2">
        <v>63902.0</v>
      </c>
      <c r="K805" s="2">
        <v>1.0927078E7</v>
      </c>
      <c r="L805" s="2">
        <v>9297129.0</v>
      </c>
      <c r="N805" s="2">
        <v>1629949.0</v>
      </c>
      <c r="P805" s="3"/>
      <c r="Q805" s="3"/>
      <c r="R805" s="3"/>
      <c r="S805" s="3"/>
      <c r="T805" s="3"/>
      <c r="U805" s="3"/>
      <c r="V805" s="3"/>
      <c r="W805" s="3"/>
      <c r="X805" s="3"/>
      <c r="Y805" s="3"/>
      <c r="Z805" s="3"/>
      <c r="AA805" s="3"/>
      <c r="AB805" s="3"/>
      <c r="AC805" s="3"/>
      <c r="AD805" s="3"/>
      <c r="AE805" s="3"/>
      <c r="AF805" s="3"/>
      <c r="AG805" s="3"/>
    </row>
    <row r="806">
      <c r="A806" s="2">
        <v>2018.0</v>
      </c>
      <c r="B806" s="2" t="s">
        <v>780</v>
      </c>
      <c r="D806" s="2" t="s">
        <v>1072</v>
      </c>
      <c r="E806" s="1" t="s">
        <v>420</v>
      </c>
      <c r="F806" s="2">
        <v>2323320.0</v>
      </c>
      <c r="I806" s="2">
        <v>1.5216E7</v>
      </c>
      <c r="J806" s="2">
        <v>95998.0</v>
      </c>
      <c r="K806" s="2">
        <v>1.7635318E7</v>
      </c>
      <c r="L806" s="2">
        <v>1.5640774E7</v>
      </c>
      <c r="N806" s="2">
        <v>1994544.0</v>
      </c>
      <c r="P806" s="3"/>
      <c r="Q806" s="3"/>
      <c r="R806" s="3"/>
      <c r="S806" s="3"/>
      <c r="T806" s="3"/>
      <c r="U806" s="3"/>
      <c r="V806" s="3"/>
      <c r="W806" s="3"/>
      <c r="X806" s="3"/>
      <c r="Y806" s="3"/>
      <c r="Z806" s="3"/>
      <c r="AA806" s="3"/>
      <c r="AB806" s="3"/>
      <c r="AC806" s="3"/>
      <c r="AD806" s="3"/>
      <c r="AE806" s="3"/>
      <c r="AF806" s="3"/>
      <c r="AG806" s="3"/>
    </row>
    <row r="807">
      <c r="A807" s="2">
        <v>2018.0</v>
      </c>
      <c r="B807" s="2" t="s">
        <v>780</v>
      </c>
      <c r="D807" s="2" t="s">
        <v>1073</v>
      </c>
      <c r="E807" s="1" t="s">
        <v>420</v>
      </c>
      <c r="F807" s="2">
        <v>1034372.0</v>
      </c>
      <c r="I807" s="2">
        <v>5752000.0</v>
      </c>
      <c r="J807" s="2">
        <v>57761.0</v>
      </c>
      <c r="K807" s="2">
        <v>6844133.0</v>
      </c>
      <c r="L807" s="2">
        <v>6109469.0</v>
      </c>
      <c r="N807" s="2">
        <v>734664.0</v>
      </c>
      <c r="P807" s="3"/>
      <c r="Q807" s="3"/>
      <c r="R807" s="3"/>
      <c r="S807" s="3"/>
      <c r="T807" s="3"/>
      <c r="U807" s="3"/>
      <c r="V807" s="3"/>
      <c r="W807" s="3"/>
      <c r="X807" s="3"/>
      <c r="Y807" s="3"/>
      <c r="Z807" s="3"/>
      <c r="AA807" s="3"/>
      <c r="AB807" s="3"/>
      <c r="AC807" s="3"/>
      <c r="AD807" s="3"/>
      <c r="AE807" s="3"/>
      <c r="AF807" s="3"/>
      <c r="AG807" s="3"/>
    </row>
    <row r="808">
      <c r="A808" s="2">
        <v>2018.0</v>
      </c>
      <c r="B808" s="2" t="s">
        <v>780</v>
      </c>
      <c r="D808" s="2" t="s">
        <v>1074</v>
      </c>
      <c r="E808" s="1" t="s">
        <v>420</v>
      </c>
      <c r="F808" s="2">
        <v>1446943.0</v>
      </c>
      <c r="I808" s="2">
        <v>1.1773906E7</v>
      </c>
      <c r="J808" s="2">
        <v>100548.0</v>
      </c>
      <c r="K808" s="2">
        <v>1.3321397E7</v>
      </c>
      <c r="L808" s="2">
        <v>1.2393226E7</v>
      </c>
      <c r="N808" s="2">
        <v>928171.0</v>
      </c>
      <c r="P808" s="3"/>
      <c r="Q808" s="3"/>
      <c r="R808" s="3"/>
      <c r="S808" s="3"/>
      <c r="T808" s="3"/>
      <c r="U808" s="3"/>
      <c r="V808" s="3"/>
      <c r="W808" s="3"/>
      <c r="X808" s="3"/>
      <c r="Y808" s="3"/>
      <c r="Z808" s="3"/>
      <c r="AA808" s="3"/>
      <c r="AB808" s="3"/>
      <c r="AC808" s="3"/>
      <c r="AD808" s="3"/>
      <c r="AE808" s="3"/>
      <c r="AF808" s="3"/>
      <c r="AG808" s="3"/>
    </row>
    <row r="809">
      <c r="A809" s="2">
        <v>2018.0</v>
      </c>
      <c r="B809" s="2" t="s">
        <v>780</v>
      </c>
      <c r="D809" s="2" t="s">
        <v>1075</v>
      </c>
      <c r="E809" s="1" t="s">
        <v>420</v>
      </c>
      <c r="F809" s="2">
        <v>2618002.0</v>
      </c>
      <c r="I809" s="2">
        <v>2.0101464E7</v>
      </c>
      <c r="J809" s="2">
        <v>129923.0</v>
      </c>
      <c r="K809" s="2">
        <v>2.2849389E7</v>
      </c>
      <c r="L809" s="2">
        <v>2.0246329E7</v>
      </c>
      <c r="N809" s="2">
        <v>2603060.0</v>
      </c>
      <c r="P809" s="3"/>
      <c r="Q809" s="3"/>
      <c r="R809" s="3"/>
      <c r="S809" s="3"/>
      <c r="T809" s="3"/>
      <c r="U809" s="3"/>
      <c r="V809" s="3"/>
      <c r="W809" s="3"/>
      <c r="X809" s="3"/>
      <c r="Y809" s="3"/>
      <c r="Z809" s="3"/>
      <c r="AA809" s="3"/>
      <c r="AB809" s="3"/>
      <c r="AC809" s="3"/>
      <c r="AD809" s="3"/>
      <c r="AE809" s="3"/>
      <c r="AF809" s="3"/>
      <c r="AG809" s="3"/>
    </row>
    <row r="810">
      <c r="A810" s="2">
        <v>2018.0</v>
      </c>
      <c r="B810" s="2" t="s">
        <v>780</v>
      </c>
      <c r="D810" s="2" t="s">
        <v>1076</v>
      </c>
      <c r="E810" s="1" t="s">
        <v>420</v>
      </c>
      <c r="F810" s="2">
        <v>889354.0</v>
      </c>
      <c r="I810" s="2">
        <v>1.0395E7</v>
      </c>
      <c r="J810" s="2">
        <v>69349.0</v>
      </c>
      <c r="K810" s="2">
        <v>1.1353703E7</v>
      </c>
      <c r="L810" s="2">
        <v>1.0199601E7</v>
      </c>
      <c r="N810" s="2">
        <v>1154102.0</v>
      </c>
      <c r="P810" s="3"/>
      <c r="Q810" s="3"/>
      <c r="R810" s="3"/>
      <c r="S810" s="3"/>
      <c r="T810" s="3"/>
      <c r="U810" s="3"/>
      <c r="V810" s="3"/>
      <c r="W810" s="3"/>
      <c r="X810" s="3"/>
      <c r="Y810" s="3"/>
      <c r="Z810" s="3"/>
      <c r="AA810" s="3"/>
      <c r="AB810" s="3"/>
      <c r="AC810" s="3"/>
      <c r="AD810" s="3"/>
      <c r="AE810" s="3"/>
      <c r="AF810" s="3"/>
      <c r="AG810" s="3"/>
    </row>
    <row r="811">
      <c r="A811" s="2">
        <v>2018.0</v>
      </c>
      <c r="B811" s="2" t="s">
        <v>780</v>
      </c>
      <c r="D811" s="2" t="s">
        <v>1077</v>
      </c>
      <c r="E811" s="1" t="s">
        <v>420</v>
      </c>
      <c r="F811" s="2">
        <v>2682069.0</v>
      </c>
      <c r="I811" s="2">
        <v>2.1714376E7</v>
      </c>
      <c r="J811" s="2">
        <v>121918.0</v>
      </c>
      <c r="K811" s="2">
        <v>2.4518363E7</v>
      </c>
      <c r="L811" s="2">
        <v>2.1595406E7</v>
      </c>
      <c r="N811" s="2">
        <v>2922957.0</v>
      </c>
      <c r="P811" s="3"/>
      <c r="Q811" s="3"/>
      <c r="R811" s="3"/>
      <c r="S811" s="3"/>
      <c r="T811" s="3"/>
      <c r="U811" s="3"/>
      <c r="V811" s="3"/>
      <c r="W811" s="3"/>
      <c r="X811" s="3"/>
      <c r="Y811" s="3"/>
      <c r="Z811" s="3"/>
      <c r="AA811" s="3"/>
      <c r="AB811" s="3"/>
      <c r="AC811" s="3"/>
      <c r="AD811" s="3"/>
      <c r="AE811" s="3"/>
      <c r="AF811" s="3"/>
      <c r="AG811" s="3"/>
    </row>
    <row r="812">
      <c r="A812" s="2">
        <v>2018.0</v>
      </c>
      <c r="B812" s="2" t="s">
        <v>780</v>
      </c>
      <c r="D812" s="2" t="s">
        <v>484</v>
      </c>
      <c r="E812" s="1" t="s">
        <v>420</v>
      </c>
      <c r="F812" s="2">
        <v>1449363.0</v>
      </c>
      <c r="I812" s="2">
        <v>7225000.0</v>
      </c>
      <c r="J812" s="2">
        <v>48856.0</v>
      </c>
      <c r="K812" s="2">
        <v>8723219.0</v>
      </c>
      <c r="L812" s="2">
        <v>7880812.0</v>
      </c>
      <c r="N812" s="2">
        <v>842407.0</v>
      </c>
      <c r="P812" s="3"/>
      <c r="Q812" s="3"/>
      <c r="R812" s="3"/>
      <c r="S812" s="3"/>
      <c r="T812" s="3"/>
      <c r="U812" s="3"/>
      <c r="V812" s="3"/>
      <c r="W812" s="3"/>
      <c r="X812" s="3"/>
      <c r="Y812" s="3"/>
      <c r="Z812" s="3"/>
      <c r="AA812" s="3"/>
      <c r="AB812" s="3"/>
      <c r="AC812" s="3"/>
      <c r="AD812" s="3"/>
      <c r="AE812" s="3"/>
      <c r="AF812" s="3"/>
      <c r="AG812" s="3"/>
    </row>
    <row r="813">
      <c r="A813" s="2">
        <v>2018.0</v>
      </c>
      <c r="B813" s="2" t="s">
        <v>780</v>
      </c>
      <c r="D813" s="2" t="s">
        <v>884</v>
      </c>
      <c r="E813" s="1" t="s">
        <v>420</v>
      </c>
      <c r="F813" s="2">
        <v>1031515.0</v>
      </c>
      <c r="I813" s="2">
        <v>8150000.0</v>
      </c>
      <c r="J813" s="2">
        <v>40942.0</v>
      </c>
      <c r="K813" s="2">
        <v>9222457.0</v>
      </c>
      <c r="L813" s="2">
        <v>7997368.0</v>
      </c>
      <c r="N813" s="2">
        <v>1225089.0</v>
      </c>
      <c r="P813" s="3"/>
      <c r="Q813" s="3"/>
      <c r="R813" s="3"/>
      <c r="S813" s="3"/>
      <c r="T813" s="3"/>
      <c r="U813" s="3"/>
      <c r="V813" s="3"/>
      <c r="W813" s="3"/>
      <c r="X813" s="3"/>
      <c r="Y813" s="3"/>
      <c r="Z813" s="3"/>
      <c r="AA813" s="3"/>
      <c r="AB813" s="3"/>
      <c r="AC813" s="3"/>
      <c r="AD813" s="3"/>
      <c r="AE813" s="3"/>
      <c r="AF813" s="3"/>
      <c r="AG813" s="3"/>
    </row>
    <row r="814">
      <c r="A814" s="2">
        <v>2018.0</v>
      </c>
      <c r="B814" s="2" t="s">
        <v>780</v>
      </c>
      <c r="D814" s="2" t="s">
        <v>487</v>
      </c>
      <c r="E814" s="1" t="s">
        <v>420</v>
      </c>
      <c r="F814" s="2">
        <v>898937.0</v>
      </c>
      <c r="I814" s="2">
        <v>9850000.0</v>
      </c>
      <c r="J814" s="2">
        <v>63876.0</v>
      </c>
      <c r="K814" s="2">
        <v>1.0812813E7</v>
      </c>
      <c r="L814" s="2">
        <v>9615746.0</v>
      </c>
      <c r="N814" s="2">
        <v>1197067.0</v>
      </c>
      <c r="P814" s="3"/>
      <c r="Q814" s="3"/>
      <c r="R814" s="3"/>
      <c r="S814" s="3"/>
      <c r="T814" s="3"/>
      <c r="U814" s="3"/>
      <c r="V814" s="3"/>
      <c r="W814" s="3"/>
      <c r="X814" s="3"/>
      <c r="Y814" s="3"/>
      <c r="Z814" s="3"/>
      <c r="AA814" s="3"/>
      <c r="AB814" s="3"/>
      <c r="AC814" s="3"/>
      <c r="AD814" s="3"/>
      <c r="AE814" s="3"/>
      <c r="AF814" s="3"/>
      <c r="AG814" s="3"/>
    </row>
    <row r="815">
      <c r="A815" s="2">
        <v>2018.0</v>
      </c>
      <c r="B815" s="2" t="s">
        <v>780</v>
      </c>
      <c r="D815" s="2" t="s">
        <v>671</v>
      </c>
      <c r="E815" s="1" t="s">
        <v>420</v>
      </c>
      <c r="F815" s="2">
        <v>1398678.0</v>
      </c>
      <c r="I815" s="2">
        <v>2.7726E7</v>
      </c>
      <c r="J815" s="2">
        <v>123142.0</v>
      </c>
      <c r="K815" s="2">
        <v>2.924782E7</v>
      </c>
      <c r="L815" s="2">
        <v>2.1337216E7</v>
      </c>
      <c r="N815" s="2">
        <v>7910604.0</v>
      </c>
      <c r="P815" s="3"/>
      <c r="Q815" s="3"/>
      <c r="R815" s="3"/>
      <c r="S815" s="3"/>
      <c r="T815" s="3"/>
      <c r="U815" s="3"/>
      <c r="V815" s="3"/>
      <c r="W815" s="3"/>
      <c r="X815" s="3"/>
      <c r="Y815" s="3"/>
      <c r="Z815" s="3"/>
      <c r="AA815" s="3"/>
      <c r="AB815" s="3"/>
      <c r="AC815" s="3"/>
      <c r="AD815" s="3"/>
      <c r="AE815" s="3"/>
      <c r="AF815" s="3"/>
      <c r="AG815" s="3"/>
    </row>
    <row r="816">
      <c r="A816" s="2">
        <v>2018.0</v>
      </c>
      <c r="B816" s="2" t="s">
        <v>780</v>
      </c>
      <c r="D816" s="2" t="s">
        <v>1037</v>
      </c>
      <c r="E816" s="1" t="s">
        <v>420</v>
      </c>
      <c r="F816" s="2">
        <v>1821081.0</v>
      </c>
      <c r="I816" s="2">
        <v>3.03E7</v>
      </c>
      <c r="J816" s="2">
        <v>88185.0</v>
      </c>
      <c r="K816" s="2">
        <v>3.2209266E7</v>
      </c>
      <c r="L816" s="2">
        <v>2.3650434E7</v>
      </c>
      <c r="N816" s="2">
        <v>8558832.0</v>
      </c>
      <c r="P816" s="3"/>
      <c r="Q816" s="3"/>
      <c r="R816" s="3"/>
      <c r="S816" s="3"/>
      <c r="T816" s="3"/>
      <c r="U816" s="3"/>
      <c r="V816" s="3"/>
      <c r="W816" s="3"/>
      <c r="X816" s="3"/>
      <c r="Y816" s="3"/>
      <c r="Z816" s="3"/>
      <c r="AA816" s="3"/>
      <c r="AB816" s="3"/>
      <c r="AC816" s="3"/>
      <c r="AD816" s="3"/>
      <c r="AE816" s="3"/>
      <c r="AF816" s="3"/>
      <c r="AG816" s="3"/>
    </row>
    <row r="817">
      <c r="A817" s="2">
        <v>2018.0</v>
      </c>
      <c r="B817" s="2" t="s">
        <v>780</v>
      </c>
      <c r="D817" s="2" t="s">
        <v>675</v>
      </c>
      <c r="E817" s="1" t="s">
        <v>420</v>
      </c>
      <c r="F817" s="2">
        <v>2923025.0</v>
      </c>
      <c r="I817" s="2">
        <v>1.47E7</v>
      </c>
      <c r="J817" s="2">
        <v>94018.0</v>
      </c>
      <c r="K817" s="2">
        <v>1.7717043E7</v>
      </c>
      <c r="L817" s="2">
        <v>1.6868699E7</v>
      </c>
      <c r="N817" s="2">
        <v>848344.0</v>
      </c>
      <c r="P817" s="3"/>
      <c r="Q817" s="3"/>
      <c r="R817" s="3"/>
      <c r="S817" s="3"/>
      <c r="T817" s="3"/>
      <c r="U817" s="3"/>
      <c r="V817" s="3"/>
      <c r="W817" s="3"/>
      <c r="X817" s="3"/>
      <c r="Y817" s="3"/>
      <c r="Z817" s="3"/>
      <c r="AA817" s="3"/>
      <c r="AB817" s="3"/>
      <c r="AC817" s="3"/>
      <c r="AD817" s="3"/>
      <c r="AE817" s="3"/>
      <c r="AF817" s="3"/>
      <c r="AG817" s="3"/>
    </row>
    <row r="818">
      <c r="A818" s="2">
        <v>2018.0</v>
      </c>
      <c r="B818" s="2" t="s">
        <v>780</v>
      </c>
      <c r="D818" s="2" t="s">
        <v>677</v>
      </c>
      <c r="E818" s="1" t="s">
        <v>420</v>
      </c>
      <c r="F818" s="2">
        <v>1583565.0</v>
      </c>
      <c r="I818" s="2">
        <v>1.93E7</v>
      </c>
      <c r="J818" s="2">
        <v>66884.0</v>
      </c>
      <c r="K818" s="2">
        <v>2.0950449E7</v>
      </c>
      <c r="L818" s="2">
        <v>1.4373224E7</v>
      </c>
      <c r="N818" s="2">
        <v>6577225.0</v>
      </c>
      <c r="P818" s="3"/>
      <c r="Q818" s="3"/>
      <c r="R818" s="3"/>
      <c r="S818" s="3"/>
      <c r="T818" s="3"/>
      <c r="U818" s="3"/>
      <c r="V818" s="3"/>
      <c r="W818" s="3"/>
      <c r="X818" s="3"/>
      <c r="Y818" s="3"/>
      <c r="Z818" s="3"/>
      <c r="AA818" s="3"/>
      <c r="AB818" s="3"/>
      <c r="AC818" s="3"/>
      <c r="AD818" s="3"/>
      <c r="AE818" s="3"/>
      <c r="AF818" s="3"/>
      <c r="AG818" s="3"/>
    </row>
    <row r="819">
      <c r="A819" s="2">
        <v>2018.0</v>
      </c>
      <c r="B819" s="2" t="s">
        <v>780</v>
      </c>
      <c r="D819" s="2" t="s">
        <v>680</v>
      </c>
      <c r="E819" s="1" t="s">
        <v>420</v>
      </c>
      <c r="F819" s="2">
        <v>2259717.0</v>
      </c>
      <c r="I819" s="2">
        <v>9682692.0</v>
      </c>
      <c r="J819" s="2">
        <v>68038.0</v>
      </c>
      <c r="K819" s="2">
        <v>1.2010447E7</v>
      </c>
      <c r="L819" s="2">
        <v>7514517.0</v>
      </c>
      <c r="N819" s="2">
        <v>4495930.0</v>
      </c>
      <c r="P819" s="3"/>
      <c r="Q819" s="3"/>
      <c r="R819" s="3"/>
      <c r="S819" s="3"/>
      <c r="T819" s="3"/>
      <c r="U819" s="3"/>
      <c r="V819" s="3"/>
      <c r="W819" s="3"/>
      <c r="X819" s="3"/>
      <c r="Y819" s="3"/>
      <c r="Z819" s="3"/>
      <c r="AA819" s="3"/>
      <c r="AB819" s="3"/>
      <c r="AC819" s="3"/>
      <c r="AD819" s="3"/>
      <c r="AE819" s="3"/>
      <c r="AF819" s="3"/>
      <c r="AG819" s="3"/>
    </row>
    <row r="820">
      <c r="A820" s="2">
        <v>2018.0</v>
      </c>
      <c r="B820" s="2" t="s">
        <v>780</v>
      </c>
      <c r="D820" s="2" t="s">
        <v>661</v>
      </c>
      <c r="E820" s="1" t="s">
        <v>420</v>
      </c>
      <c r="F820" s="2">
        <v>2617100.0</v>
      </c>
      <c r="I820" s="2">
        <v>2.223E7</v>
      </c>
      <c r="J820" s="2">
        <v>0.0</v>
      </c>
      <c r="K820" s="2">
        <v>2.48471E7</v>
      </c>
      <c r="L820" s="2">
        <v>2.0215143E7</v>
      </c>
      <c r="N820" s="2">
        <v>4631957.0</v>
      </c>
      <c r="P820" s="3"/>
      <c r="Q820" s="3"/>
      <c r="R820" s="3"/>
      <c r="S820" s="3"/>
      <c r="T820" s="3"/>
      <c r="U820" s="3"/>
      <c r="V820" s="3"/>
      <c r="W820" s="3"/>
      <c r="X820" s="3"/>
      <c r="Y820" s="3"/>
      <c r="Z820" s="3"/>
      <c r="AA820" s="3"/>
      <c r="AB820" s="3"/>
      <c r="AC820" s="3"/>
      <c r="AD820" s="3"/>
      <c r="AE820" s="3"/>
      <c r="AF820" s="3"/>
      <c r="AG820" s="3"/>
    </row>
    <row r="821">
      <c r="A821" s="2">
        <v>2018.0</v>
      </c>
      <c r="B821" s="2" t="s">
        <v>780</v>
      </c>
      <c r="D821" s="2" t="s">
        <v>662</v>
      </c>
      <c r="E821" s="1" t="s">
        <v>420</v>
      </c>
      <c r="F821" s="2">
        <v>3735624.0</v>
      </c>
      <c r="I821" s="2">
        <v>9919000.0</v>
      </c>
      <c r="J821" s="2">
        <v>0.0</v>
      </c>
      <c r="K821" s="2">
        <v>1.3654624E7</v>
      </c>
      <c r="L821" s="2">
        <v>1.1817549E7</v>
      </c>
      <c r="N821" s="2">
        <v>1837075.0</v>
      </c>
      <c r="P821" s="3"/>
      <c r="Q821" s="3"/>
      <c r="R821" s="3"/>
      <c r="S821" s="3"/>
      <c r="T821" s="3"/>
      <c r="U821" s="3"/>
      <c r="V821" s="3"/>
      <c r="W821" s="3"/>
      <c r="X821" s="3"/>
      <c r="Y821" s="3"/>
      <c r="Z821" s="3"/>
      <c r="AA821" s="3"/>
      <c r="AB821" s="3"/>
      <c r="AC821" s="3"/>
      <c r="AD821" s="3"/>
      <c r="AE821" s="3"/>
      <c r="AF821" s="3"/>
      <c r="AG821" s="3"/>
    </row>
    <row r="822">
      <c r="A822" s="2">
        <v>2018.0</v>
      </c>
      <c r="B822" s="2" t="s">
        <v>780</v>
      </c>
      <c r="D822" s="2" t="s">
        <v>664</v>
      </c>
      <c r="E822" s="1" t="s">
        <v>420</v>
      </c>
      <c r="F822" s="2">
        <v>6755127.0</v>
      </c>
      <c r="I822" s="2">
        <v>1.42028E7</v>
      </c>
      <c r="J822" s="2">
        <v>0.0</v>
      </c>
      <c r="K822" s="2">
        <v>2.0957927E7</v>
      </c>
      <c r="L822" s="2">
        <v>1.7911991E7</v>
      </c>
      <c r="N822" s="2">
        <v>3045936.0</v>
      </c>
      <c r="P822" s="3"/>
      <c r="Q822" s="3"/>
      <c r="R822" s="3"/>
      <c r="S822" s="3"/>
      <c r="T822" s="3"/>
      <c r="U822" s="3"/>
      <c r="V822" s="3"/>
      <c r="W822" s="3"/>
      <c r="X822" s="3"/>
      <c r="Y822" s="3"/>
      <c r="Z822" s="3"/>
      <c r="AA822" s="3"/>
      <c r="AB822" s="3"/>
      <c r="AC822" s="3"/>
      <c r="AD822" s="3"/>
      <c r="AE822" s="3"/>
      <c r="AF822" s="3"/>
      <c r="AG822" s="3"/>
    </row>
    <row r="823">
      <c r="A823" s="2">
        <v>2018.0</v>
      </c>
      <c r="B823" s="2" t="s">
        <v>780</v>
      </c>
      <c r="D823" s="2" t="s">
        <v>666</v>
      </c>
      <c r="E823" s="1" t="s">
        <v>420</v>
      </c>
      <c r="F823" s="2">
        <v>8238759.0</v>
      </c>
      <c r="I823" s="2">
        <v>2.33E7</v>
      </c>
      <c r="J823" s="2">
        <v>0.0</v>
      </c>
      <c r="K823" s="2">
        <v>3.1538759E7</v>
      </c>
      <c r="L823" s="2">
        <v>2.6878474E7</v>
      </c>
      <c r="N823" s="2">
        <v>4660285.0</v>
      </c>
      <c r="P823" s="3"/>
      <c r="Q823" s="3"/>
      <c r="R823" s="3"/>
      <c r="S823" s="3"/>
      <c r="T823" s="3"/>
      <c r="U823" s="3"/>
      <c r="V823" s="3"/>
      <c r="W823" s="3"/>
      <c r="X823" s="3"/>
      <c r="Y823" s="3"/>
      <c r="Z823" s="3"/>
      <c r="AA823" s="3"/>
      <c r="AB823" s="3"/>
      <c r="AC823" s="3"/>
      <c r="AD823" s="3"/>
      <c r="AE823" s="3"/>
      <c r="AF823" s="3"/>
      <c r="AG823" s="3"/>
    </row>
    <row r="824">
      <c r="A824" s="2">
        <v>2018.0</v>
      </c>
      <c r="B824" s="2" t="s">
        <v>780</v>
      </c>
      <c r="D824" s="2" t="s">
        <v>668</v>
      </c>
      <c r="E824" s="1" t="s">
        <v>420</v>
      </c>
      <c r="F824" s="2">
        <v>1.0399092E7</v>
      </c>
      <c r="I824" s="2">
        <v>8250000.0</v>
      </c>
      <c r="J824" s="2">
        <v>0.0</v>
      </c>
      <c r="K824" s="2">
        <v>1.8649092E7</v>
      </c>
      <c r="L824" s="2">
        <v>1.430997E7</v>
      </c>
      <c r="N824" s="2">
        <v>4339122.0</v>
      </c>
      <c r="P824" s="3"/>
      <c r="Q824" s="3"/>
      <c r="R824" s="3"/>
      <c r="S824" s="3"/>
      <c r="T824" s="3"/>
      <c r="U824" s="3"/>
      <c r="V824" s="3"/>
      <c r="W824" s="3"/>
      <c r="X824" s="3"/>
      <c r="Y824" s="3"/>
      <c r="Z824" s="3"/>
      <c r="AA824" s="3"/>
      <c r="AB824" s="3"/>
      <c r="AC824" s="3"/>
      <c r="AD824" s="3"/>
      <c r="AE824" s="3"/>
      <c r="AF824" s="3"/>
      <c r="AG824" s="3"/>
    </row>
    <row r="825">
      <c r="A825" s="2">
        <v>2018.0</v>
      </c>
      <c r="B825" s="2" t="s">
        <v>780</v>
      </c>
      <c r="D825" s="2" t="s">
        <v>1050</v>
      </c>
      <c r="E825" s="1" t="s">
        <v>420</v>
      </c>
      <c r="F825" s="2">
        <v>1749104.0</v>
      </c>
      <c r="I825" s="2">
        <v>1.49E7</v>
      </c>
      <c r="J825" s="2">
        <v>113308.0</v>
      </c>
      <c r="K825" s="2">
        <v>1.6762412E7</v>
      </c>
      <c r="L825" s="2">
        <v>8467266.0</v>
      </c>
      <c r="M825" s="2">
        <v>1100000.0</v>
      </c>
      <c r="N825" s="2">
        <v>7195146.0</v>
      </c>
      <c r="P825" s="3"/>
      <c r="Q825" s="3"/>
      <c r="R825" s="3"/>
      <c r="S825" s="3"/>
      <c r="T825" s="3"/>
      <c r="U825" s="3"/>
      <c r="V825" s="3"/>
      <c r="W825" s="3"/>
      <c r="X825" s="3"/>
      <c r="Y825" s="3"/>
      <c r="Z825" s="3"/>
      <c r="AA825" s="3"/>
      <c r="AB825" s="3"/>
      <c r="AC825" s="3"/>
      <c r="AD825" s="3"/>
      <c r="AE825" s="3"/>
      <c r="AF825" s="3"/>
      <c r="AG825" s="3"/>
    </row>
    <row r="826">
      <c r="A826" s="2">
        <v>2018.0</v>
      </c>
      <c r="B826" s="2" t="s">
        <v>780</v>
      </c>
      <c r="D826" s="2" t="s">
        <v>1052</v>
      </c>
      <c r="E826" s="1" t="s">
        <v>420</v>
      </c>
      <c r="F826" s="2">
        <v>84485.0</v>
      </c>
      <c r="I826" s="2">
        <v>2.5105E7</v>
      </c>
      <c r="J826" s="2">
        <v>108525.0</v>
      </c>
      <c r="K826" s="2">
        <v>2.529801E7</v>
      </c>
      <c r="L826" s="2">
        <v>2.1850007E7</v>
      </c>
      <c r="N826" s="2">
        <v>3448003.0</v>
      </c>
      <c r="P826" s="3"/>
      <c r="Q826" s="3"/>
      <c r="R826" s="3"/>
      <c r="S826" s="3"/>
      <c r="T826" s="3"/>
      <c r="U826" s="3"/>
      <c r="V826" s="3"/>
      <c r="W826" s="3"/>
      <c r="X826" s="3"/>
      <c r="Y826" s="3"/>
      <c r="Z826" s="3"/>
      <c r="AA826" s="3"/>
      <c r="AB826" s="3"/>
      <c r="AC826" s="3"/>
      <c r="AD826" s="3"/>
      <c r="AE826" s="3"/>
      <c r="AF826" s="3"/>
      <c r="AG826" s="3"/>
    </row>
    <row r="827">
      <c r="A827" s="2">
        <v>2018.0</v>
      </c>
      <c r="B827" s="2" t="s">
        <v>780</v>
      </c>
      <c r="D827" s="2" t="s">
        <v>1054</v>
      </c>
      <c r="E827" s="1" t="s">
        <v>420</v>
      </c>
      <c r="F827" s="2">
        <v>1788600.0</v>
      </c>
      <c r="I827" s="2">
        <v>7800000.0</v>
      </c>
      <c r="J827" s="2">
        <v>100557.0</v>
      </c>
      <c r="K827" s="2">
        <v>9689157.0</v>
      </c>
      <c r="L827" s="2">
        <v>5512018.0</v>
      </c>
      <c r="N827" s="2">
        <v>4177139.0</v>
      </c>
      <c r="P827" s="3"/>
      <c r="Q827" s="3"/>
      <c r="R827" s="3"/>
      <c r="S827" s="3"/>
      <c r="T827" s="3"/>
      <c r="U827" s="3"/>
      <c r="V827" s="3"/>
      <c r="W827" s="3"/>
      <c r="X827" s="3"/>
      <c r="Y827" s="3"/>
      <c r="Z827" s="3"/>
      <c r="AA827" s="3"/>
      <c r="AB827" s="3"/>
      <c r="AC827" s="3"/>
      <c r="AD827" s="3"/>
      <c r="AE827" s="3"/>
      <c r="AF827" s="3"/>
      <c r="AG827" s="3"/>
    </row>
    <row r="828">
      <c r="A828" s="2">
        <v>2018.0</v>
      </c>
      <c r="B828" s="2" t="s">
        <v>780</v>
      </c>
      <c r="D828" s="2" t="s">
        <v>1055</v>
      </c>
      <c r="E828" s="1" t="s">
        <v>420</v>
      </c>
      <c r="F828" s="2">
        <v>2222477.0</v>
      </c>
      <c r="I828" s="2">
        <v>2.0255912E7</v>
      </c>
      <c r="J828" s="2">
        <v>27096.0</v>
      </c>
      <c r="K828" s="2">
        <v>2.2505485E7</v>
      </c>
      <c r="L828" s="2">
        <v>1.9136321E7</v>
      </c>
      <c r="M828" s="2">
        <v>2800000.0</v>
      </c>
      <c r="N828" s="2">
        <v>569164.0</v>
      </c>
      <c r="P828" s="3"/>
      <c r="Q828" s="3"/>
      <c r="R828" s="3"/>
      <c r="S828" s="3"/>
      <c r="T828" s="3"/>
      <c r="U828" s="3"/>
      <c r="V828" s="3"/>
      <c r="W828" s="3"/>
      <c r="X828" s="3"/>
      <c r="Y828" s="3"/>
      <c r="Z828" s="3"/>
      <c r="AA828" s="3"/>
      <c r="AB828" s="3"/>
      <c r="AC828" s="3"/>
      <c r="AD828" s="3"/>
      <c r="AE828" s="3"/>
      <c r="AF828" s="3"/>
      <c r="AG828" s="3"/>
    </row>
    <row r="829">
      <c r="A829" s="2">
        <v>2018.0</v>
      </c>
      <c r="B829" s="2" t="s">
        <v>780</v>
      </c>
      <c r="D829" s="2" t="s">
        <v>1058</v>
      </c>
      <c r="E829" s="1" t="s">
        <v>420</v>
      </c>
      <c r="F829" s="2">
        <v>123692.0</v>
      </c>
      <c r="I829" s="2">
        <v>2.27E7</v>
      </c>
      <c r="J829" s="2">
        <v>131685.0</v>
      </c>
      <c r="K829" s="2">
        <v>2.2956377E7</v>
      </c>
      <c r="L829" s="2">
        <v>1.6520073E7</v>
      </c>
      <c r="N829" s="2">
        <v>6436304.0</v>
      </c>
      <c r="P829" s="3"/>
      <c r="Q829" s="3"/>
      <c r="R829" s="3"/>
      <c r="S829" s="3"/>
      <c r="T829" s="3"/>
      <c r="U829" s="3"/>
      <c r="V829" s="3"/>
      <c r="W829" s="3"/>
      <c r="X829" s="3"/>
      <c r="Y829" s="3"/>
      <c r="Z829" s="3"/>
      <c r="AA829" s="3"/>
      <c r="AB829" s="3"/>
      <c r="AC829" s="3"/>
      <c r="AD829" s="3"/>
      <c r="AE829" s="3"/>
      <c r="AF829" s="3"/>
      <c r="AG829" s="3"/>
    </row>
    <row r="830">
      <c r="A830" s="2">
        <v>2018.0</v>
      </c>
      <c r="B830" s="2" t="s">
        <v>780</v>
      </c>
      <c r="D830" s="2" t="s">
        <v>1060</v>
      </c>
      <c r="E830" s="1" t="s">
        <v>420</v>
      </c>
      <c r="F830" s="2">
        <v>6368946.0</v>
      </c>
      <c r="I830" s="2">
        <v>2.4E7</v>
      </c>
      <c r="J830" s="2">
        <v>276190.0</v>
      </c>
      <c r="K830" s="2">
        <v>3.0645136E7</v>
      </c>
      <c r="L830" s="2">
        <v>2.5915379E7</v>
      </c>
      <c r="N830" s="2">
        <v>4729757.0</v>
      </c>
      <c r="P830" s="3"/>
      <c r="Q830" s="3"/>
      <c r="R830" s="3"/>
      <c r="S830" s="3"/>
      <c r="T830" s="3"/>
      <c r="U830" s="3"/>
      <c r="V830" s="3"/>
      <c r="W830" s="3"/>
      <c r="X830" s="3"/>
      <c r="Y830" s="3"/>
      <c r="Z830" s="3"/>
      <c r="AA830" s="3"/>
      <c r="AB830" s="3"/>
      <c r="AC830" s="3"/>
      <c r="AD830" s="3"/>
      <c r="AE830" s="3"/>
      <c r="AF830" s="3"/>
      <c r="AG830" s="3"/>
    </row>
    <row r="831">
      <c r="A831" s="2">
        <v>2018.0</v>
      </c>
      <c r="B831" s="2" t="s">
        <v>902</v>
      </c>
      <c r="D831" s="2" t="s">
        <v>489</v>
      </c>
      <c r="E831" s="1" t="s">
        <v>420</v>
      </c>
      <c r="F831" s="2">
        <v>7206683.0</v>
      </c>
      <c r="I831" s="2">
        <v>7999000.0</v>
      </c>
      <c r="J831" s="2">
        <v>167496.0</v>
      </c>
      <c r="K831" s="2">
        <v>1.5373179E7</v>
      </c>
      <c r="L831" s="2">
        <v>1.4214696E7</v>
      </c>
      <c r="N831" s="2">
        <v>1158483.0</v>
      </c>
      <c r="P831" s="3"/>
      <c r="Q831" s="3"/>
      <c r="R831" s="3"/>
      <c r="S831" s="3"/>
      <c r="T831" s="3"/>
      <c r="U831" s="3"/>
      <c r="V831" s="3"/>
      <c r="W831" s="3"/>
      <c r="X831" s="3"/>
      <c r="Y831" s="3"/>
      <c r="Z831" s="3"/>
      <c r="AA831" s="3"/>
      <c r="AB831" s="3"/>
      <c r="AC831" s="3"/>
      <c r="AD831" s="3"/>
      <c r="AE831" s="3"/>
      <c r="AF831" s="3"/>
      <c r="AG831" s="3"/>
    </row>
    <row r="832">
      <c r="A832" s="2">
        <v>2018.0</v>
      </c>
      <c r="B832" s="2" t="s">
        <v>902</v>
      </c>
      <c r="D832" s="2" t="s">
        <v>493</v>
      </c>
      <c r="E832" s="1" t="s">
        <v>420</v>
      </c>
      <c r="F832" s="2">
        <v>2953083.0</v>
      </c>
      <c r="I832" s="2">
        <v>2.254E7</v>
      </c>
      <c r="J832" s="2">
        <v>125172.0</v>
      </c>
      <c r="K832" s="2">
        <v>2.5618255E7</v>
      </c>
      <c r="L832" s="2">
        <v>2.4785189E7</v>
      </c>
      <c r="N832" s="2">
        <v>833066.0</v>
      </c>
      <c r="P832" s="3"/>
      <c r="Q832" s="3"/>
      <c r="R832" s="3"/>
      <c r="S832" s="3"/>
      <c r="T832" s="3"/>
      <c r="U832" s="3"/>
      <c r="V832" s="3"/>
      <c r="W832" s="3"/>
      <c r="X832" s="3"/>
      <c r="Y832" s="3"/>
      <c r="Z832" s="3"/>
      <c r="AA832" s="3"/>
      <c r="AB832" s="3"/>
      <c r="AC832" s="3"/>
      <c r="AD832" s="3"/>
      <c r="AE832" s="3"/>
      <c r="AF832" s="3"/>
      <c r="AG832" s="3"/>
    </row>
    <row r="833">
      <c r="A833" s="2">
        <v>2018.0</v>
      </c>
      <c r="B833" s="2" t="s">
        <v>902</v>
      </c>
      <c r="D833" s="2" t="s">
        <v>496</v>
      </c>
      <c r="E833" s="1" t="s">
        <v>420</v>
      </c>
      <c r="F833" s="2">
        <v>820937.0</v>
      </c>
      <c r="I833" s="2">
        <v>3797000.0</v>
      </c>
      <c r="J833" s="2">
        <v>22600.0</v>
      </c>
      <c r="K833" s="2">
        <v>4640537.0</v>
      </c>
      <c r="L833" s="2">
        <v>4409809.0</v>
      </c>
      <c r="N833" s="2">
        <v>230728.0</v>
      </c>
      <c r="P833" s="3"/>
      <c r="Q833" s="3"/>
      <c r="R833" s="3"/>
      <c r="S833" s="3"/>
      <c r="T833" s="3"/>
      <c r="U833" s="3"/>
      <c r="V833" s="3"/>
      <c r="W833" s="3"/>
      <c r="X833" s="3"/>
      <c r="Y833" s="3"/>
      <c r="Z833" s="3"/>
      <c r="AA833" s="3"/>
      <c r="AB833" s="3"/>
      <c r="AC833" s="3"/>
      <c r="AD833" s="3"/>
      <c r="AE833" s="3"/>
      <c r="AF833" s="3"/>
      <c r="AG833" s="3"/>
    </row>
    <row r="834">
      <c r="A834" s="2">
        <v>2018.0</v>
      </c>
      <c r="B834" s="2" t="s">
        <v>902</v>
      </c>
      <c r="D834" s="2" t="s">
        <v>499</v>
      </c>
      <c r="E834" s="1" t="s">
        <v>420</v>
      </c>
      <c r="F834" s="2">
        <v>4820125.0</v>
      </c>
      <c r="I834" s="2">
        <v>4.2166E7</v>
      </c>
      <c r="J834" s="2">
        <v>124975.0</v>
      </c>
      <c r="K834" s="2">
        <v>4.71111E7</v>
      </c>
      <c r="L834" s="2">
        <v>4.5589542E7</v>
      </c>
      <c r="N834" s="2">
        <v>1521558.0</v>
      </c>
      <c r="P834" s="3"/>
      <c r="Q834" s="3"/>
      <c r="R834" s="3"/>
      <c r="S834" s="3"/>
      <c r="T834" s="3"/>
      <c r="U834" s="3"/>
      <c r="V834" s="3"/>
      <c r="W834" s="3"/>
      <c r="X834" s="3"/>
      <c r="Y834" s="3"/>
      <c r="Z834" s="3"/>
      <c r="AA834" s="3"/>
      <c r="AB834" s="3"/>
      <c r="AC834" s="3"/>
      <c r="AD834" s="3"/>
      <c r="AE834" s="3"/>
      <c r="AF834" s="3"/>
      <c r="AG834" s="3"/>
    </row>
    <row r="835">
      <c r="A835" s="2">
        <v>2018.0</v>
      </c>
      <c r="B835" s="2" t="s">
        <v>902</v>
      </c>
      <c r="D835" s="2" t="s">
        <v>501</v>
      </c>
      <c r="E835" s="1" t="s">
        <v>420</v>
      </c>
      <c r="F835" s="2">
        <v>5561379.0</v>
      </c>
      <c r="I835" s="2">
        <v>2.2804E7</v>
      </c>
      <c r="J835" s="2">
        <v>146007.0</v>
      </c>
      <c r="K835" s="2">
        <v>2.8511386E7</v>
      </c>
      <c r="L835" s="2">
        <v>2.7818895E7</v>
      </c>
      <c r="N835" s="2">
        <v>692491.0</v>
      </c>
      <c r="P835" s="3"/>
      <c r="Q835" s="3"/>
      <c r="R835" s="3"/>
      <c r="S835" s="3"/>
      <c r="T835" s="3"/>
      <c r="U835" s="3"/>
      <c r="V835" s="3"/>
      <c r="W835" s="3"/>
      <c r="X835" s="3"/>
      <c r="Y835" s="3"/>
      <c r="Z835" s="3"/>
      <c r="AA835" s="3"/>
      <c r="AB835" s="3"/>
      <c r="AC835" s="3"/>
      <c r="AD835" s="3"/>
      <c r="AE835" s="3"/>
      <c r="AF835" s="3"/>
      <c r="AG835" s="3"/>
    </row>
    <row r="836">
      <c r="A836" s="2">
        <v>2018.0</v>
      </c>
      <c r="B836" s="2" t="s">
        <v>902</v>
      </c>
      <c r="D836" s="2" t="s">
        <v>505</v>
      </c>
      <c r="E836" s="1" t="s">
        <v>420</v>
      </c>
      <c r="F836" s="2">
        <v>2469180.0</v>
      </c>
      <c r="I836" s="2">
        <v>9843000.0</v>
      </c>
      <c r="J836" s="2">
        <v>57445.0</v>
      </c>
      <c r="K836" s="2">
        <v>1.2369625E7</v>
      </c>
      <c r="L836" s="2">
        <v>1.2134812E7</v>
      </c>
      <c r="N836" s="2">
        <v>234813.0</v>
      </c>
      <c r="P836" s="3"/>
      <c r="Q836" s="3"/>
      <c r="R836" s="3"/>
      <c r="S836" s="3"/>
      <c r="T836" s="3"/>
      <c r="U836" s="3"/>
      <c r="V836" s="3"/>
      <c r="W836" s="3"/>
      <c r="X836" s="3"/>
      <c r="Y836" s="3"/>
      <c r="Z836" s="3"/>
      <c r="AA836" s="3"/>
      <c r="AB836" s="3"/>
      <c r="AC836" s="3"/>
      <c r="AD836" s="3"/>
      <c r="AE836" s="3"/>
      <c r="AF836" s="3"/>
      <c r="AG836" s="3"/>
    </row>
    <row r="837">
      <c r="A837" s="2">
        <v>2018.0</v>
      </c>
      <c r="B837" s="2" t="s">
        <v>902</v>
      </c>
      <c r="D837" s="2" t="s">
        <v>508</v>
      </c>
      <c r="E837" s="1" t="s">
        <v>420</v>
      </c>
      <c r="F837" s="2">
        <v>5930898.0</v>
      </c>
      <c r="I837" s="2">
        <v>2.56E7</v>
      </c>
      <c r="J837" s="2">
        <v>156507.0</v>
      </c>
      <c r="K837" s="2">
        <v>3.1687405E7</v>
      </c>
      <c r="L837" s="2">
        <v>3.1082577E7</v>
      </c>
      <c r="N837" s="2">
        <v>604828.0</v>
      </c>
      <c r="P837" s="3"/>
      <c r="Q837" s="3"/>
      <c r="R837" s="3"/>
      <c r="S837" s="3"/>
      <c r="T837" s="3"/>
      <c r="U837" s="3"/>
      <c r="V837" s="3"/>
      <c r="W837" s="3"/>
      <c r="X837" s="3"/>
      <c r="Y837" s="3"/>
      <c r="Z837" s="3"/>
      <c r="AA837" s="3"/>
      <c r="AB837" s="3"/>
      <c r="AC837" s="3"/>
      <c r="AD837" s="3"/>
      <c r="AE837" s="3"/>
      <c r="AF837" s="3"/>
      <c r="AG837" s="3"/>
    </row>
    <row r="838">
      <c r="A838" s="2">
        <v>2018.0</v>
      </c>
      <c r="B838" s="2" t="s">
        <v>902</v>
      </c>
      <c r="D838" s="2" t="s">
        <v>510</v>
      </c>
      <c r="E838" s="1" t="s">
        <v>420</v>
      </c>
      <c r="F838" s="2">
        <v>1058677.0</v>
      </c>
      <c r="I838" s="2">
        <v>1.2456E7</v>
      </c>
      <c r="J838" s="2">
        <v>38651.0</v>
      </c>
      <c r="K838" s="2">
        <v>1.3553328E7</v>
      </c>
      <c r="L838" s="2">
        <v>1.2985298E7</v>
      </c>
      <c r="N838" s="2">
        <v>568030.0</v>
      </c>
      <c r="P838" s="3"/>
      <c r="Q838" s="3"/>
      <c r="R838" s="3"/>
      <c r="S838" s="3"/>
      <c r="T838" s="3"/>
      <c r="U838" s="3"/>
      <c r="V838" s="3"/>
      <c r="W838" s="3"/>
      <c r="X838" s="3"/>
      <c r="Y838" s="3"/>
      <c r="Z838" s="3"/>
      <c r="AA838" s="3"/>
      <c r="AB838" s="3"/>
      <c r="AC838" s="3"/>
      <c r="AD838" s="3"/>
      <c r="AE838" s="3"/>
      <c r="AF838" s="3"/>
      <c r="AG838" s="3"/>
    </row>
    <row r="839">
      <c r="A839" s="2">
        <v>2018.0</v>
      </c>
      <c r="B839" s="2" t="s">
        <v>902</v>
      </c>
      <c r="D839" s="2" t="s">
        <v>518</v>
      </c>
      <c r="E839" s="1" t="s">
        <v>420</v>
      </c>
      <c r="F839" s="2">
        <v>5467254.0</v>
      </c>
      <c r="I839" s="2">
        <v>2.4278E7</v>
      </c>
      <c r="J839" s="2">
        <v>134121.0</v>
      </c>
      <c r="K839" s="2">
        <v>2.9879375E7</v>
      </c>
      <c r="L839" s="2">
        <v>2.9004061E7</v>
      </c>
      <c r="N839" s="2">
        <v>875314.0</v>
      </c>
      <c r="P839" s="3"/>
      <c r="Q839" s="3"/>
      <c r="R839" s="3"/>
      <c r="S839" s="3"/>
      <c r="T839" s="3"/>
      <c r="U839" s="3"/>
      <c r="V839" s="3"/>
      <c r="W839" s="3"/>
      <c r="X839" s="3"/>
      <c r="Y839" s="3"/>
      <c r="Z839" s="3"/>
      <c r="AA839" s="3"/>
      <c r="AB839" s="3"/>
      <c r="AC839" s="3"/>
      <c r="AD839" s="3"/>
      <c r="AE839" s="3"/>
      <c r="AF839" s="3"/>
      <c r="AG839" s="3"/>
    </row>
    <row r="840">
      <c r="A840" s="2">
        <v>2018.0</v>
      </c>
      <c r="B840" s="2" t="s">
        <v>902</v>
      </c>
      <c r="D840" s="2" t="s">
        <v>1018</v>
      </c>
      <c r="E840" s="1" t="s">
        <v>420</v>
      </c>
      <c r="F840" s="2">
        <v>6977822.0</v>
      </c>
      <c r="I840" s="2">
        <v>935000.0</v>
      </c>
      <c r="J840" s="2">
        <v>63330.0</v>
      </c>
      <c r="K840" s="2">
        <v>7976152.0</v>
      </c>
      <c r="L840" s="2">
        <v>2326872.0</v>
      </c>
      <c r="M840" s="2">
        <v>5200000.0</v>
      </c>
      <c r="N840" s="2">
        <v>449280.0</v>
      </c>
      <c r="P840" s="3"/>
      <c r="Q840" s="3"/>
      <c r="R840" s="3"/>
      <c r="S840" s="3"/>
      <c r="T840" s="3"/>
      <c r="U840" s="3"/>
      <c r="V840" s="3"/>
      <c r="W840" s="3"/>
      <c r="X840" s="3"/>
      <c r="Y840" s="3"/>
      <c r="Z840" s="3"/>
      <c r="AA840" s="3"/>
      <c r="AB840" s="3"/>
      <c r="AC840" s="3"/>
      <c r="AD840" s="3"/>
      <c r="AE840" s="3"/>
      <c r="AF840" s="3"/>
      <c r="AG840" s="3"/>
    </row>
    <row r="841">
      <c r="A841" s="2">
        <v>2018.0</v>
      </c>
      <c r="B841" s="2" t="s">
        <v>902</v>
      </c>
      <c r="D841" s="2" t="s">
        <v>1019</v>
      </c>
      <c r="E841" s="1" t="s">
        <v>420</v>
      </c>
      <c r="F841" s="2">
        <v>2830390.0</v>
      </c>
      <c r="I841" s="2">
        <v>4621000.0</v>
      </c>
      <c r="J841" s="2">
        <v>37050.0</v>
      </c>
      <c r="K841" s="2">
        <v>7488440.0</v>
      </c>
      <c r="L841" s="2">
        <v>6902256.0</v>
      </c>
      <c r="N841" s="2">
        <v>586184.0</v>
      </c>
      <c r="P841" s="3"/>
      <c r="Q841" s="3"/>
      <c r="R841" s="3"/>
      <c r="S841" s="3"/>
      <c r="T841" s="3"/>
      <c r="U841" s="3"/>
      <c r="V841" s="3"/>
      <c r="W841" s="3"/>
      <c r="X841" s="3"/>
      <c r="Y841" s="3"/>
      <c r="Z841" s="3"/>
      <c r="AA841" s="3"/>
      <c r="AB841" s="3"/>
      <c r="AC841" s="3"/>
      <c r="AD841" s="3"/>
      <c r="AE841" s="3"/>
      <c r="AF841" s="3"/>
      <c r="AG841" s="3"/>
    </row>
    <row r="842">
      <c r="A842" s="2">
        <v>2018.0</v>
      </c>
      <c r="B842" s="2" t="s">
        <v>902</v>
      </c>
      <c r="D842" s="2" t="s">
        <v>1020</v>
      </c>
      <c r="E842" s="1" t="s">
        <v>420</v>
      </c>
      <c r="F842" s="2">
        <v>5581374.0</v>
      </c>
      <c r="I842" s="2">
        <v>560000.0</v>
      </c>
      <c r="J842" s="2">
        <v>51828.0</v>
      </c>
      <c r="K842" s="2">
        <v>6193202.0</v>
      </c>
      <c r="L842" s="2">
        <v>5997049.0</v>
      </c>
      <c r="N842" s="2">
        <v>196153.0</v>
      </c>
      <c r="P842" s="3"/>
      <c r="Q842" s="3"/>
      <c r="R842" s="3"/>
      <c r="S842" s="3"/>
      <c r="T842" s="3"/>
      <c r="U842" s="3"/>
      <c r="V842" s="3"/>
      <c r="W842" s="3"/>
      <c r="X842" s="3"/>
      <c r="Y842" s="3"/>
      <c r="Z842" s="3"/>
      <c r="AA842" s="3"/>
      <c r="AB842" s="3"/>
      <c r="AC842" s="3"/>
      <c r="AD842" s="3"/>
      <c r="AE842" s="3"/>
      <c r="AF842" s="3"/>
      <c r="AG842" s="3"/>
    </row>
    <row r="843">
      <c r="A843" s="2">
        <v>2018.0</v>
      </c>
      <c r="B843" s="2" t="s">
        <v>902</v>
      </c>
      <c r="D843" s="2" t="s">
        <v>1021</v>
      </c>
      <c r="E843" s="1" t="s">
        <v>420</v>
      </c>
      <c r="F843" s="2">
        <v>5803010.0</v>
      </c>
      <c r="I843" s="2">
        <v>1.2305E7</v>
      </c>
      <c r="J843" s="2">
        <v>63658.0</v>
      </c>
      <c r="K843" s="2">
        <v>1.8171668E7</v>
      </c>
      <c r="L843" s="2">
        <v>1.5725608E7</v>
      </c>
      <c r="N843" s="2">
        <v>2446060.0</v>
      </c>
      <c r="P843" s="3"/>
      <c r="Q843" s="3"/>
      <c r="R843" s="3"/>
      <c r="S843" s="3"/>
      <c r="T843" s="3"/>
      <c r="U843" s="3"/>
      <c r="V843" s="3"/>
      <c r="W843" s="3"/>
      <c r="X843" s="3"/>
      <c r="Y843" s="3"/>
      <c r="Z843" s="3"/>
      <c r="AA843" s="3"/>
      <c r="AB843" s="3"/>
      <c r="AC843" s="3"/>
      <c r="AD843" s="3"/>
      <c r="AE843" s="3"/>
      <c r="AF843" s="3"/>
      <c r="AG843" s="3"/>
    </row>
    <row r="844">
      <c r="A844" s="2">
        <v>2018.0</v>
      </c>
      <c r="B844" s="2" t="s">
        <v>902</v>
      </c>
      <c r="D844" s="2" t="s">
        <v>1022</v>
      </c>
      <c r="E844" s="1" t="s">
        <v>420</v>
      </c>
      <c r="F844" s="2">
        <v>5274689.0</v>
      </c>
      <c r="I844" s="2">
        <v>1.2063216E7</v>
      </c>
      <c r="J844" s="2">
        <v>68616.0</v>
      </c>
      <c r="K844" s="2">
        <v>1.7406521E7</v>
      </c>
      <c r="L844" s="2">
        <v>1.5466611E7</v>
      </c>
      <c r="N844" s="2">
        <v>1939910.0</v>
      </c>
      <c r="P844" s="3"/>
      <c r="Q844" s="3"/>
      <c r="R844" s="3"/>
      <c r="S844" s="3"/>
      <c r="T844" s="3"/>
      <c r="U844" s="3"/>
      <c r="V844" s="3"/>
      <c r="W844" s="3"/>
      <c r="X844" s="3"/>
      <c r="Y844" s="3"/>
      <c r="Z844" s="3"/>
      <c r="AA844" s="3"/>
      <c r="AB844" s="3"/>
      <c r="AC844" s="3"/>
      <c r="AD844" s="3"/>
      <c r="AE844" s="3"/>
      <c r="AF844" s="3"/>
      <c r="AG844" s="3"/>
    </row>
    <row r="845">
      <c r="A845" s="2">
        <v>2018.0</v>
      </c>
      <c r="B845" s="2" t="s">
        <v>902</v>
      </c>
      <c r="D845" s="2" t="s">
        <v>1024</v>
      </c>
      <c r="E845" s="1" t="s">
        <v>420</v>
      </c>
      <c r="F845" s="2">
        <v>4790625.0</v>
      </c>
      <c r="I845" s="2">
        <v>0.0</v>
      </c>
      <c r="J845" s="2">
        <v>123964.0</v>
      </c>
      <c r="K845" s="2">
        <v>4914589.0</v>
      </c>
      <c r="L845" s="2">
        <v>3505879.0</v>
      </c>
      <c r="N845" s="2">
        <v>1408710.0</v>
      </c>
      <c r="P845" s="3"/>
      <c r="Q845" s="3"/>
      <c r="R845" s="3"/>
      <c r="S845" s="3"/>
      <c r="T845" s="3"/>
      <c r="U845" s="3"/>
      <c r="V845" s="3"/>
      <c r="W845" s="3"/>
      <c r="X845" s="3"/>
      <c r="Y845" s="3"/>
      <c r="Z845" s="3"/>
      <c r="AA845" s="3"/>
      <c r="AB845" s="3"/>
      <c r="AC845" s="3"/>
      <c r="AD845" s="3"/>
      <c r="AE845" s="3"/>
      <c r="AF845" s="3"/>
      <c r="AG845" s="3"/>
    </row>
    <row r="846">
      <c r="A846" s="2">
        <v>2018.0</v>
      </c>
      <c r="B846" s="2" t="s">
        <v>902</v>
      </c>
      <c r="D846" s="2" t="s">
        <v>1025</v>
      </c>
      <c r="E846" s="1" t="s">
        <v>420</v>
      </c>
      <c r="F846" s="2">
        <v>3076906.0</v>
      </c>
      <c r="I846" s="2">
        <v>1.7279E7</v>
      </c>
      <c r="J846" s="2">
        <v>63888.0</v>
      </c>
      <c r="K846" s="2">
        <v>2.0419794E7</v>
      </c>
      <c r="L846" s="2">
        <v>1.8283376E7</v>
      </c>
      <c r="N846" s="2">
        <v>2136418.0</v>
      </c>
      <c r="P846" s="3"/>
      <c r="Q846" s="3"/>
      <c r="R846" s="3"/>
      <c r="S846" s="3"/>
      <c r="T846" s="3"/>
      <c r="U846" s="3"/>
      <c r="V846" s="3"/>
      <c r="W846" s="3"/>
      <c r="X846" s="3"/>
      <c r="Y846" s="3"/>
      <c r="Z846" s="3"/>
      <c r="AA846" s="3"/>
      <c r="AB846" s="3"/>
      <c r="AC846" s="3"/>
      <c r="AD846" s="3"/>
      <c r="AE846" s="3"/>
      <c r="AF846" s="3"/>
      <c r="AG846" s="3"/>
    </row>
    <row r="847">
      <c r="A847" s="2">
        <v>2018.0</v>
      </c>
      <c r="B847" s="2" t="s">
        <v>902</v>
      </c>
      <c r="D847" s="2" t="s">
        <v>1026</v>
      </c>
      <c r="E847" s="1" t="s">
        <v>420</v>
      </c>
      <c r="F847" s="2">
        <v>2787514.0</v>
      </c>
      <c r="I847" s="2">
        <v>2801466.0</v>
      </c>
      <c r="J847" s="2">
        <v>46181.0</v>
      </c>
      <c r="K847" s="2">
        <v>5635161.0</v>
      </c>
      <c r="L847" s="2">
        <v>5233368.0</v>
      </c>
      <c r="N847" s="2">
        <v>401793.0</v>
      </c>
      <c r="P847" s="3"/>
      <c r="Q847" s="3"/>
      <c r="R847" s="3"/>
      <c r="S847" s="3"/>
      <c r="T847" s="3"/>
      <c r="U847" s="3"/>
      <c r="V847" s="3"/>
      <c r="W847" s="3"/>
      <c r="X847" s="3"/>
      <c r="Y847" s="3"/>
      <c r="Z847" s="3"/>
      <c r="AA847" s="3"/>
      <c r="AB847" s="3"/>
      <c r="AC847" s="3"/>
      <c r="AD847" s="3"/>
      <c r="AE847" s="3"/>
      <c r="AF847" s="3"/>
      <c r="AG847" s="3"/>
    </row>
    <row r="848">
      <c r="A848" s="2">
        <v>2018.0</v>
      </c>
      <c r="B848" s="2" t="s">
        <v>902</v>
      </c>
      <c r="D848" s="2" t="s">
        <v>1028</v>
      </c>
      <c r="E848" s="1" t="s">
        <v>420</v>
      </c>
      <c r="F848" s="2">
        <v>2612411.0</v>
      </c>
      <c r="I848" s="2">
        <v>1.2968E7</v>
      </c>
      <c r="J848" s="2">
        <v>31680.0</v>
      </c>
      <c r="K848" s="2">
        <v>1.5612091E7</v>
      </c>
      <c r="L848" s="2">
        <v>1.4427856E7</v>
      </c>
      <c r="N848" s="2">
        <v>1184235.0</v>
      </c>
      <c r="P848" s="3"/>
      <c r="Q848" s="3"/>
      <c r="R848" s="3"/>
      <c r="S848" s="3"/>
      <c r="T848" s="3"/>
      <c r="U848" s="3"/>
      <c r="V848" s="3"/>
      <c r="W848" s="3"/>
      <c r="X848" s="3"/>
      <c r="Y848" s="3"/>
      <c r="Z848" s="3"/>
      <c r="AA848" s="3"/>
      <c r="AB848" s="3"/>
      <c r="AC848" s="3"/>
      <c r="AD848" s="3"/>
      <c r="AE848" s="3"/>
      <c r="AF848" s="3"/>
      <c r="AG848" s="3"/>
    </row>
    <row r="849">
      <c r="A849" s="2">
        <v>2018.0</v>
      </c>
      <c r="B849" s="2" t="s">
        <v>902</v>
      </c>
      <c r="D849" s="2" t="s">
        <v>681</v>
      </c>
      <c r="E849" s="1" t="s">
        <v>420</v>
      </c>
      <c r="F849" s="2">
        <v>2160671.0</v>
      </c>
      <c r="I849" s="2">
        <v>1.1979E7</v>
      </c>
      <c r="J849" s="2">
        <v>48098.0</v>
      </c>
      <c r="K849" s="2">
        <v>1.4187769E7</v>
      </c>
      <c r="L849" s="2">
        <v>1.203108E7</v>
      </c>
      <c r="N849" s="2">
        <v>2156689.0</v>
      </c>
      <c r="P849" s="3"/>
      <c r="Q849" s="3"/>
      <c r="R849" s="3"/>
      <c r="S849" s="3"/>
      <c r="T849" s="3"/>
      <c r="U849" s="3"/>
      <c r="V849" s="3"/>
      <c r="W849" s="3"/>
      <c r="X849" s="3"/>
      <c r="Y849" s="3"/>
      <c r="Z849" s="3"/>
      <c r="AA849" s="3"/>
      <c r="AB849" s="3"/>
      <c r="AC849" s="3"/>
      <c r="AD849" s="3"/>
      <c r="AE849" s="3"/>
      <c r="AF849" s="3"/>
      <c r="AG849" s="3"/>
    </row>
    <row r="850">
      <c r="A850" s="2">
        <v>2018.0</v>
      </c>
      <c r="B850" s="2" t="s">
        <v>902</v>
      </c>
      <c r="D850" s="2" t="s">
        <v>684</v>
      </c>
      <c r="E850" s="1" t="s">
        <v>420</v>
      </c>
      <c r="F850" s="2">
        <v>3944212.0</v>
      </c>
      <c r="I850" s="2">
        <v>2.3694996E7</v>
      </c>
      <c r="J850" s="2">
        <v>91012.0</v>
      </c>
      <c r="K850" s="2">
        <v>2.773022E7</v>
      </c>
      <c r="L850" s="2">
        <v>2.4124101E7</v>
      </c>
      <c r="N850" s="2">
        <v>3606119.0</v>
      </c>
      <c r="P850" s="3"/>
      <c r="Q850" s="3"/>
      <c r="R850" s="3"/>
      <c r="S850" s="3"/>
      <c r="T850" s="3"/>
      <c r="U850" s="3"/>
      <c r="V850" s="3"/>
      <c r="W850" s="3"/>
      <c r="X850" s="3"/>
      <c r="Y850" s="3"/>
      <c r="Z850" s="3"/>
      <c r="AA850" s="3"/>
      <c r="AB850" s="3"/>
      <c r="AC850" s="3"/>
      <c r="AD850" s="3"/>
      <c r="AE850" s="3"/>
      <c r="AF850" s="3"/>
      <c r="AG850" s="3"/>
    </row>
    <row r="851">
      <c r="A851" s="2">
        <v>2018.0</v>
      </c>
      <c r="B851" s="2" t="s">
        <v>902</v>
      </c>
      <c r="D851" s="2" t="s">
        <v>688</v>
      </c>
      <c r="E851" s="1" t="s">
        <v>420</v>
      </c>
      <c r="F851" s="2">
        <v>2205456.0</v>
      </c>
      <c r="I851" s="2">
        <v>1.4022E7</v>
      </c>
      <c r="J851" s="2">
        <v>60847.0</v>
      </c>
      <c r="K851" s="2">
        <v>1.6288303E7</v>
      </c>
      <c r="L851" s="2">
        <v>1.3541254E7</v>
      </c>
      <c r="N851" s="2">
        <v>2747049.0</v>
      </c>
      <c r="P851" s="3"/>
      <c r="Q851" s="3"/>
      <c r="R851" s="3"/>
      <c r="S851" s="3"/>
      <c r="T851" s="3"/>
      <c r="U851" s="3"/>
      <c r="V851" s="3"/>
      <c r="W851" s="3"/>
      <c r="X851" s="3"/>
      <c r="Y851" s="3"/>
      <c r="Z851" s="3"/>
      <c r="AA851" s="3"/>
      <c r="AB851" s="3"/>
      <c r="AC851" s="3"/>
      <c r="AD851" s="3"/>
      <c r="AE851" s="3"/>
      <c r="AF851" s="3"/>
      <c r="AG851" s="3"/>
    </row>
    <row r="852">
      <c r="A852" s="2">
        <v>2018.0</v>
      </c>
      <c r="B852" s="2" t="s">
        <v>902</v>
      </c>
      <c r="D852" s="2" t="s">
        <v>1071</v>
      </c>
      <c r="E852" s="1" t="s">
        <v>420</v>
      </c>
      <c r="F852" s="2">
        <v>1629949.0</v>
      </c>
      <c r="I852" s="2">
        <v>8637000.0</v>
      </c>
      <c r="J852" s="2">
        <v>59008.0</v>
      </c>
      <c r="K852" s="2">
        <v>1.0325957E7</v>
      </c>
      <c r="L852" s="2">
        <v>9189462.0</v>
      </c>
      <c r="N852" s="2">
        <v>1136495.0</v>
      </c>
      <c r="P852" s="3"/>
      <c r="Q852" s="3"/>
      <c r="R852" s="3"/>
      <c r="S852" s="3"/>
      <c r="T852" s="3"/>
      <c r="U852" s="3"/>
      <c r="V852" s="3"/>
      <c r="W852" s="3"/>
      <c r="X852" s="3"/>
      <c r="Y852" s="3"/>
      <c r="Z852" s="3"/>
      <c r="AA852" s="3"/>
      <c r="AB852" s="3"/>
      <c r="AC852" s="3"/>
      <c r="AD852" s="3"/>
      <c r="AE852" s="3"/>
      <c r="AF852" s="3"/>
      <c r="AG852" s="3"/>
    </row>
    <row r="853">
      <c r="A853" s="2">
        <v>2018.0</v>
      </c>
      <c r="B853" s="2" t="s">
        <v>902</v>
      </c>
      <c r="D853" s="2" t="s">
        <v>1072</v>
      </c>
      <c r="E853" s="1" t="s">
        <v>420</v>
      </c>
      <c r="F853" s="2">
        <v>1994544.0</v>
      </c>
      <c r="I853" s="2">
        <v>1.3807E7</v>
      </c>
      <c r="J853" s="2">
        <v>106580.0</v>
      </c>
      <c r="K853" s="2">
        <v>1.5908124E7</v>
      </c>
      <c r="L853" s="2">
        <v>1.4524421E7</v>
      </c>
      <c r="N853" s="2">
        <v>1383703.0</v>
      </c>
      <c r="P853" s="3"/>
      <c r="Q853" s="3"/>
      <c r="R853" s="3"/>
      <c r="S853" s="3"/>
      <c r="T853" s="3"/>
      <c r="U853" s="3"/>
      <c r="V853" s="3"/>
      <c r="W853" s="3"/>
      <c r="X853" s="3"/>
      <c r="Y853" s="3"/>
      <c r="Z853" s="3"/>
      <c r="AA853" s="3"/>
      <c r="AB853" s="3"/>
      <c r="AC853" s="3"/>
      <c r="AD853" s="3"/>
      <c r="AE853" s="3"/>
      <c r="AF853" s="3"/>
      <c r="AG853" s="3"/>
    </row>
    <row r="854">
      <c r="A854" s="2">
        <v>2018.0</v>
      </c>
      <c r="B854" s="2" t="s">
        <v>902</v>
      </c>
      <c r="D854" s="2" t="s">
        <v>1073</v>
      </c>
      <c r="E854" s="1" t="s">
        <v>420</v>
      </c>
      <c r="F854" s="2">
        <v>734664.0</v>
      </c>
      <c r="I854" s="2">
        <v>6364000.0</v>
      </c>
      <c r="J854" s="2">
        <v>39472.0</v>
      </c>
      <c r="K854" s="2">
        <v>7138136.0</v>
      </c>
      <c r="L854" s="2">
        <v>6355049.0</v>
      </c>
      <c r="N854" s="2">
        <v>783087.0</v>
      </c>
      <c r="P854" s="3"/>
      <c r="Q854" s="3"/>
      <c r="R854" s="3"/>
      <c r="S854" s="3"/>
      <c r="T854" s="3"/>
      <c r="U854" s="3"/>
      <c r="V854" s="3"/>
      <c r="W854" s="3"/>
      <c r="X854" s="3"/>
      <c r="Y854" s="3"/>
      <c r="Z854" s="3"/>
      <c r="AA854" s="3"/>
      <c r="AB854" s="3"/>
      <c r="AC854" s="3"/>
      <c r="AD854" s="3"/>
      <c r="AE854" s="3"/>
      <c r="AF854" s="3"/>
      <c r="AG854" s="3"/>
    </row>
    <row r="855">
      <c r="A855" s="2">
        <v>2018.0</v>
      </c>
      <c r="B855" s="2" t="s">
        <v>902</v>
      </c>
      <c r="D855" s="2" t="s">
        <v>1074</v>
      </c>
      <c r="E855" s="1" t="s">
        <v>420</v>
      </c>
      <c r="F855" s="2">
        <v>928171.0</v>
      </c>
      <c r="I855" s="2">
        <v>1.2531E7</v>
      </c>
      <c r="J855" s="2">
        <v>66206.0</v>
      </c>
      <c r="K855" s="2">
        <v>1.3525377E7</v>
      </c>
      <c r="L855" s="2">
        <v>1.219939E7</v>
      </c>
      <c r="N855" s="2">
        <v>1325987.0</v>
      </c>
      <c r="P855" s="3"/>
      <c r="Q855" s="3"/>
      <c r="R855" s="3"/>
      <c r="S855" s="3"/>
      <c r="T855" s="3"/>
      <c r="U855" s="3"/>
      <c r="V855" s="3"/>
      <c r="W855" s="3"/>
      <c r="X855" s="3"/>
      <c r="Y855" s="3"/>
      <c r="Z855" s="3"/>
      <c r="AA855" s="3"/>
      <c r="AB855" s="3"/>
      <c r="AC855" s="3"/>
      <c r="AD855" s="3"/>
      <c r="AE855" s="3"/>
      <c r="AF855" s="3"/>
      <c r="AG855" s="3"/>
    </row>
    <row r="856">
      <c r="A856" s="2">
        <v>2018.0</v>
      </c>
      <c r="B856" s="2" t="s">
        <v>902</v>
      </c>
      <c r="D856" s="2" t="s">
        <v>1075</v>
      </c>
      <c r="E856" s="1" t="s">
        <v>420</v>
      </c>
      <c r="F856" s="2">
        <v>2603060.0</v>
      </c>
      <c r="I856" s="2">
        <v>2.30592E7</v>
      </c>
      <c r="J856" s="2">
        <v>111814.0</v>
      </c>
      <c r="K856" s="2">
        <v>2.5774074E7</v>
      </c>
      <c r="L856" s="2">
        <v>2.273844E7</v>
      </c>
      <c r="N856" s="2">
        <v>3035634.0</v>
      </c>
      <c r="P856" s="3"/>
      <c r="Q856" s="3"/>
      <c r="R856" s="3"/>
      <c r="S856" s="3"/>
      <c r="T856" s="3"/>
      <c r="U856" s="3"/>
      <c r="V856" s="3"/>
      <c r="W856" s="3"/>
      <c r="X856" s="3"/>
      <c r="Y856" s="3"/>
      <c r="Z856" s="3"/>
      <c r="AA856" s="3"/>
      <c r="AB856" s="3"/>
      <c r="AC856" s="3"/>
      <c r="AD856" s="3"/>
      <c r="AE856" s="3"/>
      <c r="AF856" s="3"/>
      <c r="AG856" s="3"/>
    </row>
    <row r="857">
      <c r="A857" s="2">
        <v>2018.0</v>
      </c>
      <c r="B857" s="2" t="s">
        <v>902</v>
      </c>
      <c r="D857" s="2" t="s">
        <v>1076</v>
      </c>
      <c r="E857" s="1" t="s">
        <v>420</v>
      </c>
      <c r="F857" s="2">
        <v>1154102.0</v>
      </c>
      <c r="I857" s="2">
        <v>1.0055E7</v>
      </c>
      <c r="J857" s="2">
        <v>59708.0</v>
      </c>
      <c r="K857" s="2">
        <v>1.126881E7</v>
      </c>
      <c r="L857" s="2">
        <v>9996909.0</v>
      </c>
      <c r="N857" s="2">
        <v>1271901.0</v>
      </c>
      <c r="P857" s="3"/>
      <c r="Q857" s="3"/>
      <c r="R857" s="3"/>
      <c r="S857" s="3"/>
      <c r="T857" s="3"/>
      <c r="U857" s="3"/>
      <c r="V857" s="3"/>
      <c r="W857" s="3"/>
      <c r="X857" s="3"/>
      <c r="Y857" s="3"/>
      <c r="Z857" s="3"/>
      <c r="AA857" s="3"/>
      <c r="AB857" s="3"/>
      <c r="AC857" s="3"/>
      <c r="AD857" s="3"/>
      <c r="AE857" s="3"/>
      <c r="AF857" s="3"/>
      <c r="AG857" s="3"/>
    </row>
    <row r="858">
      <c r="A858" s="2">
        <v>2018.0</v>
      </c>
      <c r="B858" s="2" t="s">
        <v>902</v>
      </c>
      <c r="D858" s="2" t="s">
        <v>1077</v>
      </c>
      <c r="E858" s="1" t="s">
        <v>420</v>
      </c>
      <c r="F858" s="2">
        <v>2922957.0</v>
      </c>
      <c r="I858" s="2">
        <v>1.9927E7</v>
      </c>
      <c r="J858" s="2">
        <v>126045.0</v>
      </c>
      <c r="K858" s="2">
        <v>2.2976002E7</v>
      </c>
      <c r="L858" s="2">
        <v>2.0539001E7</v>
      </c>
      <c r="N858" s="2">
        <v>2437001.0</v>
      </c>
      <c r="P858" s="3"/>
      <c r="Q858" s="3"/>
      <c r="R858" s="3"/>
      <c r="S858" s="3"/>
      <c r="T858" s="3"/>
      <c r="U858" s="3"/>
      <c r="V858" s="3"/>
      <c r="W858" s="3"/>
      <c r="X858" s="3"/>
      <c r="Y858" s="3"/>
      <c r="Z858" s="3"/>
      <c r="AA858" s="3"/>
      <c r="AB858" s="3"/>
      <c r="AC858" s="3"/>
      <c r="AD858" s="3"/>
      <c r="AE858" s="3"/>
      <c r="AF858" s="3"/>
      <c r="AG858" s="3"/>
    </row>
    <row r="859">
      <c r="A859" s="2">
        <v>2018.0</v>
      </c>
      <c r="B859" s="2" t="s">
        <v>902</v>
      </c>
      <c r="D859" s="2" t="s">
        <v>484</v>
      </c>
      <c r="E859" s="1" t="s">
        <v>420</v>
      </c>
      <c r="F859" s="2">
        <v>842407.0</v>
      </c>
      <c r="I859" s="2">
        <v>7452000.0</v>
      </c>
      <c r="J859" s="2">
        <v>26624.0</v>
      </c>
      <c r="K859" s="2">
        <v>8321031.0</v>
      </c>
      <c r="L859" s="2">
        <v>8097606.0</v>
      </c>
      <c r="N859" s="2">
        <v>223425.0</v>
      </c>
      <c r="P859" s="3"/>
      <c r="Q859" s="3"/>
      <c r="R859" s="3"/>
      <c r="S859" s="3"/>
      <c r="T859" s="3"/>
      <c r="U859" s="3"/>
      <c r="V859" s="3"/>
      <c r="W859" s="3"/>
      <c r="X859" s="3"/>
      <c r="Y859" s="3"/>
      <c r="Z859" s="3"/>
      <c r="AA859" s="3"/>
      <c r="AB859" s="3"/>
      <c r="AC859" s="3"/>
      <c r="AD859" s="3"/>
      <c r="AE859" s="3"/>
      <c r="AF859" s="3"/>
      <c r="AG859" s="3"/>
    </row>
    <row r="860">
      <c r="A860" s="2">
        <v>2018.0</v>
      </c>
      <c r="B860" s="2" t="s">
        <v>902</v>
      </c>
      <c r="D860" s="2" t="s">
        <v>884</v>
      </c>
      <c r="E860" s="1" t="s">
        <v>420</v>
      </c>
      <c r="F860" s="2">
        <v>1225089.0</v>
      </c>
      <c r="I860" s="2">
        <v>4569000.0</v>
      </c>
      <c r="J860" s="2">
        <v>26750.0</v>
      </c>
      <c r="K860" s="2">
        <v>5820839.0</v>
      </c>
      <c r="L860" s="2">
        <v>5574606.0</v>
      </c>
      <c r="N860" s="2">
        <v>246233.0</v>
      </c>
      <c r="P860" s="3"/>
      <c r="Q860" s="3"/>
      <c r="R860" s="3"/>
      <c r="S860" s="3"/>
      <c r="T860" s="3"/>
      <c r="U860" s="3"/>
      <c r="V860" s="3"/>
      <c r="W860" s="3"/>
      <c r="X860" s="3"/>
      <c r="Y860" s="3"/>
      <c r="Z860" s="3"/>
      <c r="AA860" s="3"/>
      <c r="AB860" s="3"/>
      <c r="AC860" s="3"/>
      <c r="AD860" s="3"/>
      <c r="AE860" s="3"/>
      <c r="AF860" s="3"/>
      <c r="AG860" s="3"/>
    </row>
    <row r="861">
      <c r="A861" s="2">
        <v>2018.0</v>
      </c>
      <c r="B861" s="2" t="s">
        <v>902</v>
      </c>
      <c r="D861" s="2" t="s">
        <v>487</v>
      </c>
      <c r="E861" s="1" t="s">
        <v>420</v>
      </c>
      <c r="F861" s="2">
        <v>1197067.0</v>
      </c>
      <c r="I861" s="2">
        <v>6710000.0</v>
      </c>
      <c r="J861" s="2">
        <v>27794.0</v>
      </c>
      <c r="K861" s="2">
        <v>7934861.0</v>
      </c>
      <c r="L861" s="2">
        <v>7793306.0</v>
      </c>
      <c r="N861" s="2">
        <v>141555.0</v>
      </c>
      <c r="P861" s="3"/>
      <c r="Q861" s="3"/>
      <c r="R861" s="3"/>
      <c r="S861" s="3"/>
      <c r="T861" s="3"/>
      <c r="U861" s="3"/>
      <c r="V861" s="3"/>
      <c r="W861" s="3"/>
      <c r="X861" s="3"/>
      <c r="Y861" s="3"/>
      <c r="Z861" s="3"/>
      <c r="AA861" s="3"/>
      <c r="AB861" s="3"/>
      <c r="AC861" s="3"/>
      <c r="AD861" s="3"/>
      <c r="AE861" s="3"/>
      <c r="AF861" s="3"/>
      <c r="AG861" s="3"/>
    </row>
    <row r="862">
      <c r="A862" s="2">
        <v>2018.0</v>
      </c>
      <c r="B862" s="2" t="s">
        <v>902</v>
      </c>
      <c r="D862" s="2" t="s">
        <v>671</v>
      </c>
      <c r="E862" s="1" t="s">
        <v>420</v>
      </c>
      <c r="F862" s="2">
        <v>7910604.0</v>
      </c>
      <c r="I862" s="2">
        <v>1.1692E7</v>
      </c>
      <c r="J862" s="2">
        <v>253203.0</v>
      </c>
      <c r="K862" s="2">
        <v>1.9855807E7</v>
      </c>
      <c r="L862" s="2">
        <v>1.8547864E7</v>
      </c>
      <c r="N862" s="2">
        <v>1307943.0</v>
      </c>
      <c r="P862" s="3"/>
      <c r="Q862" s="3"/>
      <c r="R862" s="3"/>
      <c r="S862" s="3"/>
      <c r="T862" s="3"/>
      <c r="U862" s="3"/>
      <c r="V862" s="3"/>
      <c r="W862" s="3"/>
      <c r="X862" s="3"/>
      <c r="Y862" s="3"/>
      <c r="Z862" s="3"/>
      <c r="AA862" s="3"/>
      <c r="AB862" s="3"/>
      <c r="AC862" s="3"/>
      <c r="AD862" s="3"/>
      <c r="AE862" s="3"/>
      <c r="AF862" s="3"/>
      <c r="AG862" s="3"/>
    </row>
    <row r="863">
      <c r="A863" s="2">
        <v>2018.0</v>
      </c>
      <c r="B863" s="2" t="s">
        <v>902</v>
      </c>
      <c r="D863" s="2" t="s">
        <v>1037</v>
      </c>
      <c r="E863" s="1" t="s">
        <v>420</v>
      </c>
      <c r="F863" s="2">
        <v>8558832.0</v>
      </c>
      <c r="I863" s="2">
        <v>1.6942E7</v>
      </c>
      <c r="J863" s="2">
        <v>148597.0</v>
      </c>
      <c r="K863" s="2">
        <v>2.5649429E7</v>
      </c>
      <c r="L863" s="2">
        <v>2.3749757E7</v>
      </c>
      <c r="N863" s="2">
        <v>1899672.0</v>
      </c>
      <c r="P863" s="3"/>
      <c r="Q863" s="3"/>
      <c r="R863" s="3"/>
      <c r="S863" s="3"/>
      <c r="T863" s="3"/>
      <c r="U863" s="3"/>
      <c r="V863" s="3"/>
      <c r="W863" s="3"/>
      <c r="X863" s="3"/>
      <c r="Y863" s="3"/>
      <c r="Z863" s="3"/>
      <c r="AA863" s="3"/>
      <c r="AB863" s="3"/>
      <c r="AC863" s="3"/>
      <c r="AD863" s="3"/>
      <c r="AE863" s="3"/>
      <c r="AF863" s="3"/>
      <c r="AG863" s="3"/>
    </row>
    <row r="864">
      <c r="A864" s="2">
        <v>2018.0</v>
      </c>
      <c r="B864" s="2" t="s">
        <v>902</v>
      </c>
      <c r="D864" s="2" t="s">
        <v>675</v>
      </c>
      <c r="E864" s="1" t="s">
        <v>420</v>
      </c>
      <c r="F864" s="2">
        <v>848344.0</v>
      </c>
      <c r="I864" s="2">
        <v>1.6186E7</v>
      </c>
      <c r="J864" s="2">
        <v>50299.0</v>
      </c>
      <c r="K864" s="2">
        <v>1.7084643E7</v>
      </c>
      <c r="L864" s="2">
        <v>1.6230993E7</v>
      </c>
      <c r="N864" s="2">
        <v>853650.0</v>
      </c>
      <c r="P864" s="3"/>
      <c r="Q864" s="3"/>
      <c r="R864" s="3"/>
      <c r="S864" s="3"/>
      <c r="T864" s="3"/>
      <c r="U864" s="3"/>
      <c r="V864" s="3"/>
      <c r="W864" s="3"/>
      <c r="X864" s="3"/>
      <c r="Y864" s="3"/>
      <c r="Z864" s="3"/>
      <c r="AA864" s="3"/>
      <c r="AB864" s="3"/>
      <c r="AC864" s="3"/>
      <c r="AD864" s="3"/>
      <c r="AE864" s="3"/>
      <c r="AF864" s="3"/>
      <c r="AG864" s="3"/>
    </row>
    <row r="865">
      <c r="A865" s="2">
        <v>2018.0</v>
      </c>
      <c r="B865" s="2" t="s">
        <v>902</v>
      </c>
      <c r="D865" s="2" t="s">
        <v>677</v>
      </c>
      <c r="E865" s="1" t="s">
        <v>420</v>
      </c>
      <c r="F865" s="2">
        <v>6577225.0</v>
      </c>
      <c r="I865" s="2">
        <v>9587000.0</v>
      </c>
      <c r="J865" s="2">
        <v>256027.0</v>
      </c>
      <c r="K865" s="2">
        <v>1.6420252E7</v>
      </c>
      <c r="L865" s="2">
        <v>1.4886494E7</v>
      </c>
      <c r="N865" s="2">
        <v>1533758.0</v>
      </c>
      <c r="P865" s="3"/>
      <c r="Q865" s="3"/>
      <c r="R865" s="3"/>
      <c r="S865" s="3"/>
      <c r="T865" s="3"/>
      <c r="U865" s="3"/>
      <c r="V865" s="3"/>
      <c r="W865" s="3"/>
      <c r="X865" s="3"/>
      <c r="Y865" s="3"/>
      <c r="Z865" s="3"/>
      <c r="AA865" s="3"/>
      <c r="AB865" s="3"/>
      <c r="AC865" s="3"/>
      <c r="AD865" s="3"/>
      <c r="AE865" s="3"/>
      <c r="AF865" s="3"/>
      <c r="AG865" s="3"/>
    </row>
    <row r="866">
      <c r="A866" s="2">
        <v>2018.0</v>
      </c>
      <c r="B866" s="2" t="s">
        <v>902</v>
      </c>
      <c r="D866" s="2" t="s">
        <v>680</v>
      </c>
      <c r="E866" s="1" t="s">
        <v>420</v>
      </c>
      <c r="F866" s="2">
        <v>4495930.0</v>
      </c>
      <c r="I866" s="2">
        <v>3000000.0</v>
      </c>
      <c r="J866" s="2">
        <v>150386.0</v>
      </c>
      <c r="K866" s="2">
        <v>7646316.0</v>
      </c>
      <c r="L866" s="2">
        <v>6785846.0</v>
      </c>
      <c r="N866" s="2">
        <v>860470.0</v>
      </c>
      <c r="P866" s="3"/>
      <c r="Q866" s="3"/>
      <c r="R866" s="3"/>
      <c r="S866" s="3"/>
      <c r="T866" s="3"/>
      <c r="U866" s="3"/>
      <c r="V866" s="3"/>
      <c r="W866" s="3"/>
      <c r="X866" s="3"/>
      <c r="Y866" s="3"/>
      <c r="Z866" s="3"/>
      <c r="AA866" s="3"/>
      <c r="AB866" s="3"/>
      <c r="AC866" s="3"/>
      <c r="AD866" s="3"/>
      <c r="AE866" s="3"/>
      <c r="AF866" s="3"/>
      <c r="AG866" s="3"/>
    </row>
    <row r="867">
      <c r="A867" s="2">
        <v>2018.0</v>
      </c>
      <c r="B867" s="2" t="s">
        <v>902</v>
      </c>
      <c r="D867" s="2" t="s">
        <v>661</v>
      </c>
      <c r="E867" s="1" t="s">
        <v>420</v>
      </c>
      <c r="F867" s="2">
        <v>4631957.0</v>
      </c>
      <c r="I867" s="2">
        <v>1.73246E7</v>
      </c>
      <c r="J867" s="2">
        <v>0.0</v>
      </c>
      <c r="K867" s="2">
        <v>2.1956557E7</v>
      </c>
      <c r="L867" s="2">
        <v>2.036898E7</v>
      </c>
      <c r="N867" s="2">
        <v>1587577.0</v>
      </c>
      <c r="P867" s="3"/>
      <c r="Q867" s="3"/>
      <c r="R867" s="3"/>
      <c r="S867" s="3"/>
      <c r="T867" s="3"/>
      <c r="U867" s="3"/>
      <c r="V867" s="3"/>
      <c r="W867" s="3"/>
      <c r="X867" s="3"/>
      <c r="Y867" s="3"/>
      <c r="Z867" s="3"/>
      <c r="AA867" s="3"/>
      <c r="AB867" s="3"/>
      <c r="AC867" s="3"/>
      <c r="AD867" s="3"/>
      <c r="AE867" s="3"/>
      <c r="AF867" s="3"/>
      <c r="AG867" s="3"/>
    </row>
    <row r="868">
      <c r="A868" s="2">
        <v>2018.0</v>
      </c>
      <c r="B868" s="2" t="s">
        <v>902</v>
      </c>
      <c r="D868" s="2" t="s">
        <v>662</v>
      </c>
      <c r="E868" s="1" t="s">
        <v>420</v>
      </c>
      <c r="F868" s="2">
        <v>1837075.0</v>
      </c>
      <c r="I868" s="2">
        <v>1.309E7</v>
      </c>
      <c r="J868" s="2">
        <v>0.0</v>
      </c>
      <c r="K868" s="2">
        <v>1.4927075E7</v>
      </c>
      <c r="L868" s="2">
        <v>1.3593052E7</v>
      </c>
      <c r="N868" s="2">
        <v>1334023.0</v>
      </c>
      <c r="P868" s="3"/>
      <c r="Q868" s="3"/>
      <c r="R868" s="3"/>
      <c r="S868" s="3"/>
      <c r="T868" s="3"/>
      <c r="U868" s="3"/>
      <c r="V868" s="3"/>
      <c r="W868" s="3"/>
      <c r="X868" s="3"/>
      <c r="Y868" s="3"/>
      <c r="Z868" s="3"/>
      <c r="AA868" s="3"/>
      <c r="AB868" s="3"/>
      <c r="AC868" s="3"/>
      <c r="AD868" s="3"/>
      <c r="AE868" s="3"/>
      <c r="AF868" s="3"/>
      <c r="AG868" s="3"/>
    </row>
    <row r="869">
      <c r="A869" s="2">
        <v>2018.0</v>
      </c>
      <c r="B869" s="2" t="s">
        <v>902</v>
      </c>
      <c r="D869" s="2" t="s">
        <v>664</v>
      </c>
      <c r="E869" s="1" t="s">
        <v>420</v>
      </c>
      <c r="F869" s="2">
        <v>3045936.0</v>
      </c>
      <c r="I869" s="2">
        <v>1.8557404E7</v>
      </c>
      <c r="J869" s="2">
        <v>0.0</v>
      </c>
      <c r="K869" s="2">
        <v>2.160334E7</v>
      </c>
      <c r="L869" s="2">
        <v>2.0043968E7</v>
      </c>
      <c r="N869" s="2">
        <v>1559372.0</v>
      </c>
      <c r="P869" s="3"/>
      <c r="Q869" s="3"/>
      <c r="R869" s="3"/>
      <c r="S869" s="3"/>
      <c r="T869" s="3"/>
      <c r="U869" s="3"/>
      <c r="V869" s="3"/>
      <c r="W869" s="3"/>
      <c r="X869" s="3"/>
      <c r="Y869" s="3"/>
      <c r="Z869" s="3"/>
      <c r="AA869" s="3"/>
      <c r="AB869" s="3"/>
      <c r="AC869" s="3"/>
      <c r="AD869" s="3"/>
      <c r="AE869" s="3"/>
      <c r="AF869" s="3"/>
      <c r="AG869" s="3"/>
    </row>
    <row r="870">
      <c r="A870" s="2">
        <v>2018.0</v>
      </c>
      <c r="B870" s="2" t="s">
        <v>902</v>
      </c>
      <c r="D870" s="2" t="s">
        <v>666</v>
      </c>
      <c r="E870" s="1" t="s">
        <v>420</v>
      </c>
      <c r="F870" s="2">
        <v>4660285.0</v>
      </c>
      <c r="I870" s="2">
        <v>3.0711E7</v>
      </c>
      <c r="J870" s="2">
        <v>0.0</v>
      </c>
      <c r="K870" s="2">
        <v>3.5371285E7</v>
      </c>
      <c r="L870" s="2">
        <v>3.0718863E7</v>
      </c>
      <c r="N870" s="2">
        <v>4652422.0</v>
      </c>
      <c r="P870" s="3"/>
      <c r="Q870" s="3"/>
      <c r="R870" s="3"/>
      <c r="S870" s="3"/>
      <c r="T870" s="3"/>
      <c r="U870" s="3"/>
      <c r="V870" s="3"/>
      <c r="W870" s="3"/>
      <c r="X870" s="3"/>
      <c r="Y870" s="3"/>
      <c r="Z870" s="3"/>
      <c r="AA870" s="3"/>
      <c r="AB870" s="3"/>
      <c r="AC870" s="3"/>
      <c r="AD870" s="3"/>
      <c r="AE870" s="3"/>
      <c r="AF870" s="3"/>
      <c r="AG870" s="3"/>
    </row>
    <row r="871">
      <c r="A871" s="2">
        <v>2018.0</v>
      </c>
      <c r="B871" s="2" t="s">
        <v>902</v>
      </c>
      <c r="D871" s="2" t="s">
        <v>668</v>
      </c>
      <c r="E871" s="1" t="s">
        <v>420</v>
      </c>
      <c r="F871" s="2">
        <v>4339122.0</v>
      </c>
      <c r="I871" s="2">
        <v>1.1662E7</v>
      </c>
      <c r="J871" s="2">
        <v>0.0</v>
      </c>
      <c r="K871" s="2">
        <v>1.6001122E7</v>
      </c>
      <c r="L871" s="2">
        <v>1.3753403E7</v>
      </c>
      <c r="N871" s="2">
        <v>2247719.0</v>
      </c>
      <c r="P871" s="3"/>
      <c r="Q871" s="3"/>
      <c r="R871" s="3"/>
      <c r="S871" s="3"/>
      <c r="T871" s="3"/>
      <c r="U871" s="3"/>
      <c r="V871" s="3"/>
      <c r="W871" s="3"/>
      <c r="X871" s="3"/>
      <c r="Y871" s="3"/>
      <c r="Z871" s="3"/>
      <c r="AA871" s="3"/>
      <c r="AB871" s="3"/>
      <c r="AC871" s="3"/>
      <c r="AD871" s="3"/>
      <c r="AE871" s="3"/>
      <c r="AF871" s="3"/>
      <c r="AG871" s="3"/>
    </row>
    <row r="872">
      <c r="A872" s="2">
        <v>2018.0</v>
      </c>
      <c r="B872" s="2" t="s">
        <v>902</v>
      </c>
      <c r="D872" s="2" t="s">
        <v>1050</v>
      </c>
      <c r="E872" s="1" t="s">
        <v>420</v>
      </c>
      <c r="F872" s="2">
        <v>7195146.0</v>
      </c>
      <c r="I872" s="2">
        <v>7369000.0</v>
      </c>
      <c r="J872" s="2">
        <v>88478.0</v>
      </c>
      <c r="K872" s="2">
        <v>1.4652624E7</v>
      </c>
      <c r="L872" s="2">
        <v>1.0899245E7</v>
      </c>
      <c r="M872" s="2">
        <v>1800000.0</v>
      </c>
      <c r="N872" s="2">
        <v>1953379.0</v>
      </c>
      <c r="P872" s="3"/>
      <c r="Q872" s="3"/>
      <c r="R872" s="3"/>
      <c r="S872" s="3"/>
      <c r="T872" s="3"/>
      <c r="U872" s="3"/>
      <c r="V872" s="3"/>
      <c r="W872" s="3"/>
      <c r="X872" s="3"/>
      <c r="Y872" s="3"/>
      <c r="Z872" s="3"/>
      <c r="AA872" s="3"/>
      <c r="AB872" s="3"/>
      <c r="AC872" s="3"/>
      <c r="AD872" s="3"/>
      <c r="AE872" s="3"/>
      <c r="AF872" s="3"/>
      <c r="AG872" s="3"/>
    </row>
    <row r="873">
      <c r="A873" s="2">
        <v>2018.0</v>
      </c>
      <c r="B873" s="2" t="s">
        <v>902</v>
      </c>
      <c r="D873" s="2" t="s">
        <v>1052</v>
      </c>
      <c r="E873" s="1" t="s">
        <v>420</v>
      </c>
      <c r="F873" s="2">
        <v>3448003.0</v>
      </c>
      <c r="I873" s="2">
        <v>1.7066E7</v>
      </c>
      <c r="J873" s="2">
        <v>52498.0</v>
      </c>
      <c r="K873" s="2">
        <v>2.0566501E7</v>
      </c>
      <c r="L873" s="2">
        <v>1.7671584E7</v>
      </c>
      <c r="N873" s="2">
        <v>2894917.0</v>
      </c>
      <c r="P873" s="3"/>
      <c r="Q873" s="3"/>
      <c r="R873" s="3"/>
      <c r="S873" s="3"/>
      <c r="T873" s="3"/>
      <c r="U873" s="3"/>
      <c r="V873" s="3"/>
      <c r="W873" s="3"/>
      <c r="X873" s="3"/>
      <c r="Y873" s="3"/>
      <c r="Z873" s="3"/>
      <c r="AA873" s="3"/>
      <c r="AB873" s="3"/>
      <c r="AC873" s="3"/>
      <c r="AD873" s="3"/>
      <c r="AE873" s="3"/>
      <c r="AF873" s="3"/>
      <c r="AG873" s="3"/>
    </row>
    <row r="874">
      <c r="A874" s="2">
        <v>2018.0</v>
      </c>
      <c r="B874" s="2" t="s">
        <v>902</v>
      </c>
      <c r="D874" s="2" t="s">
        <v>1054</v>
      </c>
      <c r="E874" s="1" t="s">
        <v>420</v>
      </c>
      <c r="F874" s="2">
        <v>4177139.0</v>
      </c>
      <c r="I874" s="2">
        <v>3213000.0</v>
      </c>
      <c r="J874" s="2">
        <v>52719.0</v>
      </c>
      <c r="K874" s="2">
        <v>7442858.0</v>
      </c>
      <c r="L874" s="2">
        <v>5520362.0</v>
      </c>
      <c r="M874" s="2">
        <v>1500000.0</v>
      </c>
      <c r="N874" s="2">
        <v>422496.0</v>
      </c>
      <c r="P874" s="3"/>
      <c r="Q874" s="3"/>
      <c r="R874" s="3"/>
      <c r="S874" s="3"/>
      <c r="T874" s="3"/>
      <c r="U874" s="3"/>
      <c r="V874" s="3"/>
      <c r="W874" s="3"/>
      <c r="X874" s="3"/>
      <c r="Y874" s="3"/>
      <c r="Z874" s="3"/>
      <c r="AA874" s="3"/>
      <c r="AB874" s="3"/>
      <c r="AC874" s="3"/>
      <c r="AD874" s="3"/>
      <c r="AE874" s="3"/>
      <c r="AF874" s="3"/>
      <c r="AG874" s="3"/>
    </row>
    <row r="875">
      <c r="A875" s="2">
        <v>2018.0</v>
      </c>
      <c r="B875" s="2" t="s">
        <v>902</v>
      </c>
      <c r="D875" s="2" t="s">
        <v>1055</v>
      </c>
      <c r="E875" s="1" t="s">
        <v>420</v>
      </c>
      <c r="F875" s="2">
        <v>569164.0</v>
      </c>
      <c r="I875" s="2">
        <v>8225000.0</v>
      </c>
      <c r="J875" s="2">
        <v>101111.0</v>
      </c>
      <c r="K875" s="2">
        <v>8895275.0</v>
      </c>
      <c r="L875" s="2">
        <v>7041218.0</v>
      </c>
      <c r="N875" s="2">
        <v>1854057.0</v>
      </c>
      <c r="P875" s="3"/>
      <c r="Q875" s="3"/>
      <c r="R875" s="3"/>
      <c r="S875" s="3"/>
      <c r="T875" s="3"/>
      <c r="U875" s="3"/>
      <c r="V875" s="3"/>
      <c r="W875" s="3"/>
      <c r="X875" s="3"/>
      <c r="Y875" s="3"/>
      <c r="Z875" s="3"/>
      <c r="AA875" s="3"/>
      <c r="AB875" s="3"/>
      <c r="AC875" s="3"/>
      <c r="AD875" s="3"/>
      <c r="AE875" s="3"/>
      <c r="AF875" s="3"/>
      <c r="AG875" s="3"/>
    </row>
    <row r="876">
      <c r="A876" s="2">
        <v>2018.0</v>
      </c>
      <c r="B876" s="2" t="s">
        <v>902</v>
      </c>
      <c r="D876" s="2" t="s">
        <v>1058</v>
      </c>
      <c r="E876" s="1" t="s">
        <v>420</v>
      </c>
      <c r="F876" s="2">
        <v>6436304.0</v>
      </c>
      <c r="I876" s="2">
        <v>1.5396E7</v>
      </c>
      <c r="J876" s="2">
        <v>96673.0</v>
      </c>
      <c r="K876" s="2">
        <v>2.1928977E7</v>
      </c>
      <c r="L876" s="2">
        <v>1.9426105E7</v>
      </c>
      <c r="N876" s="2">
        <v>2502872.0</v>
      </c>
      <c r="P876" s="3"/>
      <c r="Q876" s="3"/>
      <c r="R876" s="3"/>
      <c r="S876" s="3"/>
      <c r="T876" s="3"/>
      <c r="U876" s="3"/>
      <c r="V876" s="3"/>
      <c r="W876" s="3"/>
      <c r="X876" s="3"/>
      <c r="Y876" s="3"/>
      <c r="Z876" s="3"/>
      <c r="AA876" s="3"/>
      <c r="AB876" s="3"/>
      <c r="AC876" s="3"/>
      <c r="AD876" s="3"/>
      <c r="AE876" s="3"/>
      <c r="AF876" s="3"/>
      <c r="AG876" s="3"/>
    </row>
    <row r="877">
      <c r="A877" s="2">
        <v>2018.0</v>
      </c>
      <c r="B877" s="2" t="s">
        <v>902</v>
      </c>
      <c r="D877" s="2" t="s">
        <v>1060</v>
      </c>
      <c r="E877" s="1" t="s">
        <v>420</v>
      </c>
      <c r="F877" s="2">
        <v>4729757.0</v>
      </c>
      <c r="I877" s="2">
        <v>2.1564E7</v>
      </c>
      <c r="J877" s="2">
        <v>86207.0</v>
      </c>
      <c r="K877" s="2">
        <v>2.6379964E7</v>
      </c>
      <c r="L877" s="2">
        <v>2.2479462E7</v>
      </c>
      <c r="M877" s="2">
        <v>1000000.0</v>
      </c>
      <c r="N877" s="2">
        <v>2900502.0</v>
      </c>
      <c r="P877" s="3"/>
      <c r="Q877" s="3"/>
      <c r="R877" s="3"/>
      <c r="S877" s="3"/>
      <c r="T877" s="3"/>
      <c r="U877" s="3"/>
      <c r="V877" s="3"/>
      <c r="W877" s="3"/>
      <c r="X877" s="3"/>
      <c r="Y877" s="3"/>
      <c r="Z877" s="3"/>
      <c r="AA877" s="3"/>
      <c r="AB877" s="3"/>
      <c r="AC877" s="3"/>
      <c r="AD877" s="3"/>
      <c r="AE877" s="3"/>
      <c r="AF877" s="3"/>
      <c r="AG877" s="3"/>
    </row>
    <row r="878">
      <c r="A878" s="2">
        <v>2019.0</v>
      </c>
      <c r="B878" s="1" t="s">
        <v>26</v>
      </c>
      <c r="F878" s="5">
        <v>72290.0</v>
      </c>
      <c r="I878" s="5">
        <v>0.0</v>
      </c>
      <c r="J878" s="5">
        <v>1434.0</v>
      </c>
      <c r="K878" s="5">
        <f t="shared" ref="K878:K882" si="3">SUM(F878:J878)</f>
        <v>73724</v>
      </c>
      <c r="L878" s="5">
        <f t="shared" ref="L878:L882" si="4">K878-N878</f>
        <v>68750</v>
      </c>
      <c r="N878" s="5">
        <v>4974.0</v>
      </c>
      <c r="P878" s="3"/>
      <c r="Q878" s="3"/>
      <c r="R878" s="3"/>
      <c r="S878" s="3"/>
      <c r="T878" s="3"/>
      <c r="U878" s="3"/>
      <c r="V878" s="3"/>
      <c r="W878" s="3"/>
      <c r="X878" s="3"/>
      <c r="Y878" s="3"/>
      <c r="Z878" s="3"/>
      <c r="AA878" s="3"/>
      <c r="AB878" s="3"/>
      <c r="AC878" s="3"/>
      <c r="AD878" s="3"/>
      <c r="AE878" s="3"/>
      <c r="AF878" s="3"/>
      <c r="AG878" s="3"/>
    </row>
    <row r="879">
      <c r="A879" s="2">
        <v>2019.0</v>
      </c>
      <c r="B879" s="1" t="s">
        <v>26</v>
      </c>
      <c r="F879" s="5">
        <v>72874.0</v>
      </c>
      <c r="I879" s="5">
        <v>521930.0</v>
      </c>
      <c r="J879" s="5">
        <v>6096.0</v>
      </c>
      <c r="K879" s="5">
        <f t="shared" si="3"/>
        <v>600900</v>
      </c>
      <c r="L879" s="5">
        <f t="shared" si="4"/>
        <v>274169</v>
      </c>
      <c r="N879" s="5">
        <v>326731.0</v>
      </c>
      <c r="P879" s="3"/>
      <c r="Q879" s="3"/>
      <c r="R879" s="3"/>
      <c r="S879" s="3"/>
      <c r="T879" s="3"/>
      <c r="U879" s="3"/>
      <c r="V879" s="3"/>
      <c r="W879" s="3"/>
      <c r="X879" s="3"/>
      <c r="Y879" s="3"/>
      <c r="Z879" s="3"/>
      <c r="AA879" s="3"/>
      <c r="AB879" s="3"/>
      <c r="AC879" s="3"/>
      <c r="AD879" s="3"/>
      <c r="AE879" s="3"/>
      <c r="AF879" s="3"/>
      <c r="AG879" s="3"/>
    </row>
    <row r="880">
      <c r="A880" s="2">
        <v>2019.0</v>
      </c>
      <c r="B880" s="1" t="s">
        <v>26</v>
      </c>
      <c r="F880" s="5">
        <v>338689.0</v>
      </c>
      <c r="I880" s="5">
        <v>828520.0</v>
      </c>
      <c r="J880" s="5">
        <v>10902.0</v>
      </c>
      <c r="K880" s="5">
        <f t="shared" si="3"/>
        <v>1178111</v>
      </c>
      <c r="L880" s="5">
        <f t="shared" si="4"/>
        <v>733945</v>
      </c>
      <c r="N880" s="5">
        <v>444166.0</v>
      </c>
      <c r="P880" s="3"/>
      <c r="Q880" s="3"/>
      <c r="R880" s="3"/>
      <c r="S880" s="3"/>
      <c r="T880" s="3"/>
      <c r="U880" s="3"/>
      <c r="V880" s="3"/>
      <c r="W880" s="3"/>
      <c r="X880" s="3"/>
      <c r="Y880" s="3"/>
      <c r="Z880" s="3"/>
      <c r="AA880" s="3"/>
      <c r="AB880" s="3"/>
      <c r="AC880" s="3"/>
      <c r="AD880" s="3"/>
      <c r="AE880" s="3"/>
      <c r="AF880" s="3"/>
      <c r="AG880" s="3"/>
    </row>
    <row r="881">
      <c r="A881" s="2">
        <v>2019.0</v>
      </c>
      <c r="B881" s="1" t="s">
        <v>26</v>
      </c>
      <c r="F881" s="5">
        <v>6990.0</v>
      </c>
      <c r="I881" s="5">
        <v>0.0</v>
      </c>
      <c r="J881" s="5">
        <v>282.0</v>
      </c>
      <c r="K881" s="5">
        <f t="shared" si="3"/>
        <v>7272</v>
      </c>
      <c r="L881" s="5">
        <f t="shared" si="4"/>
        <v>0</v>
      </c>
      <c r="N881" s="5">
        <v>7272.0</v>
      </c>
      <c r="P881" s="3"/>
      <c r="Q881" s="3"/>
      <c r="R881" s="3"/>
      <c r="S881" s="3"/>
      <c r="T881" s="3"/>
      <c r="U881" s="3"/>
      <c r="V881" s="3"/>
      <c r="W881" s="3"/>
      <c r="X881" s="3"/>
      <c r="Y881" s="3"/>
      <c r="Z881" s="3"/>
      <c r="AA881" s="3"/>
      <c r="AB881" s="3"/>
      <c r="AC881" s="3"/>
      <c r="AD881" s="3"/>
      <c r="AE881" s="3"/>
      <c r="AF881" s="3"/>
      <c r="AG881" s="3"/>
    </row>
    <row r="882">
      <c r="A882" s="2">
        <v>2019.0</v>
      </c>
      <c r="B882" s="1" t="s">
        <v>26</v>
      </c>
      <c r="F882" s="5">
        <v>1261.0</v>
      </c>
      <c r="I882" s="5">
        <v>32170.0</v>
      </c>
      <c r="J882" s="5">
        <v>154.0</v>
      </c>
      <c r="K882" s="5">
        <f t="shared" si="3"/>
        <v>33585</v>
      </c>
      <c r="L882" s="5">
        <f t="shared" si="4"/>
        <v>31778</v>
      </c>
      <c r="N882" s="5">
        <v>1807.0</v>
      </c>
      <c r="P882" s="3"/>
      <c r="Q882" s="3"/>
      <c r="R882" s="3"/>
      <c r="S882" s="3"/>
      <c r="T882" s="3"/>
      <c r="U882" s="3"/>
      <c r="V882" s="3"/>
      <c r="W882" s="3"/>
      <c r="X882" s="3"/>
      <c r="Y882" s="3"/>
      <c r="Z882" s="3"/>
      <c r="AA882" s="3"/>
      <c r="AB882" s="3"/>
      <c r="AC882" s="3"/>
      <c r="AD882" s="3"/>
      <c r="AE882" s="3"/>
      <c r="AF882" s="3"/>
      <c r="AG882" s="3"/>
    </row>
    <row r="883">
      <c r="A883" s="2">
        <v>2019.0</v>
      </c>
      <c r="B883" s="1" t="s">
        <v>26</v>
      </c>
      <c r="D883" s="5" t="s">
        <v>28</v>
      </c>
      <c r="F883" s="5">
        <f>SUM(F878:F882)</f>
        <v>492104</v>
      </c>
      <c r="I883" s="5">
        <f t="shared" ref="I883:J883" si="5">SUM(I878:I882)</f>
        <v>1382620</v>
      </c>
      <c r="J883" s="5">
        <f t="shared" si="5"/>
        <v>18868</v>
      </c>
      <c r="K883" s="5">
        <v>1893592.0</v>
      </c>
      <c r="L883" s="5">
        <f>SUM(L878:L882)</f>
        <v>1108642</v>
      </c>
      <c r="N883" s="5">
        <f>SUM(N878:N882)</f>
        <v>784950</v>
      </c>
      <c r="P883" s="3"/>
      <c r="Q883" s="3"/>
      <c r="R883" s="3"/>
      <c r="S883" s="3"/>
      <c r="T883" s="3"/>
      <c r="U883" s="3"/>
      <c r="V883" s="3"/>
      <c r="W883" s="3"/>
      <c r="X883" s="3"/>
      <c r="Y883" s="3"/>
      <c r="Z883" s="3"/>
      <c r="AA883" s="3"/>
      <c r="AB883" s="3"/>
      <c r="AC883" s="3"/>
      <c r="AD883" s="3"/>
      <c r="AE883" s="3"/>
      <c r="AF883" s="3"/>
      <c r="AG883" s="3"/>
    </row>
    <row r="884">
      <c r="A884" s="2">
        <v>2019.0</v>
      </c>
      <c r="B884" s="1" t="s">
        <v>26</v>
      </c>
      <c r="F884" s="4">
        <v>47111.0</v>
      </c>
      <c r="I884" s="5" t="s">
        <v>1143</v>
      </c>
      <c r="J884" s="5">
        <v>669.0</v>
      </c>
      <c r="K884" s="4">
        <f t="shared" ref="K884:K887" si="6">SUM(F884:J884)</f>
        <v>47780</v>
      </c>
      <c r="L884" s="4">
        <f t="shared" ref="L884:L887" si="7">K884-N884</f>
        <v>40497</v>
      </c>
      <c r="N884" s="4">
        <v>7283.0</v>
      </c>
      <c r="P884" s="3"/>
      <c r="Q884" s="3"/>
      <c r="R884" s="3"/>
      <c r="S884" s="3"/>
      <c r="T884" s="3"/>
      <c r="U884" s="3"/>
      <c r="V884" s="3"/>
      <c r="W884" s="3"/>
      <c r="X884" s="3"/>
      <c r="Y884" s="3"/>
      <c r="Z884" s="3"/>
      <c r="AA884" s="3"/>
      <c r="AB884" s="3"/>
      <c r="AC884" s="3"/>
      <c r="AD884" s="3"/>
      <c r="AE884" s="3"/>
      <c r="AF884" s="3"/>
      <c r="AG884" s="3"/>
    </row>
    <row r="885">
      <c r="A885" s="2">
        <v>2019.0</v>
      </c>
      <c r="B885" s="1" t="s">
        <v>26</v>
      </c>
      <c r="F885" s="4">
        <v>542533.0</v>
      </c>
      <c r="I885" s="4">
        <v>1013285.0</v>
      </c>
      <c r="J885" s="4">
        <v>3313.0</v>
      </c>
      <c r="K885" s="4">
        <f t="shared" si="6"/>
        <v>1559131</v>
      </c>
      <c r="L885" s="4">
        <f t="shared" si="7"/>
        <v>1238232</v>
      </c>
      <c r="N885" s="4">
        <v>320899.0</v>
      </c>
      <c r="P885" s="3"/>
      <c r="Q885" s="3"/>
      <c r="R885" s="3"/>
      <c r="S885" s="3"/>
      <c r="T885" s="3"/>
      <c r="U885" s="3"/>
      <c r="V885" s="3"/>
      <c r="W885" s="3"/>
      <c r="X885" s="3"/>
      <c r="Y885" s="3"/>
      <c r="Z885" s="3"/>
      <c r="AA885" s="3"/>
      <c r="AB885" s="3"/>
      <c r="AC885" s="3"/>
      <c r="AD885" s="3"/>
      <c r="AE885" s="3"/>
      <c r="AF885" s="3"/>
      <c r="AG885" s="3"/>
    </row>
    <row r="886">
      <c r="A886" s="2">
        <v>2019.0</v>
      </c>
      <c r="B886" s="1" t="s">
        <v>26</v>
      </c>
      <c r="F886" s="4">
        <v>1768.0</v>
      </c>
      <c r="I886" s="4">
        <v>93165.0</v>
      </c>
      <c r="J886" s="5">
        <v>405.0</v>
      </c>
      <c r="K886" s="4">
        <f t="shared" si="6"/>
        <v>95338</v>
      </c>
      <c r="L886" s="4">
        <f t="shared" si="7"/>
        <v>89913</v>
      </c>
      <c r="N886" s="4">
        <v>5425.0</v>
      </c>
      <c r="P886" s="3"/>
      <c r="Q886" s="3"/>
      <c r="R886" s="3"/>
      <c r="S886" s="3"/>
      <c r="T886" s="3"/>
      <c r="U886" s="3"/>
      <c r="V886" s="3"/>
      <c r="W886" s="3"/>
      <c r="X886" s="3"/>
      <c r="Y886" s="3"/>
      <c r="Z886" s="3"/>
      <c r="AA886" s="3"/>
      <c r="AB886" s="3"/>
      <c r="AC886" s="3"/>
      <c r="AD886" s="3"/>
      <c r="AE886" s="3"/>
      <c r="AF886" s="3"/>
      <c r="AG886" s="3"/>
    </row>
    <row r="887">
      <c r="A887" s="2">
        <v>2019.0</v>
      </c>
      <c r="B887" s="1" t="s">
        <v>26</v>
      </c>
      <c r="F887" s="4">
        <v>27084.0</v>
      </c>
      <c r="I887" s="4">
        <v>8853.0</v>
      </c>
      <c r="J887" s="5">
        <v>674.0</v>
      </c>
      <c r="K887" s="4">
        <f t="shared" si="6"/>
        <v>36611</v>
      </c>
      <c r="L887" s="4">
        <f t="shared" si="7"/>
        <v>29328</v>
      </c>
      <c r="N887" s="4">
        <v>7283.0</v>
      </c>
      <c r="P887" s="3"/>
      <c r="Q887" s="3"/>
      <c r="R887" s="3"/>
      <c r="S887" s="3"/>
      <c r="T887" s="3"/>
      <c r="U887" s="3"/>
      <c r="V887" s="3"/>
      <c r="W887" s="3"/>
      <c r="X887" s="3"/>
      <c r="Y887" s="3"/>
      <c r="Z887" s="3"/>
      <c r="AA887" s="3"/>
      <c r="AB887" s="3"/>
      <c r="AC887" s="3"/>
      <c r="AD887" s="3"/>
      <c r="AE887" s="3"/>
      <c r="AF887" s="3"/>
      <c r="AG887" s="3"/>
    </row>
    <row r="888">
      <c r="A888" s="2">
        <v>2019.0</v>
      </c>
      <c r="B888" s="1" t="s">
        <v>26</v>
      </c>
      <c r="D888" s="5" t="s">
        <v>36</v>
      </c>
      <c r="F888" s="4">
        <f>SUM(F884:F887)</f>
        <v>618496</v>
      </c>
      <c r="I888" s="4">
        <f>SUM(I885:I887)</f>
        <v>1115303</v>
      </c>
      <c r="J888" s="5">
        <f t="shared" ref="J888:L888" si="8">SUM(J884:J887)</f>
        <v>5061</v>
      </c>
      <c r="K888" s="4">
        <f t="shared" si="8"/>
        <v>1738860</v>
      </c>
      <c r="L888" s="4">
        <f t="shared" si="8"/>
        <v>1397970</v>
      </c>
      <c r="N888" s="4">
        <f>SUM(N884:N887)</f>
        <v>340890</v>
      </c>
      <c r="P888" s="3"/>
      <c r="Q888" s="3"/>
      <c r="R888" s="3"/>
      <c r="S888" s="3"/>
      <c r="T888" s="3"/>
      <c r="U888" s="3"/>
      <c r="V888" s="3"/>
      <c r="W888" s="3"/>
      <c r="X888" s="3"/>
      <c r="Y888" s="3"/>
      <c r="Z888" s="3"/>
      <c r="AA888" s="3"/>
      <c r="AB888" s="3"/>
      <c r="AC888" s="3"/>
      <c r="AD888" s="3"/>
      <c r="AE888" s="3"/>
      <c r="AF888" s="3"/>
      <c r="AG888" s="3"/>
    </row>
    <row r="889">
      <c r="A889" s="2">
        <v>2019.0</v>
      </c>
      <c r="B889" s="1" t="s">
        <v>26</v>
      </c>
      <c r="F889" s="5">
        <v>316402.0</v>
      </c>
      <c r="I889" s="5">
        <v>715355.0</v>
      </c>
      <c r="J889" s="5">
        <v>10309.0</v>
      </c>
      <c r="K889" s="4">
        <f t="shared" ref="K889:K895" si="9">SUM(F889:J889)</f>
        <v>1042066</v>
      </c>
      <c r="L889" s="4">
        <f t="shared" ref="L889:L895" si="10">K889-N889</f>
        <v>526690</v>
      </c>
      <c r="N889" s="5">
        <v>515376.0</v>
      </c>
      <c r="P889" s="3"/>
      <c r="Q889" s="3"/>
      <c r="R889" s="3"/>
      <c r="S889" s="3"/>
      <c r="T889" s="3"/>
      <c r="U889" s="3"/>
      <c r="V889" s="3"/>
      <c r="W889" s="3"/>
      <c r="X889" s="3"/>
      <c r="Y889" s="3"/>
      <c r="Z889" s="3"/>
      <c r="AA889" s="3"/>
      <c r="AB889" s="3"/>
      <c r="AC889" s="3"/>
      <c r="AD889" s="3"/>
      <c r="AE889" s="3"/>
      <c r="AF889" s="3"/>
      <c r="AG889" s="3"/>
    </row>
    <row r="890">
      <c r="A890" s="2">
        <v>2019.0</v>
      </c>
      <c r="B890" s="1" t="s">
        <v>26</v>
      </c>
      <c r="F890" s="5">
        <v>271339.0</v>
      </c>
      <c r="I890" s="5">
        <v>521930.0</v>
      </c>
      <c r="J890" s="5">
        <v>8396.0</v>
      </c>
      <c r="K890" s="4">
        <f t="shared" si="9"/>
        <v>801665</v>
      </c>
      <c r="L890" s="4">
        <f t="shared" si="10"/>
        <v>627421</v>
      </c>
      <c r="N890" s="5">
        <v>174244.0</v>
      </c>
      <c r="P890" s="3"/>
      <c r="Q890" s="3"/>
      <c r="R890" s="3"/>
      <c r="S890" s="3"/>
      <c r="T890" s="3"/>
      <c r="U890" s="3"/>
      <c r="V890" s="3"/>
      <c r="W890" s="3"/>
      <c r="X890" s="3"/>
      <c r="Y890" s="3"/>
      <c r="Z890" s="3"/>
      <c r="AA890" s="3"/>
      <c r="AB890" s="3"/>
      <c r="AC890" s="3"/>
      <c r="AD890" s="3"/>
      <c r="AE890" s="3"/>
      <c r="AF890" s="3"/>
      <c r="AG890" s="3"/>
    </row>
    <row r="891">
      <c r="A891" s="2">
        <v>2019.0</v>
      </c>
      <c r="B891" s="1" t="s">
        <v>26</v>
      </c>
      <c r="F891" s="5">
        <v>25066.0</v>
      </c>
      <c r="I891" s="5">
        <v>16687.0</v>
      </c>
      <c r="J891" s="5">
        <v>508.0</v>
      </c>
      <c r="K891" s="4">
        <f t="shared" si="9"/>
        <v>42261</v>
      </c>
      <c r="L891" s="4">
        <f t="shared" si="10"/>
        <v>0</v>
      </c>
      <c r="N891" s="5">
        <v>42261.0</v>
      </c>
      <c r="P891" s="3"/>
      <c r="Q891" s="3"/>
      <c r="R891" s="3"/>
      <c r="S891" s="3"/>
      <c r="T891" s="3"/>
      <c r="U891" s="3"/>
      <c r="V891" s="3"/>
      <c r="W891" s="3"/>
      <c r="X891" s="3"/>
      <c r="Y891" s="3"/>
      <c r="Z891" s="3"/>
      <c r="AA891" s="3"/>
      <c r="AB891" s="3"/>
      <c r="AC891" s="3"/>
      <c r="AD891" s="3"/>
      <c r="AE891" s="3"/>
      <c r="AF891" s="3"/>
      <c r="AG891" s="3"/>
    </row>
    <row r="892">
      <c r="A892" s="2">
        <v>2019.0</v>
      </c>
      <c r="B892" s="1" t="s">
        <v>26</v>
      </c>
      <c r="F892" s="5">
        <v>132417.0</v>
      </c>
      <c r="I892" s="5">
        <v>269700.0</v>
      </c>
      <c r="J892" s="5">
        <v>5982.0</v>
      </c>
      <c r="K892" s="4">
        <f t="shared" si="9"/>
        <v>408099</v>
      </c>
      <c r="L892" s="4">
        <f t="shared" si="10"/>
        <v>269700</v>
      </c>
      <c r="N892" s="5">
        <v>138399.0</v>
      </c>
      <c r="P892" s="3"/>
      <c r="Q892" s="3"/>
      <c r="R892" s="3"/>
      <c r="S892" s="3"/>
      <c r="T892" s="3"/>
      <c r="U892" s="3"/>
      <c r="V892" s="3"/>
      <c r="W892" s="3"/>
      <c r="X892" s="3"/>
      <c r="Y892" s="3"/>
      <c r="Z892" s="3"/>
      <c r="AA892" s="3"/>
      <c r="AB892" s="3"/>
      <c r="AC892" s="3"/>
      <c r="AD892" s="3"/>
      <c r="AE892" s="3"/>
      <c r="AF892" s="3"/>
      <c r="AG892" s="3"/>
    </row>
    <row r="893">
      <c r="A893" s="2">
        <v>2019.0</v>
      </c>
      <c r="B893" s="1" t="s">
        <v>26</v>
      </c>
      <c r="F893" s="5">
        <v>86489.0</v>
      </c>
      <c r="I893" s="5">
        <v>0.0</v>
      </c>
      <c r="J893" s="5">
        <v>1875.0</v>
      </c>
      <c r="K893" s="4">
        <f t="shared" si="9"/>
        <v>88364</v>
      </c>
      <c r="L893" s="4">
        <f t="shared" si="10"/>
        <v>82940</v>
      </c>
      <c r="N893" s="5">
        <v>5424.0</v>
      </c>
      <c r="P893" s="3"/>
      <c r="Q893" s="3"/>
      <c r="R893" s="3"/>
      <c r="S893" s="3"/>
      <c r="T893" s="3"/>
      <c r="U893" s="3"/>
      <c r="V893" s="3"/>
      <c r="W893" s="3"/>
      <c r="X893" s="3"/>
      <c r="Y893" s="3"/>
      <c r="Z893" s="3"/>
      <c r="AA893" s="3"/>
      <c r="AB893" s="3"/>
      <c r="AC893" s="3"/>
      <c r="AD893" s="3"/>
      <c r="AE893" s="3"/>
      <c r="AF893" s="3"/>
      <c r="AG893" s="3"/>
    </row>
    <row r="894">
      <c r="A894" s="2">
        <v>2019.0</v>
      </c>
      <c r="B894" s="1" t="s">
        <v>26</v>
      </c>
      <c r="F894" s="5">
        <v>1882.0</v>
      </c>
      <c r="I894" s="5">
        <v>176365.0</v>
      </c>
      <c r="J894" s="5">
        <v>297.0</v>
      </c>
      <c r="K894" s="4">
        <f t="shared" si="9"/>
        <v>178544</v>
      </c>
      <c r="L894" s="4">
        <f t="shared" si="10"/>
        <v>176365</v>
      </c>
      <c r="N894" s="5">
        <v>2179.0</v>
      </c>
      <c r="P894" s="3"/>
      <c r="Q894" s="3"/>
      <c r="R894" s="3"/>
      <c r="S894" s="3"/>
      <c r="T894" s="3"/>
      <c r="U894" s="3"/>
      <c r="V894" s="3"/>
      <c r="W894" s="3"/>
      <c r="X894" s="3"/>
      <c r="Y894" s="3"/>
      <c r="Z894" s="3"/>
      <c r="AA894" s="3"/>
      <c r="AB894" s="3"/>
      <c r="AC894" s="3"/>
      <c r="AD894" s="3"/>
      <c r="AE894" s="3"/>
      <c r="AF894" s="3"/>
      <c r="AG894" s="3"/>
    </row>
    <row r="895">
      <c r="A895" s="2">
        <v>2019.0</v>
      </c>
      <c r="B895" s="1" t="s">
        <v>26</v>
      </c>
      <c r="F895" s="5">
        <v>6720.0</v>
      </c>
      <c r="I895" s="5">
        <v>93165.0</v>
      </c>
      <c r="J895" s="5">
        <v>1227.0</v>
      </c>
      <c r="K895" s="4">
        <f t="shared" si="9"/>
        <v>101112</v>
      </c>
      <c r="L895" s="4">
        <f t="shared" si="10"/>
        <v>79657</v>
      </c>
      <c r="N895" s="5">
        <v>21455.0</v>
      </c>
      <c r="P895" s="3"/>
      <c r="Q895" s="3"/>
      <c r="R895" s="3"/>
      <c r="S895" s="3"/>
      <c r="T895" s="3"/>
      <c r="U895" s="3"/>
      <c r="V895" s="3"/>
      <c r="W895" s="3"/>
      <c r="X895" s="3"/>
      <c r="Y895" s="3"/>
      <c r="Z895" s="3"/>
      <c r="AA895" s="3"/>
      <c r="AB895" s="3"/>
      <c r="AC895" s="3"/>
      <c r="AD895" s="3"/>
      <c r="AE895" s="3"/>
      <c r="AF895" s="3"/>
      <c r="AG895" s="3"/>
    </row>
    <row r="896">
      <c r="A896" s="2">
        <v>2019.0</v>
      </c>
      <c r="B896" s="1" t="s">
        <v>26</v>
      </c>
      <c r="D896" s="5" t="s">
        <v>48</v>
      </c>
      <c r="F896" s="5">
        <f>SUM(F889:F895)</f>
        <v>840315</v>
      </c>
      <c r="I896" s="5">
        <f t="shared" ref="I896:L896" si="11">SUM(I889:I895)</f>
        <v>1793202</v>
      </c>
      <c r="J896" s="5">
        <f t="shared" si="11"/>
        <v>28594</v>
      </c>
      <c r="K896" s="4">
        <f t="shared" si="11"/>
        <v>2662111</v>
      </c>
      <c r="L896" s="4">
        <f t="shared" si="11"/>
        <v>1762773</v>
      </c>
      <c r="N896" s="5">
        <f>SUM(N889:N895)</f>
        <v>899338</v>
      </c>
      <c r="P896" s="3"/>
      <c r="Q896" s="3"/>
      <c r="R896" s="3"/>
      <c r="S896" s="3"/>
      <c r="T896" s="3"/>
      <c r="U896" s="3"/>
      <c r="V896" s="3"/>
      <c r="W896" s="3"/>
      <c r="X896" s="3"/>
      <c r="Y896" s="3"/>
      <c r="Z896" s="3"/>
      <c r="AA896" s="3"/>
      <c r="AB896" s="3"/>
      <c r="AC896" s="3"/>
      <c r="AD896" s="3"/>
      <c r="AE896" s="3"/>
      <c r="AF896" s="3"/>
      <c r="AG896" s="3"/>
    </row>
    <row r="897">
      <c r="A897" s="2">
        <v>2019.0</v>
      </c>
      <c r="B897" s="1" t="s">
        <v>26</v>
      </c>
      <c r="F897" s="5">
        <v>1175.0</v>
      </c>
      <c r="I897" s="5">
        <v>0.0</v>
      </c>
      <c r="J897" s="5">
        <v>0.0</v>
      </c>
      <c r="K897" s="4">
        <f t="shared" ref="K897:K899" si="12">SUM(F897:J897)</f>
        <v>1175</v>
      </c>
      <c r="L897" s="4">
        <f t="shared" ref="L897:L899" si="13">K897-N897</f>
        <v>0</v>
      </c>
      <c r="N897" s="5">
        <v>1175.0</v>
      </c>
      <c r="P897" s="3"/>
      <c r="Q897" s="3"/>
      <c r="R897" s="3"/>
      <c r="S897" s="3"/>
      <c r="T897" s="3"/>
      <c r="U897" s="3"/>
      <c r="V897" s="3"/>
      <c r="W897" s="3"/>
      <c r="X897" s="3"/>
      <c r="Y897" s="3"/>
      <c r="Z897" s="3"/>
      <c r="AA897" s="3"/>
      <c r="AB897" s="3"/>
      <c r="AC897" s="3"/>
      <c r="AD897" s="3"/>
      <c r="AE897" s="3"/>
      <c r="AF897" s="3"/>
      <c r="AG897" s="3"/>
    </row>
    <row r="898">
      <c r="A898" s="2">
        <v>2019.0</v>
      </c>
      <c r="B898" s="1" t="s">
        <v>26</v>
      </c>
      <c r="F898" s="5">
        <v>2720.0</v>
      </c>
      <c r="I898" s="5">
        <v>411840.0</v>
      </c>
      <c r="J898" s="5">
        <v>216.0</v>
      </c>
      <c r="K898" s="4">
        <f t="shared" si="12"/>
        <v>414776</v>
      </c>
      <c r="L898" s="4">
        <f t="shared" si="13"/>
        <v>411133</v>
      </c>
      <c r="N898" s="5">
        <v>3643.0</v>
      </c>
      <c r="P898" s="3"/>
      <c r="Q898" s="3"/>
      <c r="R898" s="3"/>
      <c r="S898" s="3"/>
      <c r="T898" s="3"/>
      <c r="U898" s="3"/>
      <c r="V898" s="3"/>
      <c r="W898" s="3"/>
      <c r="X898" s="3"/>
      <c r="Y898" s="3"/>
      <c r="Z898" s="3"/>
      <c r="AA898" s="3"/>
      <c r="AB898" s="3"/>
      <c r="AC898" s="3"/>
      <c r="AD898" s="3"/>
      <c r="AE898" s="3"/>
      <c r="AF898" s="3"/>
      <c r="AG898" s="3"/>
    </row>
    <row r="899">
      <c r="A899" s="2">
        <v>2019.0</v>
      </c>
      <c r="B899" s="1" t="s">
        <v>26</v>
      </c>
      <c r="F899" s="5">
        <v>2694.0</v>
      </c>
      <c r="I899" s="5">
        <v>349145.0</v>
      </c>
      <c r="J899" s="5">
        <v>0.0</v>
      </c>
      <c r="K899" s="4">
        <f t="shared" si="12"/>
        <v>351839</v>
      </c>
      <c r="L899" s="4">
        <f t="shared" si="13"/>
        <v>45903</v>
      </c>
      <c r="N899" s="5">
        <v>305936.0</v>
      </c>
      <c r="P899" s="3"/>
      <c r="Q899" s="3"/>
      <c r="R899" s="3"/>
      <c r="S899" s="3"/>
      <c r="T899" s="3"/>
      <c r="U899" s="3"/>
      <c r="V899" s="3"/>
      <c r="W899" s="3"/>
      <c r="X899" s="3"/>
      <c r="Y899" s="3"/>
      <c r="Z899" s="3"/>
      <c r="AA899" s="3"/>
      <c r="AB899" s="3"/>
      <c r="AC899" s="3"/>
      <c r="AD899" s="3"/>
      <c r="AE899" s="3"/>
      <c r="AF899" s="3"/>
      <c r="AG899" s="3"/>
    </row>
    <row r="900">
      <c r="A900" s="2">
        <v>2019.0</v>
      </c>
      <c r="B900" s="1" t="s">
        <v>26</v>
      </c>
      <c r="D900" s="5" t="s">
        <v>57</v>
      </c>
      <c r="F900" s="5">
        <f>SUM(F897:F899)</f>
        <v>6589</v>
      </c>
      <c r="I900" s="5">
        <f t="shared" ref="I900:L900" si="14">SUM(I897:I899)</f>
        <v>760985</v>
      </c>
      <c r="J900" s="5">
        <f t="shared" si="14"/>
        <v>216</v>
      </c>
      <c r="K900" s="4">
        <f t="shared" si="14"/>
        <v>767790</v>
      </c>
      <c r="L900" s="4">
        <f t="shared" si="14"/>
        <v>457036</v>
      </c>
      <c r="N900" s="5">
        <f>SUM(N897:N899)</f>
        <v>310754</v>
      </c>
      <c r="P900" s="3"/>
      <c r="Q900" s="3"/>
      <c r="R900" s="3"/>
      <c r="S900" s="3"/>
      <c r="T900" s="3"/>
      <c r="U900" s="3"/>
      <c r="V900" s="3"/>
      <c r="W900" s="3"/>
      <c r="X900" s="3"/>
      <c r="Y900" s="3"/>
      <c r="Z900" s="3"/>
      <c r="AA900" s="3"/>
      <c r="AB900" s="3"/>
      <c r="AC900" s="3"/>
      <c r="AD900" s="3"/>
      <c r="AE900" s="3"/>
      <c r="AF900" s="3"/>
      <c r="AG900" s="3"/>
    </row>
    <row r="901">
      <c r="A901" s="2">
        <v>2019.0</v>
      </c>
      <c r="B901" s="1" t="s">
        <v>26</v>
      </c>
      <c r="D901" s="5" t="s">
        <v>64</v>
      </c>
      <c r="F901" s="5">
        <v>3772.0</v>
      </c>
      <c r="I901" s="5">
        <v>50000.0</v>
      </c>
      <c r="J901" s="5">
        <v>400.0</v>
      </c>
      <c r="K901" s="4">
        <f t="shared" ref="K901:K905" si="15">SUM(F901:J901)</f>
        <v>54172</v>
      </c>
      <c r="L901" s="4">
        <f t="shared" ref="L901:L905" si="16">K901-N901</f>
        <v>0</v>
      </c>
      <c r="N901" s="5">
        <v>54172.0</v>
      </c>
      <c r="P901" s="3"/>
      <c r="Q901" s="3"/>
      <c r="R901" s="3"/>
      <c r="S901" s="3"/>
      <c r="T901" s="3"/>
      <c r="U901" s="3"/>
      <c r="V901" s="3"/>
      <c r="W901" s="3"/>
      <c r="X901" s="3"/>
      <c r="Y901" s="3"/>
      <c r="Z901" s="3"/>
      <c r="AA901" s="3"/>
      <c r="AB901" s="3"/>
      <c r="AC901" s="3"/>
      <c r="AD901" s="3"/>
      <c r="AE901" s="3"/>
      <c r="AF901" s="3"/>
      <c r="AG901" s="3"/>
    </row>
    <row r="902">
      <c r="A902" s="2">
        <v>2019.0</v>
      </c>
      <c r="B902" s="1" t="s">
        <v>26</v>
      </c>
      <c r="F902" s="5">
        <v>31953.0</v>
      </c>
      <c r="I902" s="5">
        <v>297930.0</v>
      </c>
      <c r="J902" s="5">
        <v>4179.0</v>
      </c>
      <c r="K902" s="4">
        <f t="shared" si="15"/>
        <v>334062</v>
      </c>
      <c r="L902" s="4">
        <f t="shared" si="16"/>
        <v>299275</v>
      </c>
      <c r="N902" s="5">
        <v>34787.0</v>
      </c>
      <c r="P902" s="3"/>
      <c r="Q902" s="3"/>
      <c r="R902" s="3"/>
      <c r="S902" s="3"/>
      <c r="T902" s="3"/>
      <c r="U902" s="3"/>
      <c r="V902" s="3"/>
      <c r="W902" s="3"/>
      <c r="X902" s="3"/>
      <c r="Y902" s="3"/>
      <c r="Z902" s="3"/>
      <c r="AA902" s="3"/>
      <c r="AB902" s="3"/>
      <c r="AC902" s="3"/>
      <c r="AD902" s="3"/>
      <c r="AE902" s="3"/>
      <c r="AF902" s="3"/>
      <c r="AG902" s="3"/>
    </row>
    <row r="903">
      <c r="A903" s="2">
        <v>2019.0</v>
      </c>
      <c r="B903" s="1" t="s">
        <v>26</v>
      </c>
      <c r="F903" s="5">
        <v>106933.0</v>
      </c>
      <c r="I903" s="5">
        <v>715355.0</v>
      </c>
      <c r="J903" s="5">
        <v>6351.0</v>
      </c>
      <c r="K903" s="4">
        <f t="shared" si="15"/>
        <v>828639</v>
      </c>
      <c r="L903" s="4">
        <f t="shared" si="16"/>
        <v>448000</v>
      </c>
      <c r="N903" s="5">
        <v>380639.0</v>
      </c>
      <c r="P903" s="3"/>
      <c r="Q903" s="3"/>
      <c r="R903" s="3"/>
      <c r="S903" s="3"/>
      <c r="T903" s="3"/>
      <c r="U903" s="3"/>
      <c r="V903" s="3"/>
      <c r="W903" s="3"/>
      <c r="X903" s="3"/>
      <c r="Y903" s="3"/>
      <c r="Z903" s="3"/>
      <c r="AA903" s="3"/>
      <c r="AB903" s="3"/>
      <c r="AC903" s="3"/>
      <c r="AD903" s="3"/>
      <c r="AE903" s="3"/>
      <c r="AF903" s="3"/>
      <c r="AG903" s="3"/>
    </row>
    <row r="904">
      <c r="A904" s="2">
        <v>2019.0</v>
      </c>
      <c r="B904" s="1" t="s">
        <v>26</v>
      </c>
      <c r="F904" s="5">
        <v>503.0</v>
      </c>
      <c r="I904" s="5">
        <v>93165.0</v>
      </c>
      <c r="J904" s="5">
        <v>406.0</v>
      </c>
      <c r="K904" s="4">
        <f t="shared" si="15"/>
        <v>94074</v>
      </c>
      <c r="L904" s="4">
        <f t="shared" si="16"/>
        <v>92473</v>
      </c>
      <c r="N904" s="5">
        <v>1601.0</v>
      </c>
      <c r="P904" s="3"/>
      <c r="Q904" s="3"/>
      <c r="R904" s="3"/>
      <c r="S904" s="3"/>
      <c r="T904" s="3"/>
      <c r="U904" s="3"/>
      <c r="V904" s="3"/>
      <c r="W904" s="3"/>
      <c r="X904" s="3"/>
      <c r="Y904" s="3"/>
      <c r="Z904" s="3"/>
      <c r="AA904" s="3"/>
      <c r="AB904" s="3"/>
      <c r="AC904" s="3"/>
      <c r="AD904" s="3"/>
      <c r="AE904" s="3"/>
      <c r="AF904" s="3"/>
      <c r="AG904" s="3"/>
    </row>
    <row r="905">
      <c r="A905" s="2">
        <v>2019.0</v>
      </c>
      <c r="B905" s="1" t="s">
        <v>26</v>
      </c>
      <c r="F905" s="5">
        <v>112005.0</v>
      </c>
      <c r="I905" s="5">
        <v>112305.0</v>
      </c>
      <c r="J905" s="5">
        <v>5615.0</v>
      </c>
      <c r="K905" s="4">
        <f t="shared" si="15"/>
        <v>229925</v>
      </c>
      <c r="L905" s="4">
        <f t="shared" si="16"/>
        <v>81000</v>
      </c>
      <c r="N905" s="5">
        <v>148925.0</v>
      </c>
      <c r="P905" s="3"/>
      <c r="Q905" s="3"/>
      <c r="R905" s="3"/>
      <c r="S905" s="3"/>
      <c r="T905" s="3"/>
      <c r="U905" s="3"/>
      <c r="V905" s="3"/>
      <c r="W905" s="3"/>
      <c r="X905" s="3"/>
      <c r="Y905" s="3"/>
      <c r="Z905" s="3"/>
      <c r="AA905" s="3"/>
      <c r="AB905" s="3"/>
      <c r="AC905" s="3"/>
      <c r="AD905" s="3"/>
      <c r="AE905" s="3"/>
      <c r="AF905" s="3"/>
      <c r="AG905" s="3"/>
    </row>
    <row r="906">
      <c r="A906" s="2">
        <v>2019.0</v>
      </c>
      <c r="B906" s="1" t="s">
        <v>26</v>
      </c>
      <c r="F906" s="5">
        <f>SUM(F901:F905)</f>
        <v>255166</v>
      </c>
      <c r="I906" s="5">
        <f t="shared" ref="I906:L906" si="17">SUM(I901:I905)</f>
        <v>1268755</v>
      </c>
      <c r="J906" s="5">
        <f t="shared" si="17"/>
        <v>16951</v>
      </c>
      <c r="K906" s="4">
        <f t="shared" si="17"/>
        <v>1540872</v>
      </c>
      <c r="L906" s="4">
        <f t="shared" si="17"/>
        <v>920748</v>
      </c>
      <c r="N906" s="5">
        <f>SUM(N901:N905)</f>
        <v>620124</v>
      </c>
      <c r="P906" s="3"/>
      <c r="Q906" s="3"/>
      <c r="R906" s="3"/>
      <c r="S906" s="3"/>
      <c r="T906" s="3"/>
      <c r="U906" s="3"/>
      <c r="V906" s="3"/>
      <c r="W906" s="3"/>
      <c r="X906" s="3"/>
      <c r="Y906" s="3"/>
      <c r="Z906" s="3"/>
      <c r="AA906" s="3"/>
      <c r="AB906" s="3"/>
      <c r="AC906" s="3"/>
      <c r="AD906" s="3"/>
      <c r="AE906" s="3"/>
      <c r="AF906" s="3"/>
      <c r="AG906" s="3"/>
    </row>
    <row r="907">
      <c r="A907" s="2">
        <v>2019.0</v>
      </c>
      <c r="B907" s="1" t="s">
        <v>26</v>
      </c>
      <c r="D907" s="5" t="s">
        <v>68</v>
      </c>
      <c r="F907" s="5">
        <v>108351.0</v>
      </c>
      <c r="I907" s="5">
        <v>297930.0</v>
      </c>
      <c r="J907" s="5">
        <v>4142.0</v>
      </c>
      <c r="K907" s="4">
        <f t="shared" ref="K907:K909" si="18">SUM(F907:J907)</f>
        <v>410423</v>
      </c>
      <c r="L907" s="4">
        <f t="shared" ref="L907:L909" si="19">K907-N907</f>
        <v>361351</v>
      </c>
      <c r="N907" s="5">
        <v>49072.0</v>
      </c>
      <c r="P907" s="3"/>
      <c r="Q907" s="3"/>
      <c r="R907" s="3"/>
      <c r="S907" s="3"/>
      <c r="T907" s="3"/>
      <c r="U907" s="3"/>
      <c r="V907" s="3"/>
      <c r="W907" s="3"/>
      <c r="X907" s="3"/>
      <c r="Y907" s="3"/>
      <c r="Z907" s="3"/>
      <c r="AA907" s="3"/>
      <c r="AB907" s="3"/>
      <c r="AC907" s="3"/>
      <c r="AD907" s="3"/>
      <c r="AE907" s="3"/>
      <c r="AF907" s="3"/>
      <c r="AG907" s="3"/>
    </row>
    <row r="908">
      <c r="A908" s="2">
        <v>2019.0</v>
      </c>
      <c r="B908" s="1" t="s">
        <v>26</v>
      </c>
      <c r="F908" s="5">
        <v>56652.0</v>
      </c>
      <c r="I908" s="5">
        <v>808520.0</v>
      </c>
      <c r="J908" s="5">
        <v>1242.0</v>
      </c>
      <c r="K908" s="4">
        <f t="shared" si="18"/>
        <v>866414</v>
      </c>
      <c r="L908" s="4">
        <f t="shared" si="19"/>
        <v>862141</v>
      </c>
      <c r="N908" s="5">
        <v>4273.0</v>
      </c>
      <c r="P908" s="3"/>
      <c r="Q908" s="3"/>
      <c r="R908" s="3"/>
      <c r="S908" s="3"/>
      <c r="T908" s="3"/>
      <c r="U908" s="3"/>
      <c r="V908" s="3"/>
      <c r="W908" s="3"/>
      <c r="X908" s="3"/>
      <c r="Y908" s="3"/>
      <c r="Z908" s="3"/>
      <c r="AA908" s="3"/>
      <c r="AB908" s="3"/>
      <c r="AC908" s="3"/>
      <c r="AD908" s="3"/>
      <c r="AE908" s="3"/>
      <c r="AF908" s="3"/>
      <c r="AG908" s="3"/>
    </row>
    <row r="909">
      <c r="A909" s="2">
        <v>2019.0</v>
      </c>
      <c r="B909" s="1" t="s">
        <v>26</v>
      </c>
      <c r="F909" s="5">
        <v>22185.0</v>
      </c>
      <c r="I909" s="5">
        <v>9660.0</v>
      </c>
      <c r="J909" s="5">
        <v>603.0</v>
      </c>
      <c r="K909" s="4">
        <f t="shared" si="18"/>
        <v>32448</v>
      </c>
      <c r="L909" s="4">
        <f t="shared" si="19"/>
        <v>28000</v>
      </c>
      <c r="N909" s="5">
        <v>4448.0</v>
      </c>
      <c r="P909" s="3"/>
      <c r="Q909" s="3"/>
      <c r="R909" s="3"/>
      <c r="S909" s="3"/>
      <c r="T909" s="3"/>
      <c r="U909" s="3"/>
      <c r="V909" s="3"/>
      <c r="W909" s="3"/>
      <c r="X909" s="3"/>
      <c r="Y909" s="3"/>
      <c r="Z909" s="3"/>
      <c r="AA909" s="3"/>
      <c r="AB909" s="3"/>
      <c r="AC909" s="3"/>
      <c r="AD909" s="3"/>
      <c r="AE909" s="3"/>
      <c r="AF909" s="3"/>
      <c r="AG909" s="3"/>
    </row>
    <row r="910">
      <c r="A910" s="2">
        <v>2019.0</v>
      </c>
      <c r="B910" s="1" t="s">
        <v>26</v>
      </c>
      <c r="F910" s="5">
        <f>SUM(F907:F909)</f>
        <v>187188</v>
      </c>
      <c r="I910" s="5">
        <f t="shared" ref="I910:L910" si="20">SUM(I907:I909)</f>
        <v>1116110</v>
      </c>
      <c r="J910" s="5">
        <f t="shared" si="20"/>
        <v>5987</v>
      </c>
      <c r="K910" s="4">
        <f t="shared" si="20"/>
        <v>1309285</v>
      </c>
      <c r="L910" s="4">
        <f t="shared" si="20"/>
        <v>1251492</v>
      </c>
      <c r="N910" s="5">
        <f>SUM(N907:N909)</f>
        <v>57793</v>
      </c>
      <c r="P910" s="3"/>
      <c r="Q910" s="3"/>
      <c r="R910" s="3"/>
      <c r="S910" s="3"/>
      <c r="T910" s="3"/>
      <c r="U910" s="3"/>
      <c r="V910" s="3"/>
      <c r="W910" s="3"/>
      <c r="X910" s="3"/>
      <c r="Y910" s="3"/>
      <c r="Z910" s="3"/>
      <c r="AA910" s="3"/>
      <c r="AB910" s="3"/>
      <c r="AC910" s="3"/>
      <c r="AD910" s="3"/>
      <c r="AE910" s="3"/>
      <c r="AF910" s="3"/>
      <c r="AG910" s="3"/>
    </row>
    <row r="911">
      <c r="A911" s="2">
        <v>2019.0</v>
      </c>
      <c r="B911" s="1" t="s">
        <v>26</v>
      </c>
      <c r="D911" s="5" t="s">
        <v>73</v>
      </c>
      <c r="F911" s="5">
        <v>2503.0</v>
      </c>
      <c r="I911" s="5">
        <v>0.0</v>
      </c>
      <c r="J911" s="5">
        <v>101.0</v>
      </c>
      <c r="K911" s="4">
        <f t="shared" ref="K911:K915" si="21">SUM(F911:J911)</f>
        <v>2604</v>
      </c>
      <c r="L911" s="4">
        <f t="shared" ref="L911:L915" si="22">K911-N911</f>
        <v>0</v>
      </c>
      <c r="N911" s="5">
        <v>2604.0</v>
      </c>
      <c r="P911" s="3"/>
      <c r="Q911" s="3"/>
      <c r="R911" s="3"/>
      <c r="S911" s="3"/>
      <c r="T911" s="3"/>
      <c r="U911" s="3"/>
      <c r="V911" s="3"/>
      <c r="W911" s="3"/>
      <c r="X911" s="3"/>
      <c r="Y911" s="3"/>
      <c r="Z911" s="3"/>
      <c r="AA911" s="3"/>
      <c r="AB911" s="3"/>
      <c r="AC911" s="3"/>
      <c r="AD911" s="3"/>
      <c r="AE911" s="3"/>
      <c r="AF911" s="3"/>
      <c r="AG911" s="3"/>
    </row>
    <row r="912">
      <c r="A912" s="2">
        <v>2019.0</v>
      </c>
      <c r="B912" s="1" t="s">
        <v>26</v>
      </c>
      <c r="F912" s="5">
        <v>117360.0</v>
      </c>
      <c r="I912" s="5">
        <v>297930.0</v>
      </c>
      <c r="J912" s="5">
        <v>7641.0</v>
      </c>
      <c r="K912" s="4">
        <f t="shared" si="21"/>
        <v>422931</v>
      </c>
      <c r="L912" s="4">
        <f t="shared" si="22"/>
        <v>100000</v>
      </c>
      <c r="N912" s="5">
        <v>322931.0</v>
      </c>
      <c r="P912" s="3"/>
      <c r="Q912" s="3"/>
      <c r="R912" s="3"/>
      <c r="S912" s="3"/>
      <c r="T912" s="3"/>
      <c r="U912" s="3"/>
      <c r="V912" s="3"/>
      <c r="W912" s="3"/>
      <c r="X912" s="3"/>
      <c r="Y912" s="3"/>
      <c r="Z912" s="3"/>
      <c r="AA912" s="3"/>
      <c r="AB912" s="3"/>
      <c r="AC912" s="3"/>
      <c r="AD912" s="3"/>
      <c r="AE912" s="3"/>
      <c r="AF912" s="3"/>
      <c r="AG912" s="3"/>
    </row>
    <row r="913">
      <c r="A913" s="2">
        <v>2019.0</v>
      </c>
      <c r="B913" s="1" t="s">
        <v>26</v>
      </c>
      <c r="F913" s="5">
        <v>130514.0</v>
      </c>
      <c r="I913" s="5">
        <v>808520.0</v>
      </c>
      <c r="J913" s="5">
        <v>7381.0</v>
      </c>
      <c r="K913" s="4">
        <f t="shared" si="21"/>
        <v>946415</v>
      </c>
      <c r="L913" s="4">
        <f t="shared" si="22"/>
        <v>415535</v>
      </c>
      <c r="N913" s="5">
        <v>530880.0</v>
      </c>
      <c r="P913" s="3"/>
      <c r="Q913" s="3"/>
      <c r="R913" s="3"/>
      <c r="S913" s="3"/>
      <c r="T913" s="3"/>
      <c r="U913" s="3"/>
      <c r="V913" s="3"/>
      <c r="W913" s="3"/>
      <c r="X913" s="3"/>
      <c r="Y913" s="3"/>
      <c r="Z913" s="3"/>
      <c r="AA913" s="3"/>
      <c r="AB913" s="3"/>
      <c r="AC913" s="3"/>
      <c r="AD913" s="3"/>
      <c r="AE913" s="3"/>
      <c r="AF913" s="3"/>
      <c r="AG913" s="3"/>
    </row>
    <row r="914">
      <c r="A914" s="2">
        <v>2019.0</v>
      </c>
      <c r="B914" s="1" t="s">
        <v>26</v>
      </c>
      <c r="F914" s="5">
        <v>130514.0</v>
      </c>
      <c r="I914" s="5">
        <v>808520.0</v>
      </c>
      <c r="J914" s="5">
        <v>7381.0</v>
      </c>
      <c r="K914" s="4">
        <f t="shared" si="21"/>
        <v>946415</v>
      </c>
      <c r="L914" s="4">
        <f t="shared" si="22"/>
        <v>415535</v>
      </c>
      <c r="N914" s="5">
        <v>530880.0</v>
      </c>
      <c r="P914" s="3"/>
      <c r="Q914" s="3"/>
      <c r="R914" s="3"/>
      <c r="S914" s="3"/>
      <c r="T914" s="3"/>
      <c r="U914" s="3"/>
      <c r="V914" s="3"/>
      <c r="W914" s="3"/>
      <c r="X914" s="3"/>
      <c r="Y914" s="3"/>
      <c r="Z914" s="3"/>
      <c r="AA914" s="3"/>
      <c r="AB914" s="3"/>
      <c r="AC914" s="3"/>
      <c r="AD914" s="3"/>
      <c r="AE914" s="3"/>
      <c r="AF914" s="3"/>
      <c r="AG914" s="3"/>
    </row>
    <row r="915">
      <c r="A915" s="2">
        <v>2019.0</v>
      </c>
      <c r="B915" s="1" t="s">
        <v>26</v>
      </c>
      <c r="F915" s="5">
        <v>46442.0</v>
      </c>
      <c r="I915" s="5">
        <v>94556.0</v>
      </c>
      <c r="J915" s="5">
        <v>3671.0</v>
      </c>
      <c r="K915" s="4">
        <f t="shared" si="21"/>
        <v>144669</v>
      </c>
      <c r="L915" s="4">
        <f t="shared" si="22"/>
        <v>0</v>
      </c>
      <c r="N915" s="5">
        <v>144669.0</v>
      </c>
      <c r="P915" s="3"/>
      <c r="Q915" s="3"/>
      <c r="R915" s="3"/>
      <c r="S915" s="3"/>
      <c r="T915" s="3"/>
      <c r="U915" s="3"/>
      <c r="V915" s="3"/>
      <c r="W915" s="3"/>
      <c r="X915" s="3"/>
      <c r="Y915" s="3"/>
      <c r="Z915" s="3"/>
      <c r="AA915" s="3"/>
      <c r="AB915" s="3"/>
      <c r="AC915" s="3"/>
      <c r="AD915" s="3"/>
      <c r="AE915" s="3"/>
      <c r="AF915" s="3"/>
      <c r="AG915" s="3"/>
    </row>
    <row r="916">
      <c r="A916" s="2">
        <v>2019.0</v>
      </c>
      <c r="B916" s="1" t="s">
        <v>26</v>
      </c>
      <c r="F916" s="5">
        <f>SUM(F911:F915)</f>
        <v>427333</v>
      </c>
      <c r="I916" s="5">
        <f t="shared" ref="I916:L916" si="23">SUM(I911:I915)</f>
        <v>2009526</v>
      </c>
      <c r="J916" s="5">
        <f t="shared" si="23"/>
        <v>26175</v>
      </c>
      <c r="K916" s="4">
        <f t="shared" si="23"/>
        <v>2463034</v>
      </c>
      <c r="L916" s="4">
        <f t="shared" si="23"/>
        <v>931070</v>
      </c>
      <c r="N916" s="5">
        <f>SUM(N911:N915)</f>
        <v>1531964</v>
      </c>
      <c r="P916" s="3"/>
      <c r="Q916" s="3"/>
      <c r="R916" s="3"/>
      <c r="S916" s="3"/>
      <c r="T916" s="3"/>
      <c r="U916" s="3"/>
      <c r="V916" s="3"/>
      <c r="W916" s="3"/>
      <c r="X916" s="3"/>
      <c r="Y916" s="3"/>
      <c r="Z916" s="3"/>
      <c r="AA916" s="3"/>
      <c r="AB916" s="3"/>
      <c r="AC916" s="3"/>
      <c r="AD916" s="3"/>
      <c r="AE916" s="3"/>
      <c r="AF916" s="3"/>
      <c r="AG916" s="3"/>
    </row>
    <row r="917">
      <c r="A917" s="2">
        <v>2019.0</v>
      </c>
      <c r="B917" s="1" t="s">
        <v>26</v>
      </c>
      <c r="D917" s="5" t="s">
        <v>77</v>
      </c>
      <c r="F917" s="5">
        <v>4414.0</v>
      </c>
      <c r="I917" s="5">
        <v>0.0</v>
      </c>
      <c r="J917" s="5">
        <v>179.0</v>
      </c>
      <c r="K917" s="4">
        <f t="shared" ref="K917:K920" si="24">SUM(F917:J917)</f>
        <v>4593</v>
      </c>
      <c r="L917" s="4">
        <f t="shared" ref="L917:L920" si="25">K917-N917</f>
        <v>0</v>
      </c>
      <c r="N917" s="5">
        <v>4593.0</v>
      </c>
      <c r="P917" s="3"/>
      <c r="Q917" s="3"/>
      <c r="R917" s="3"/>
      <c r="S917" s="3"/>
      <c r="T917" s="3"/>
      <c r="U917" s="3"/>
      <c r="V917" s="3"/>
      <c r="W917" s="3"/>
      <c r="X917" s="3"/>
      <c r="Y917" s="3"/>
      <c r="Z917" s="3"/>
      <c r="AA917" s="3"/>
      <c r="AB917" s="3"/>
      <c r="AC917" s="3"/>
      <c r="AD917" s="3"/>
      <c r="AE917" s="3"/>
      <c r="AF917" s="3"/>
      <c r="AG917" s="3"/>
    </row>
    <row r="918">
      <c r="A918" s="2">
        <v>2019.0</v>
      </c>
      <c r="B918" s="1" t="s">
        <v>26</v>
      </c>
      <c r="F918" s="5">
        <v>252103.0</v>
      </c>
      <c r="I918" s="5">
        <v>297930.0</v>
      </c>
      <c r="J918" s="5">
        <v>4908.0</v>
      </c>
      <c r="K918" s="4">
        <f t="shared" si="24"/>
        <v>554941</v>
      </c>
      <c r="L918" s="4">
        <f t="shared" si="25"/>
        <v>241140</v>
      </c>
      <c r="N918" s="5">
        <v>313801.0</v>
      </c>
      <c r="P918" s="3"/>
      <c r="Q918" s="3"/>
      <c r="R918" s="3"/>
      <c r="S918" s="3"/>
      <c r="T918" s="3"/>
      <c r="U918" s="3"/>
      <c r="V918" s="3"/>
      <c r="W918" s="3"/>
      <c r="X918" s="3"/>
      <c r="Y918" s="3"/>
      <c r="Z918" s="3"/>
      <c r="AA918" s="3"/>
      <c r="AB918" s="3"/>
      <c r="AC918" s="3"/>
      <c r="AD918" s="3"/>
      <c r="AE918" s="3"/>
      <c r="AF918" s="3"/>
      <c r="AG918" s="3"/>
    </row>
    <row r="919">
      <c r="A919" s="2">
        <v>2019.0</v>
      </c>
      <c r="B919" s="1" t="s">
        <v>26</v>
      </c>
      <c r="F919" s="5">
        <v>101108.0</v>
      </c>
      <c r="I919" s="5">
        <v>511433.0</v>
      </c>
      <c r="J919" s="5">
        <v>2677.0</v>
      </c>
      <c r="K919" s="4">
        <f t="shared" si="24"/>
        <v>615218</v>
      </c>
      <c r="L919" s="4">
        <f t="shared" si="25"/>
        <v>607856</v>
      </c>
      <c r="N919" s="5">
        <v>7362.0</v>
      </c>
      <c r="P919" s="3"/>
      <c r="Q919" s="3"/>
      <c r="R919" s="3"/>
      <c r="S919" s="3"/>
      <c r="T919" s="3"/>
      <c r="U919" s="3"/>
      <c r="V919" s="3"/>
      <c r="W919" s="3"/>
      <c r="X919" s="3"/>
      <c r="Y919" s="3"/>
      <c r="Z919" s="3"/>
      <c r="AA919" s="3"/>
      <c r="AB919" s="3"/>
      <c r="AC919" s="3"/>
      <c r="AD919" s="3"/>
      <c r="AE919" s="3"/>
      <c r="AF919" s="3"/>
      <c r="AG919" s="3"/>
    </row>
    <row r="920">
      <c r="A920" s="2">
        <v>2019.0</v>
      </c>
      <c r="B920" s="1" t="s">
        <v>26</v>
      </c>
      <c r="F920" s="5">
        <v>29973.0</v>
      </c>
      <c r="I920" s="5">
        <v>18457.0</v>
      </c>
      <c r="J920" s="5">
        <v>0.0</v>
      </c>
      <c r="K920" s="4">
        <f t="shared" si="24"/>
        <v>48430</v>
      </c>
      <c r="L920" s="4">
        <f t="shared" si="25"/>
        <v>0</v>
      </c>
      <c r="N920" s="5">
        <v>48430.0</v>
      </c>
      <c r="P920" s="3"/>
      <c r="Q920" s="3"/>
      <c r="R920" s="3"/>
      <c r="S920" s="3"/>
      <c r="T920" s="3"/>
      <c r="U920" s="3"/>
      <c r="V920" s="3"/>
      <c r="W920" s="3"/>
      <c r="X920" s="3"/>
      <c r="Y920" s="3"/>
      <c r="Z920" s="3"/>
      <c r="AA920" s="3"/>
      <c r="AB920" s="3"/>
      <c r="AC920" s="3"/>
      <c r="AD920" s="3"/>
      <c r="AE920" s="3"/>
      <c r="AF920" s="3"/>
      <c r="AG920" s="3"/>
    </row>
    <row r="921">
      <c r="A921" s="2">
        <v>2019.0</v>
      </c>
      <c r="B921" s="1" t="s">
        <v>26</v>
      </c>
      <c r="F921" s="5">
        <f>SUM(F918:F920)</f>
        <v>383184</v>
      </c>
      <c r="I921" s="5">
        <f t="shared" ref="I921:L921" si="26">SUM(I917:I920)</f>
        <v>827820</v>
      </c>
      <c r="J921" s="5">
        <f t="shared" si="26"/>
        <v>7764</v>
      </c>
      <c r="K921" s="4">
        <f t="shared" si="26"/>
        <v>1223182</v>
      </c>
      <c r="L921" s="4">
        <f t="shared" si="26"/>
        <v>848996</v>
      </c>
      <c r="N921" s="5">
        <f>SUM(N917:N920)</f>
        <v>374186</v>
      </c>
      <c r="P921" s="3"/>
      <c r="Q921" s="3"/>
      <c r="R921" s="3"/>
      <c r="S921" s="3"/>
      <c r="T921" s="3"/>
      <c r="U921" s="3"/>
      <c r="V921" s="3"/>
      <c r="W921" s="3"/>
      <c r="X921" s="3"/>
      <c r="Y921" s="3"/>
      <c r="Z921" s="3"/>
      <c r="AA921" s="3"/>
      <c r="AB921" s="3"/>
      <c r="AC921" s="3"/>
      <c r="AD921" s="3"/>
      <c r="AE921" s="3"/>
      <c r="AF921" s="3"/>
      <c r="AG921" s="3"/>
    </row>
    <row r="922">
      <c r="A922" s="2">
        <v>2019.0</v>
      </c>
      <c r="B922" s="1" t="s">
        <v>26</v>
      </c>
      <c r="D922" s="5" t="s">
        <v>84</v>
      </c>
      <c r="F922" s="5">
        <v>2146.0</v>
      </c>
      <c r="I922" s="5">
        <v>0.0</v>
      </c>
      <c r="J922" s="5">
        <v>87.0</v>
      </c>
      <c r="K922" s="4">
        <f t="shared" ref="K922:K924" si="27">SUM(F922:J922)</f>
        <v>2233</v>
      </c>
      <c r="L922" s="4">
        <f t="shared" ref="L922:L924" si="28">K922-N922</f>
        <v>0</v>
      </c>
      <c r="N922" s="5">
        <v>2233.0</v>
      </c>
      <c r="P922" s="3"/>
      <c r="Q922" s="3"/>
      <c r="R922" s="3"/>
      <c r="S922" s="3"/>
      <c r="T922" s="3"/>
      <c r="U922" s="3"/>
      <c r="V922" s="3"/>
      <c r="W922" s="3"/>
      <c r="X922" s="3"/>
      <c r="Y922" s="3"/>
      <c r="Z922" s="3"/>
      <c r="AA922" s="3"/>
      <c r="AB922" s="3"/>
      <c r="AC922" s="3"/>
      <c r="AD922" s="3"/>
      <c r="AE922" s="3"/>
      <c r="AF922" s="3"/>
      <c r="AG922" s="3"/>
    </row>
    <row r="923">
      <c r="A923" s="2">
        <v>2019.0</v>
      </c>
      <c r="B923" s="1" t="s">
        <v>26</v>
      </c>
      <c r="F923" s="5">
        <v>234945.0</v>
      </c>
      <c r="I923" s="5">
        <v>297930.0</v>
      </c>
      <c r="J923" s="5">
        <v>5880.0</v>
      </c>
      <c r="K923" s="4">
        <f t="shared" si="27"/>
        <v>538755</v>
      </c>
      <c r="L923" s="4">
        <f t="shared" si="28"/>
        <v>520133</v>
      </c>
      <c r="N923" s="5">
        <v>18622.0</v>
      </c>
      <c r="P923" s="3"/>
      <c r="Q923" s="3"/>
      <c r="R923" s="3"/>
      <c r="S923" s="3"/>
      <c r="T923" s="3"/>
      <c r="U923" s="3"/>
      <c r="V923" s="3"/>
      <c r="W923" s="3"/>
      <c r="X923" s="3"/>
      <c r="Y923" s="3"/>
      <c r="Z923" s="3"/>
      <c r="AA923" s="3"/>
      <c r="AB923" s="3"/>
      <c r="AC923" s="3"/>
      <c r="AD923" s="3"/>
      <c r="AE923" s="3"/>
      <c r="AF923" s="3"/>
      <c r="AG923" s="3"/>
    </row>
    <row r="924">
      <c r="A924" s="2">
        <v>2019.0</v>
      </c>
      <c r="B924" s="1" t="s">
        <v>26</v>
      </c>
      <c r="F924" s="5">
        <v>138355.0</v>
      </c>
      <c r="I924" s="5">
        <v>808520.0</v>
      </c>
      <c r="J924" s="5">
        <v>8070.0</v>
      </c>
      <c r="K924" s="4">
        <f t="shared" si="27"/>
        <v>954945</v>
      </c>
      <c r="L924" s="4">
        <f t="shared" si="28"/>
        <v>561809</v>
      </c>
      <c r="N924" s="5">
        <v>393136.0</v>
      </c>
      <c r="P924" s="3"/>
      <c r="Q924" s="3"/>
      <c r="R924" s="3"/>
      <c r="S924" s="3"/>
      <c r="T924" s="3"/>
      <c r="U924" s="3"/>
      <c r="V924" s="3"/>
      <c r="W924" s="3"/>
      <c r="X924" s="3"/>
      <c r="Y924" s="3"/>
      <c r="Z924" s="3"/>
      <c r="AA924" s="3"/>
      <c r="AB924" s="3"/>
      <c r="AC924" s="3"/>
      <c r="AD924" s="3"/>
      <c r="AE924" s="3"/>
      <c r="AF924" s="3"/>
      <c r="AG924" s="3"/>
    </row>
    <row r="925">
      <c r="A925" s="2">
        <v>2019.0</v>
      </c>
      <c r="B925" s="1" t="s">
        <v>26</v>
      </c>
      <c r="F925" s="5">
        <f>SUM(F922:F924)</f>
        <v>375446</v>
      </c>
      <c r="I925" s="5">
        <f t="shared" ref="I925:L925" si="29">SUM(I922:I924)</f>
        <v>1106450</v>
      </c>
      <c r="J925" s="5">
        <f t="shared" si="29"/>
        <v>14037</v>
      </c>
      <c r="K925" s="4">
        <f t="shared" si="29"/>
        <v>1495933</v>
      </c>
      <c r="L925" s="4">
        <f t="shared" si="29"/>
        <v>1081942</v>
      </c>
      <c r="N925" s="5">
        <f>SUM(N922:N924)</f>
        <v>413991</v>
      </c>
      <c r="P925" s="3"/>
      <c r="Q925" s="3"/>
      <c r="R925" s="3"/>
      <c r="S925" s="3"/>
      <c r="T925" s="3"/>
      <c r="U925" s="3"/>
      <c r="V925" s="3"/>
      <c r="W925" s="3"/>
      <c r="X925" s="3"/>
      <c r="Y925" s="3"/>
      <c r="Z925" s="3"/>
      <c r="AA925" s="3"/>
      <c r="AB925" s="3"/>
      <c r="AC925" s="3"/>
      <c r="AD925" s="3"/>
      <c r="AE925" s="3"/>
      <c r="AF925" s="3"/>
      <c r="AG925" s="3"/>
    </row>
    <row r="926">
      <c r="A926" s="2">
        <v>2019.0</v>
      </c>
      <c r="B926" s="1" t="s">
        <v>26</v>
      </c>
      <c r="D926" s="5" t="s">
        <v>89</v>
      </c>
      <c r="F926" s="5">
        <v>1273.0</v>
      </c>
      <c r="J926" s="5">
        <v>240.0</v>
      </c>
      <c r="K926" s="4">
        <f t="shared" ref="K926:K929" si="30">SUM(F926:J926)</f>
        <v>1513</v>
      </c>
      <c r="L926" s="4">
        <f t="shared" ref="L926:L929" si="31">K926-N926</f>
        <v>1200</v>
      </c>
      <c r="N926" s="5">
        <v>313.0</v>
      </c>
      <c r="P926" s="3"/>
      <c r="Q926" s="3"/>
      <c r="R926" s="3"/>
      <c r="S926" s="3"/>
      <c r="T926" s="3"/>
      <c r="U926" s="3"/>
      <c r="V926" s="3"/>
      <c r="W926" s="3"/>
      <c r="X926" s="3"/>
      <c r="Y926" s="3"/>
      <c r="Z926" s="3"/>
      <c r="AA926" s="3"/>
      <c r="AB926" s="3"/>
      <c r="AC926" s="3"/>
      <c r="AD926" s="3"/>
      <c r="AE926" s="3"/>
      <c r="AF926" s="3"/>
      <c r="AG926" s="3"/>
    </row>
    <row r="927">
      <c r="A927" s="2">
        <v>2019.0</v>
      </c>
      <c r="B927" s="1" t="s">
        <v>26</v>
      </c>
      <c r="F927" s="5">
        <v>135049.0</v>
      </c>
      <c r="I927" s="5">
        <v>297930.0</v>
      </c>
      <c r="J927" s="4">
        <v>3576.0</v>
      </c>
      <c r="K927" s="4">
        <f t="shared" si="30"/>
        <v>436555</v>
      </c>
      <c r="L927" s="4">
        <f t="shared" si="31"/>
        <v>384209</v>
      </c>
      <c r="N927" s="4">
        <v>52346.0</v>
      </c>
      <c r="P927" s="3"/>
      <c r="Q927" s="3"/>
      <c r="R927" s="3"/>
      <c r="S927" s="3"/>
      <c r="T927" s="3"/>
      <c r="U927" s="3"/>
      <c r="V927" s="3"/>
      <c r="W927" s="3"/>
      <c r="X927" s="3"/>
      <c r="Y927" s="3"/>
      <c r="Z927" s="3"/>
      <c r="AA927" s="3"/>
      <c r="AB927" s="3"/>
      <c r="AC927" s="3"/>
      <c r="AD927" s="3"/>
      <c r="AE927" s="3"/>
      <c r="AF927" s="3"/>
      <c r="AG927" s="3"/>
    </row>
    <row r="928">
      <c r="A928" s="2">
        <v>2019.0</v>
      </c>
      <c r="B928" s="1" t="s">
        <v>26</v>
      </c>
      <c r="F928" s="4">
        <v>64494.0</v>
      </c>
      <c r="I928" s="5">
        <v>808520.0</v>
      </c>
      <c r="J928" s="4">
        <v>2081.0</v>
      </c>
      <c r="K928" s="4">
        <f t="shared" si="30"/>
        <v>875095</v>
      </c>
      <c r="L928" s="4">
        <f t="shared" si="31"/>
        <v>569740</v>
      </c>
      <c r="N928" s="5">
        <v>305355.0</v>
      </c>
      <c r="P928" s="3"/>
      <c r="Q928" s="3"/>
      <c r="R928" s="3"/>
      <c r="S928" s="3"/>
      <c r="T928" s="3"/>
      <c r="U928" s="3"/>
      <c r="V928" s="3"/>
      <c r="W928" s="3"/>
      <c r="X928" s="3"/>
      <c r="Y928" s="3"/>
      <c r="Z928" s="3"/>
      <c r="AA928" s="3"/>
      <c r="AB928" s="3"/>
      <c r="AC928" s="3"/>
      <c r="AD928" s="3"/>
      <c r="AE928" s="3"/>
      <c r="AF928" s="3"/>
      <c r="AG928" s="3"/>
    </row>
    <row r="929">
      <c r="A929" s="2">
        <v>2019.0</v>
      </c>
      <c r="B929" s="1" t="s">
        <v>26</v>
      </c>
      <c r="F929" s="4">
        <v>21218.0</v>
      </c>
      <c r="I929" s="4">
        <v>29838.0</v>
      </c>
      <c r="J929" s="4">
        <v>1054.0</v>
      </c>
      <c r="K929" s="4">
        <f t="shared" si="30"/>
        <v>52110</v>
      </c>
      <c r="L929" s="4">
        <f t="shared" si="31"/>
        <v>27500</v>
      </c>
      <c r="N929" s="4">
        <v>24610.0</v>
      </c>
      <c r="P929" s="3"/>
      <c r="Q929" s="3"/>
      <c r="R929" s="3"/>
      <c r="S929" s="3"/>
      <c r="T929" s="3"/>
      <c r="U929" s="3"/>
      <c r="V929" s="3"/>
      <c r="W929" s="3"/>
      <c r="X929" s="3"/>
      <c r="Y929" s="3"/>
      <c r="Z929" s="3"/>
      <c r="AA929" s="3"/>
      <c r="AB929" s="3"/>
      <c r="AC929" s="3"/>
      <c r="AD929" s="3"/>
      <c r="AE929" s="3"/>
      <c r="AF929" s="3"/>
      <c r="AG929" s="3"/>
    </row>
    <row r="930">
      <c r="A930" s="2">
        <v>2019.0</v>
      </c>
      <c r="B930" s="1" t="s">
        <v>26</v>
      </c>
      <c r="F930" s="4">
        <f>SUM(F926:F929)</f>
        <v>222034</v>
      </c>
      <c r="I930" s="4">
        <f t="shared" ref="I930:L930" si="32">SUM(I926:I929)</f>
        <v>1136288</v>
      </c>
      <c r="J930" s="4">
        <f t="shared" si="32"/>
        <v>6951</v>
      </c>
      <c r="K930" s="4">
        <f t="shared" si="32"/>
        <v>1365273</v>
      </c>
      <c r="L930" s="4">
        <f t="shared" si="32"/>
        <v>982649</v>
      </c>
      <c r="N930" s="4">
        <f>SUM(N926:N929)</f>
        <v>382624</v>
      </c>
      <c r="P930" s="3"/>
      <c r="Q930" s="3"/>
      <c r="R930" s="3"/>
      <c r="S930" s="3"/>
      <c r="T930" s="3"/>
      <c r="U930" s="3"/>
      <c r="V930" s="3"/>
      <c r="W930" s="3"/>
      <c r="X930" s="3"/>
      <c r="Y930" s="3"/>
      <c r="Z930" s="3"/>
      <c r="AA930" s="3"/>
      <c r="AB930" s="3"/>
      <c r="AC930" s="3"/>
      <c r="AD930" s="3"/>
      <c r="AE930" s="3"/>
      <c r="AF930" s="3"/>
      <c r="AG930" s="3"/>
    </row>
    <row r="931">
      <c r="A931" s="2">
        <v>2019.0</v>
      </c>
      <c r="B931" s="1" t="s">
        <v>26</v>
      </c>
      <c r="D931" s="5" t="s">
        <v>101</v>
      </c>
      <c r="F931" s="5">
        <v>130415.0</v>
      </c>
      <c r="I931" s="5">
        <v>505005.0</v>
      </c>
      <c r="J931" s="5">
        <v>1480.0</v>
      </c>
      <c r="K931" s="4">
        <f t="shared" ref="K931:K933" si="33">SUM(F931:J931)</f>
        <v>636900</v>
      </c>
      <c r="L931" s="4">
        <f t="shared" ref="L931:L933" si="34">K931-N931</f>
        <v>635463</v>
      </c>
      <c r="N931" s="5">
        <v>1437.0</v>
      </c>
      <c r="P931" s="3"/>
      <c r="Q931" s="3"/>
      <c r="R931" s="3"/>
      <c r="S931" s="3"/>
      <c r="T931" s="3"/>
      <c r="U931" s="3"/>
      <c r="V931" s="3"/>
      <c r="W931" s="3"/>
      <c r="X931" s="3"/>
      <c r="Y931" s="3"/>
      <c r="Z931" s="3"/>
      <c r="AA931" s="3"/>
      <c r="AB931" s="3"/>
      <c r="AC931" s="3"/>
      <c r="AD931" s="3"/>
      <c r="AE931" s="3"/>
      <c r="AF931" s="3"/>
      <c r="AG931" s="3"/>
    </row>
    <row r="932">
      <c r="A932" s="2">
        <v>2019.0</v>
      </c>
      <c r="B932" s="1" t="s">
        <v>26</v>
      </c>
      <c r="F932" s="5">
        <v>7029.0</v>
      </c>
      <c r="I932" s="5">
        <v>300141.0</v>
      </c>
      <c r="J932" s="5">
        <v>2211.0</v>
      </c>
      <c r="K932" s="4">
        <f t="shared" si="33"/>
        <v>309381</v>
      </c>
      <c r="L932" s="4">
        <f t="shared" si="34"/>
        <v>299679</v>
      </c>
      <c r="N932" s="5">
        <v>9702.0</v>
      </c>
      <c r="P932" s="3"/>
      <c r="Q932" s="3"/>
      <c r="R932" s="3"/>
      <c r="S932" s="3"/>
      <c r="T932" s="3"/>
      <c r="U932" s="3"/>
      <c r="V932" s="3"/>
      <c r="W932" s="3"/>
      <c r="X932" s="3"/>
      <c r="Y932" s="3"/>
      <c r="Z932" s="3"/>
      <c r="AA932" s="3"/>
      <c r="AB932" s="3"/>
      <c r="AC932" s="3"/>
      <c r="AD932" s="3"/>
      <c r="AE932" s="3"/>
      <c r="AF932" s="3"/>
      <c r="AG932" s="3"/>
    </row>
    <row r="933">
      <c r="A933" s="2">
        <v>2019.0</v>
      </c>
      <c r="B933" s="1" t="s">
        <v>26</v>
      </c>
      <c r="F933" s="5">
        <v>232022.0</v>
      </c>
      <c r="I933" s="5">
        <v>60223.0</v>
      </c>
      <c r="J933" s="5">
        <v>0.0</v>
      </c>
      <c r="K933" s="4">
        <f t="shared" si="33"/>
        <v>292245</v>
      </c>
      <c r="L933" s="4">
        <f t="shared" si="34"/>
        <v>0</v>
      </c>
      <c r="N933" s="5">
        <v>292245.0</v>
      </c>
      <c r="P933" s="3"/>
      <c r="Q933" s="3"/>
      <c r="R933" s="3"/>
      <c r="S933" s="3"/>
      <c r="T933" s="3"/>
      <c r="U933" s="3"/>
      <c r="V933" s="3"/>
      <c r="W933" s="3"/>
      <c r="X933" s="3"/>
      <c r="Y933" s="3"/>
      <c r="Z933" s="3"/>
      <c r="AA933" s="3"/>
      <c r="AB933" s="3"/>
      <c r="AC933" s="3"/>
      <c r="AD933" s="3"/>
      <c r="AE933" s="3"/>
      <c r="AF933" s="3"/>
      <c r="AG933" s="3"/>
    </row>
    <row r="934">
      <c r="A934" s="2">
        <v>2019.0</v>
      </c>
      <c r="B934" s="1" t="s">
        <v>26</v>
      </c>
      <c r="F934" s="5">
        <f>SUM(F931:F933)</f>
        <v>369466</v>
      </c>
      <c r="I934" s="5">
        <f t="shared" ref="I934:L934" si="35">SUM(I931:I933)</f>
        <v>865369</v>
      </c>
      <c r="J934" s="5">
        <f t="shared" si="35"/>
        <v>3691</v>
      </c>
      <c r="K934" s="4">
        <f t="shared" si="35"/>
        <v>1238526</v>
      </c>
      <c r="L934" s="4">
        <f t="shared" si="35"/>
        <v>935142</v>
      </c>
      <c r="N934" s="5">
        <f>SUM(N931:N933)</f>
        <v>303384</v>
      </c>
      <c r="P934" s="3"/>
      <c r="Q934" s="3"/>
      <c r="R934" s="3"/>
      <c r="S934" s="3"/>
      <c r="T934" s="3"/>
      <c r="U934" s="3"/>
      <c r="V934" s="3"/>
      <c r="W934" s="3"/>
      <c r="X934" s="3"/>
      <c r="Y934" s="3"/>
      <c r="Z934" s="3"/>
      <c r="AA934" s="3"/>
      <c r="AB934" s="3"/>
      <c r="AC934" s="3"/>
      <c r="AD934" s="3"/>
      <c r="AE934" s="3"/>
      <c r="AF934" s="3"/>
      <c r="AG934" s="3"/>
    </row>
    <row r="935">
      <c r="A935" s="2">
        <v>2019.0</v>
      </c>
      <c r="B935" s="1" t="s">
        <v>26</v>
      </c>
      <c r="D935" s="5" t="s">
        <v>107</v>
      </c>
      <c r="F935" s="5">
        <v>28106.0</v>
      </c>
      <c r="I935" s="5">
        <v>50000.0</v>
      </c>
      <c r="J935" s="5">
        <v>457.0</v>
      </c>
      <c r="K935" s="4">
        <f t="shared" ref="K935:K939" si="36">SUM(F935:J935)</f>
        <v>78563</v>
      </c>
      <c r="L935" s="4">
        <f t="shared" ref="L935:L939" si="37">K935-N935</f>
        <v>74756</v>
      </c>
      <c r="N935" s="5">
        <v>3807.0</v>
      </c>
      <c r="P935" s="3"/>
      <c r="Q935" s="3"/>
      <c r="R935" s="3"/>
      <c r="S935" s="3"/>
      <c r="T935" s="3"/>
      <c r="U935" s="3"/>
      <c r="V935" s="3"/>
      <c r="W935" s="3"/>
      <c r="X935" s="3"/>
      <c r="Y935" s="3"/>
      <c r="Z935" s="3"/>
      <c r="AA935" s="3"/>
      <c r="AB935" s="3"/>
      <c r="AC935" s="3"/>
      <c r="AD935" s="3"/>
      <c r="AE935" s="3"/>
      <c r="AF935" s="3"/>
      <c r="AG935" s="3"/>
    </row>
    <row r="936">
      <c r="A936" s="2">
        <v>2019.0</v>
      </c>
      <c r="B936" s="1" t="s">
        <v>26</v>
      </c>
      <c r="F936" s="5">
        <v>500.0</v>
      </c>
      <c r="I936" s="5">
        <v>621780.0</v>
      </c>
      <c r="J936" s="5">
        <v>4052.0</v>
      </c>
      <c r="K936" s="4">
        <f t="shared" si="36"/>
        <v>626332</v>
      </c>
      <c r="L936" s="4">
        <f t="shared" si="37"/>
        <v>420357</v>
      </c>
      <c r="N936" s="5">
        <v>205975.0</v>
      </c>
      <c r="P936" s="3"/>
      <c r="Q936" s="3"/>
      <c r="R936" s="3"/>
      <c r="S936" s="3"/>
      <c r="T936" s="3"/>
      <c r="U936" s="3"/>
      <c r="V936" s="3"/>
      <c r="W936" s="3"/>
      <c r="X936" s="3"/>
      <c r="Y936" s="3"/>
      <c r="Z936" s="3"/>
      <c r="AA936" s="3"/>
      <c r="AB936" s="3"/>
      <c r="AC936" s="3"/>
      <c r="AD936" s="3"/>
      <c r="AE936" s="3"/>
      <c r="AF936" s="3"/>
      <c r="AG936" s="3"/>
    </row>
    <row r="937">
      <c r="A937" s="2">
        <v>2019.0</v>
      </c>
      <c r="B937" s="1" t="s">
        <v>26</v>
      </c>
      <c r="F937" s="5">
        <v>435145.0</v>
      </c>
      <c r="I937" s="5">
        <v>715355.0</v>
      </c>
      <c r="J937" s="5">
        <v>13884.0</v>
      </c>
      <c r="K937" s="4">
        <f t="shared" si="36"/>
        <v>1164384</v>
      </c>
      <c r="L937" s="4">
        <f t="shared" si="37"/>
        <v>365036</v>
      </c>
      <c r="N937" s="5">
        <v>799348.0</v>
      </c>
      <c r="P937" s="3"/>
      <c r="Q937" s="3"/>
      <c r="R937" s="3"/>
      <c r="S937" s="3"/>
      <c r="T937" s="3"/>
      <c r="U937" s="3"/>
      <c r="V937" s="3"/>
      <c r="W937" s="3"/>
      <c r="X937" s="3"/>
      <c r="Y937" s="3"/>
      <c r="Z937" s="3"/>
      <c r="AA937" s="3"/>
      <c r="AB937" s="3"/>
      <c r="AC937" s="3"/>
      <c r="AD937" s="3"/>
      <c r="AE937" s="3"/>
      <c r="AF937" s="3"/>
      <c r="AG937" s="3"/>
    </row>
    <row r="938">
      <c r="A938" s="2">
        <v>2019.0</v>
      </c>
      <c r="B938" s="1" t="s">
        <v>26</v>
      </c>
      <c r="F938" s="5">
        <v>29710.0</v>
      </c>
      <c r="I938" s="5">
        <v>126165.0</v>
      </c>
      <c r="J938" s="5">
        <v>2241.0</v>
      </c>
      <c r="K938" s="4">
        <f t="shared" si="36"/>
        <v>158116</v>
      </c>
      <c r="L938" s="4">
        <f t="shared" si="37"/>
        <v>112581</v>
      </c>
      <c r="N938" s="5">
        <v>45535.0</v>
      </c>
      <c r="P938" s="3"/>
      <c r="Q938" s="3"/>
      <c r="R938" s="3"/>
      <c r="S938" s="3"/>
      <c r="T938" s="3"/>
      <c r="U938" s="3"/>
      <c r="V938" s="3"/>
      <c r="W938" s="3"/>
      <c r="X938" s="3"/>
      <c r="Y938" s="3"/>
      <c r="Z938" s="3"/>
      <c r="AA938" s="3"/>
      <c r="AB938" s="3"/>
      <c r="AC938" s="3"/>
      <c r="AD938" s="3"/>
      <c r="AE938" s="3"/>
      <c r="AF938" s="3"/>
      <c r="AG938" s="3"/>
    </row>
    <row r="939">
      <c r="A939" s="2">
        <v>2019.0</v>
      </c>
      <c r="B939" s="1" t="s">
        <v>26</v>
      </c>
      <c r="F939" s="5">
        <v>46661.0</v>
      </c>
      <c r="I939" s="5">
        <v>33293.0</v>
      </c>
      <c r="J939" s="5">
        <v>0.0</v>
      </c>
      <c r="K939" s="4">
        <f t="shared" si="36"/>
        <v>79954</v>
      </c>
      <c r="L939" s="4">
        <f t="shared" si="37"/>
        <v>0</v>
      </c>
      <c r="N939" s="5">
        <v>79954.0</v>
      </c>
      <c r="P939" s="3"/>
      <c r="Q939" s="3"/>
      <c r="R939" s="3"/>
      <c r="S939" s="3"/>
      <c r="T939" s="3"/>
      <c r="U939" s="3"/>
      <c r="V939" s="3"/>
      <c r="W939" s="3"/>
      <c r="X939" s="3"/>
      <c r="Y939" s="3"/>
      <c r="Z939" s="3"/>
      <c r="AA939" s="3"/>
      <c r="AB939" s="3"/>
      <c r="AC939" s="3"/>
      <c r="AD939" s="3"/>
      <c r="AE939" s="3"/>
      <c r="AF939" s="3"/>
      <c r="AG939" s="3"/>
    </row>
    <row r="940">
      <c r="A940" s="2">
        <v>2019.0</v>
      </c>
      <c r="B940" s="1" t="s">
        <v>26</v>
      </c>
      <c r="F940" s="5">
        <f>SUM(F935:F939)</f>
        <v>540122</v>
      </c>
      <c r="I940" s="5">
        <f t="shared" ref="I940:L940" si="38">SUM(I935:I939)</f>
        <v>1546593</v>
      </c>
      <c r="J940" s="5">
        <f t="shared" si="38"/>
        <v>20634</v>
      </c>
      <c r="K940" s="4">
        <f t="shared" si="38"/>
        <v>2107349</v>
      </c>
      <c r="L940" s="4">
        <f t="shared" si="38"/>
        <v>972730</v>
      </c>
      <c r="N940" s="5">
        <f>SUM(N935:N939)</f>
        <v>1134619</v>
      </c>
      <c r="P940" s="3"/>
      <c r="Q940" s="3"/>
      <c r="R940" s="3"/>
      <c r="S940" s="3"/>
      <c r="T940" s="3"/>
      <c r="U940" s="3"/>
      <c r="V940" s="3"/>
      <c r="W940" s="3"/>
      <c r="X940" s="3"/>
      <c r="Y940" s="3"/>
      <c r="Z940" s="3"/>
      <c r="AA940" s="3"/>
      <c r="AB940" s="3"/>
      <c r="AC940" s="3"/>
      <c r="AD940" s="3"/>
      <c r="AE940" s="3"/>
      <c r="AF940" s="3"/>
      <c r="AG940" s="3"/>
    </row>
    <row r="941">
      <c r="A941" s="2">
        <v>2019.0</v>
      </c>
      <c r="B941" s="1" t="s">
        <v>26</v>
      </c>
      <c r="D941" s="5" t="s">
        <v>111</v>
      </c>
      <c r="F941" s="5">
        <v>254667.0</v>
      </c>
      <c r="I941" s="5">
        <v>1152920.0</v>
      </c>
      <c r="J941" s="5">
        <v>19052.0</v>
      </c>
      <c r="K941" s="4">
        <f t="shared" ref="K941:K942" si="39">SUM(F941:J941)</f>
        <v>1426639</v>
      </c>
      <c r="L941" s="4">
        <f t="shared" ref="L941:L942" si="40">K941-N941</f>
        <v>601436</v>
      </c>
      <c r="N941" s="5">
        <v>825203.0</v>
      </c>
      <c r="P941" s="3"/>
      <c r="Q941" s="3"/>
      <c r="R941" s="3"/>
      <c r="S941" s="3"/>
      <c r="T941" s="3"/>
      <c r="U941" s="3"/>
      <c r="V941" s="3"/>
      <c r="W941" s="3"/>
      <c r="X941" s="3"/>
      <c r="Y941" s="3"/>
      <c r="Z941" s="3"/>
      <c r="AA941" s="3"/>
      <c r="AB941" s="3"/>
      <c r="AC941" s="3"/>
      <c r="AD941" s="3"/>
      <c r="AE941" s="3"/>
      <c r="AF941" s="3"/>
      <c r="AG941" s="3"/>
    </row>
    <row r="942">
      <c r="A942" s="2">
        <v>2019.0</v>
      </c>
      <c r="B942" s="1" t="s">
        <v>26</v>
      </c>
      <c r="F942" s="5">
        <v>84989.0</v>
      </c>
      <c r="I942" s="5">
        <v>74806.0</v>
      </c>
      <c r="J942" s="5">
        <v>4968.0</v>
      </c>
      <c r="K942" s="4">
        <f t="shared" si="39"/>
        <v>164763</v>
      </c>
      <c r="L942" s="4">
        <f t="shared" si="40"/>
        <v>6600</v>
      </c>
      <c r="N942" s="5">
        <v>158163.0</v>
      </c>
      <c r="P942" s="3"/>
      <c r="Q942" s="3"/>
      <c r="R942" s="3"/>
      <c r="S942" s="3"/>
      <c r="T942" s="3"/>
      <c r="U942" s="3"/>
      <c r="V942" s="3"/>
      <c r="W942" s="3"/>
      <c r="X942" s="3"/>
      <c r="Y942" s="3"/>
      <c r="Z942" s="3"/>
      <c r="AA942" s="3"/>
      <c r="AB942" s="3"/>
      <c r="AC942" s="3"/>
      <c r="AD942" s="3"/>
      <c r="AE942" s="3"/>
      <c r="AF942" s="3"/>
      <c r="AG942" s="3"/>
    </row>
    <row r="943">
      <c r="A943" s="2">
        <v>2019.0</v>
      </c>
      <c r="B943" s="1" t="s">
        <v>26</v>
      </c>
      <c r="F943" s="5">
        <f>SUM(F941:F942)</f>
        <v>339656</v>
      </c>
      <c r="I943" s="5">
        <f t="shared" ref="I943:L943" si="41">SUM(I941:I942)</f>
        <v>1227726</v>
      </c>
      <c r="J943" s="5">
        <f t="shared" si="41"/>
        <v>24020</v>
      </c>
      <c r="K943" s="4">
        <f t="shared" si="41"/>
        <v>1591402</v>
      </c>
      <c r="L943" s="4">
        <f t="shared" si="41"/>
        <v>608036</v>
      </c>
      <c r="N943" s="5">
        <f>SUM(N941:N942)</f>
        <v>983366</v>
      </c>
      <c r="P943" s="3"/>
      <c r="Q943" s="3"/>
      <c r="R943" s="3"/>
      <c r="S943" s="3"/>
      <c r="T943" s="3"/>
      <c r="U943" s="3"/>
      <c r="V943" s="3"/>
      <c r="W943" s="3"/>
      <c r="X943" s="3"/>
      <c r="Y943" s="3"/>
      <c r="Z943" s="3"/>
      <c r="AA943" s="3"/>
      <c r="AB943" s="3"/>
      <c r="AC943" s="3"/>
      <c r="AD943" s="3"/>
      <c r="AE943" s="3"/>
      <c r="AF943" s="3"/>
      <c r="AG943" s="3"/>
    </row>
    <row r="944">
      <c r="A944" s="2">
        <v>2019.0</v>
      </c>
      <c r="B944" s="1" t="s">
        <v>26</v>
      </c>
      <c r="D944" s="5" t="s">
        <v>116</v>
      </c>
      <c r="F944" s="5">
        <v>188616.0</v>
      </c>
      <c r="I944" s="5">
        <v>99945.0</v>
      </c>
      <c r="J944" s="5">
        <v>2292.0</v>
      </c>
      <c r="K944" s="4">
        <f t="shared" ref="K944:K945" si="42">SUM(F944:J944)</f>
        <v>290853</v>
      </c>
      <c r="L944" s="4">
        <f t="shared" ref="L944:L945" si="43">K944-N944</f>
        <v>286912</v>
      </c>
      <c r="N944" s="5">
        <v>3941.0</v>
      </c>
      <c r="P944" s="3"/>
      <c r="Q944" s="3"/>
      <c r="R944" s="3"/>
      <c r="S944" s="3"/>
      <c r="T944" s="3"/>
      <c r="U944" s="3"/>
      <c r="V944" s="3"/>
      <c r="W944" s="3"/>
      <c r="X944" s="3"/>
      <c r="Y944" s="3"/>
      <c r="Z944" s="3"/>
      <c r="AA944" s="3"/>
      <c r="AB944" s="3"/>
      <c r="AC944" s="3"/>
      <c r="AD944" s="3"/>
      <c r="AE944" s="3"/>
      <c r="AF944" s="3"/>
      <c r="AG944" s="3"/>
    </row>
    <row r="945">
      <c r="A945" s="2">
        <v>2019.0</v>
      </c>
      <c r="B945" s="1" t="s">
        <v>26</v>
      </c>
      <c r="F945" s="5">
        <v>2722.0</v>
      </c>
      <c r="I945" s="5">
        <v>7070.0</v>
      </c>
      <c r="J945" s="5">
        <v>259.0</v>
      </c>
      <c r="K945" s="4">
        <f t="shared" si="42"/>
        <v>10051</v>
      </c>
      <c r="L945" s="4">
        <f t="shared" si="43"/>
        <v>8112</v>
      </c>
      <c r="N945" s="5">
        <v>1939.0</v>
      </c>
      <c r="P945" s="3"/>
      <c r="Q945" s="3"/>
      <c r="R945" s="3"/>
      <c r="S945" s="3"/>
      <c r="T945" s="3"/>
      <c r="U945" s="3"/>
      <c r="V945" s="3"/>
      <c r="W945" s="3"/>
      <c r="X945" s="3"/>
      <c r="Y945" s="3"/>
      <c r="Z945" s="3"/>
      <c r="AA945" s="3"/>
      <c r="AB945" s="3"/>
      <c r="AC945" s="3"/>
      <c r="AD945" s="3"/>
      <c r="AE945" s="3"/>
      <c r="AF945" s="3"/>
      <c r="AG945" s="3"/>
    </row>
    <row r="946">
      <c r="A946" s="2">
        <v>2019.0</v>
      </c>
      <c r="B946" s="1" t="s">
        <v>26</v>
      </c>
      <c r="F946" s="5">
        <f>SUM(F944:F945)</f>
        <v>191338</v>
      </c>
      <c r="I946" s="5">
        <f t="shared" ref="I946:L946" si="44">SUM(I944:I945)</f>
        <v>107015</v>
      </c>
      <c r="J946" s="5">
        <f t="shared" si="44"/>
        <v>2551</v>
      </c>
      <c r="K946" s="4">
        <f t="shared" si="44"/>
        <v>300904</v>
      </c>
      <c r="L946" s="4">
        <f t="shared" si="44"/>
        <v>295024</v>
      </c>
      <c r="N946" s="5">
        <f>SUM(N944:N945)</f>
        <v>5880</v>
      </c>
      <c r="P946" s="3"/>
      <c r="Q946" s="3"/>
      <c r="R946" s="3"/>
      <c r="S946" s="3"/>
      <c r="T946" s="3"/>
      <c r="U946" s="3"/>
      <c r="V946" s="3"/>
      <c r="W946" s="3"/>
      <c r="X946" s="3"/>
      <c r="Y946" s="3"/>
      <c r="Z946" s="3"/>
      <c r="AA946" s="3"/>
      <c r="AB946" s="3"/>
      <c r="AC946" s="3"/>
      <c r="AD946" s="3"/>
      <c r="AE946" s="3"/>
      <c r="AF946" s="3"/>
      <c r="AG946" s="3"/>
    </row>
    <row r="947">
      <c r="A947" s="2">
        <v>2019.0</v>
      </c>
      <c r="B947" s="1" t="s">
        <v>26</v>
      </c>
      <c r="D947" s="5" t="s">
        <v>121</v>
      </c>
      <c r="F947" s="5">
        <v>388545.0</v>
      </c>
      <c r="I947" s="5">
        <v>1103900.0</v>
      </c>
      <c r="J947" s="5">
        <v>13584.0</v>
      </c>
      <c r="K947" s="5">
        <f t="shared" ref="K947:K949" si="45">SUM(F947:J947)</f>
        <v>1506029</v>
      </c>
      <c r="L947" s="5">
        <v>888128.0</v>
      </c>
      <c r="N947" s="5">
        <f t="shared" ref="N947:N949" si="46">K947-L947</f>
        <v>617901</v>
      </c>
      <c r="P947" s="3"/>
      <c r="Q947" s="3"/>
      <c r="R947" s="3"/>
      <c r="S947" s="3"/>
      <c r="T947" s="3"/>
      <c r="U947" s="3"/>
      <c r="V947" s="3"/>
      <c r="W947" s="3"/>
      <c r="X947" s="3"/>
      <c r="Y947" s="3"/>
      <c r="Z947" s="3"/>
      <c r="AA947" s="3"/>
      <c r="AB947" s="3"/>
      <c r="AC947" s="3"/>
      <c r="AD947" s="3"/>
      <c r="AE947" s="3"/>
      <c r="AF947" s="3"/>
      <c r="AG947" s="3"/>
    </row>
    <row r="948">
      <c r="A948" s="2">
        <v>2019.0</v>
      </c>
      <c r="B948" s="1" t="s">
        <v>26</v>
      </c>
      <c r="F948" s="5">
        <v>1033.0</v>
      </c>
      <c r="I948" s="5">
        <v>94198.0</v>
      </c>
      <c r="J948" s="5">
        <v>1045.0</v>
      </c>
      <c r="K948" s="5">
        <f t="shared" si="45"/>
        <v>96276</v>
      </c>
      <c r="L948" s="5">
        <v>93541.0</v>
      </c>
      <c r="N948" s="5">
        <f t="shared" si="46"/>
        <v>2735</v>
      </c>
      <c r="P948" s="3"/>
      <c r="Q948" s="3"/>
      <c r="R948" s="3"/>
      <c r="S948" s="3"/>
      <c r="T948" s="3"/>
      <c r="U948" s="3"/>
      <c r="V948" s="3"/>
      <c r="W948" s="3"/>
      <c r="X948" s="3"/>
      <c r="Y948" s="3"/>
      <c r="Z948" s="3"/>
      <c r="AA948" s="3"/>
      <c r="AB948" s="3"/>
      <c r="AC948" s="3"/>
      <c r="AD948" s="3"/>
      <c r="AE948" s="3"/>
      <c r="AF948" s="3"/>
      <c r="AG948" s="3"/>
    </row>
    <row r="949">
      <c r="A949" s="2">
        <v>2019.0</v>
      </c>
      <c r="B949" s="1" t="s">
        <v>26</v>
      </c>
      <c r="F949" s="5">
        <v>91978.0</v>
      </c>
      <c r="I949" s="5">
        <v>131538.0</v>
      </c>
      <c r="J949" s="5">
        <v>3873.0</v>
      </c>
      <c r="K949" s="5">
        <f t="shared" si="45"/>
        <v>227389</v>
      </c>
      <c r="L949" s="5">
        <v>102151.0</v>
      </c>
      <c r="N949" s="5">
        <f t="shared" si="46"/>
        <v>125238</v>
      </c>
      <c r="P949" s="3"/>
      <c r="Q949" s="3"/>
      <c r="R949" s="3"/>
      <c r="S949" s="3"/>
      <c r="T949" s="3"/>
      <c r="U949" s="3"/>
      <c r="V949" s="3"/>
      <c r="W949" s="3"/>
      <c r="X949" s="3"/>
      <c r="Y949" s="3"/>
      <c r="Z949" s="3"/>
      <c r="AA949" s="3"/>
      <c r="AB949" s="3"/>
      <c r="AC949" s="3"/>
      <c r="AD949" s="3"/>
      <c r="AE949" s="3"/>
      <c r="AF949" s="3"/>
      <c r="AG949" s="3"/>
    </row>
    <row r="950">
      <c r="A950" s="2">
        <v>2019.0</v>
      </c>
      <c r="B950" s="1" t="s">
        <v>26</v>
      </c>
      <c r="F950" s="5">
        <f>SUM(F947:F949)</f>
        <v>481556</v>
      </c>
      <c r="I950" s="5">
        <f t="shared" ref="I950:L950" si="47">SUM(I947:I949)</f>
        <v>1329636</v>
      </c>
      <c r="J950" s="5">
        <f t="shared" si="47"/>
        <v>18502</v>
      </c>
      <c r="K950" s="5">
        <f t="shared" si="47"/>
        <v>1829694</v>
      </c>
      <c r="L950" s="5">
        <f t="shared" si="47"/>
        <v>1083820</v>
      </c>
      <c r="N950" s="5">
        <f>SUM(N947:N949)</f>
        <v>745874</v>
      </c>
      <c r="P950" s="3"/>
      <c r="Q950" s="3"/>
      <c r="R950" s="3"/>
      <c r="S950" s="3"/>
      <c r="T950" s="3"/>
      <c r="U950" s="3"/>
      <c r="V950" s="3"/>
      <c r="W950" s="3"/>
      <c r="X950" s="3"/>
      <c r="Y950" s="3"/>
      <c r="Z950" s="3"/>
      <c r="AA950" s="3"/>
      <c r="AB950" s="3"/>
      <c r="AC950" s="3"/>
      <c r="AD950" s="3"/>
      <c r="AE950" s="3"/>
      <c r="AF950" s="3"/>
      <c r="AG950" s="3"/>
    </row>
    <row r="951">
      <c r="A951" s="2">
        <v>2019.0</v>
      </c>
      <c r="B951" s="1" t="s">
        <v>26</v>
      </c>
      <c r="D951" s="5" t="s">
        <v>123</v>
      </c>
      <c r="F951" s="5">
        <v>337819.0</v>
      </c>
      <c r="I951" s="5">
        <v>411840.0</v>
      </c>
      <c r="J951" s="5">
        <v>6321.0</v>
      </c>
      <c r="K951" s="5">
        <f t="shared" ref="K951:K953" si="48">SUM(F951:J951)</f>
        <v>755980</v>
      </c>
      <c r="L951" s="5">
        <v>720908.0</v>
      </c>
      <c r="N951" s="5">
        <f t="shared" ref="N951:N953" si="49">K951-L951</f>
        <v>35072</v>
      </c>
      <c r="P951" s="3"/>
      <c r="Q951" s="3"/>
      <c r="R951" s="3"/>
      <c r="S951" s="3"/>
      <c r="T951" s="3"/>
      <c r="U951" s="3"/>
      <c r="V951" s="3"/>
      <c r="W951" s="3"/>
      <c r="X951" s="3"/>
      <c r="Y951" s="3"/>
      <c r="Z951" s="3"/>
      <c r="AA951" s="3"/>
      <c r="AB951" s="3"/>
      <c r="AC951" s="3"/>
      <c r="AD951" s="3"/>
      <c r="AE951" s="3"/>
      <c r="AF951" s="3"/>
      <c r="AG951" s="3"/>
    </row>
    <row r="952">
      <c r="A952" s="2">
        <v>2019.0</v>
      </c>
      <c r="B952" s="1" t="s">
        <v>26</v>
      </c>
      <c r="F952" s="5">
        <v>50636.0</v>
      </c>
      <c r="I952" s="5">
        <v>93165.0</v>
      </c>
      <c r="J952" s="5">
        <v>927.0</v>
      </c>
      <c r="K952" s="5">
        <f t="shared" si="48"/>
        <v>144728</v>
      </c>
      <c r="L952" s="5">
        <v>137765.0</v>
      </c>
      <c r="N952" s="5">
        <f t="shared" si="49"/>
        <v>6963</v>
      </c>
      <c r="P952" s="3"/>
      <c r="Q952" s="3"/>
      <c r="R952" s="3"/>
      <c r="S952" s="3"/>
      <c r="T952" s="3"/>
      <c r="U952" s="3"/>
      <c r="V952" s="3"/>
      <c r="W952" s="3"/>
      <c r="X952" s="3"/>
      <c r="Y952" s="3"/>
      <c r="Z952" s="3"/>
      <c r="AA952" s="3"/>
      <c r="AB952" s="3"/>
      <c r="AC952" s="3"/>
      <c r="AD952" s="3"/>
      <c r="AE952" s="3"/>
      <c r="AF952" s="3"/>
      <c r="AG952" s="3"/>
    </row>
    <row r="953">
      <c r="A953" s="2">
        <v>2019.0</v>
      </c>
      <c r="B953" s="1" t="s">
        <v>26</v>
      </c>
      <c r="F953" s="5">
        <v>25138.0</v>
      </c>
      <c r="I953" s="5">
        <v>33640.0</v>
      </c>
      <c r="J953" s="5">
        <v>1117.0</v>
      </c>
      <c r="K953" s="5">
        <f t="shared" si="48"/>
        <v>59895</v>
      </c>
      <c r="L953" s="5">
        <v>20337.0</v>
      </c>
      <c r="N953" s="5">
        <f t="shared" si="49"/>
        <v>39558</v>
      </c>
      <c r="P953" s="3"/>
      <c r="Q953" s="3"/>
      <c r="R953" s="3"/>
      <c r="S953" s="3"/>
      <c r="T953" s="3"/>
      <c r="U953" s="3"/>
      <c r="V953" s="3"/>
      <c r="W953" s="3"/>
      <c r="X953" s="3"/>
      <c r="Y953" s="3"/>
      <c r="Z953" s="3"/>
      <c r="AA953" s="3"/>
      <c r="AB953" s="3"/>
      <c r="AC953" s="3"/>
      <c r="AD953" s="3"/>
      <c r="AE953" s="3"/>
      <c r="AF953" s="3"/>
      <c r="AG953" s="3"/>
    </row>
    <row r="954">
      <c r="A954" s="2">
        <v>2019.0</v>
      </c>
      <c r="B954" s="1" t="s">
        <v>26</v>
      </c>
      <c r="F954" s="5">
        <f>SUM(F951:F953)</f>
        <v>413593</v>
      </c>
      <c r="I954" s="5">
        <f t="shared" ref="I954:L954" si="50">SUM(I951:I953)</f>
        <v>538645</v>
      </c>
      <c r="J954" s="5">
        <f t="shared" si="50"/>
        <v>8365</v>
      </c>
      <c r="K954" s="5">
        <f t="shared" si="50"/>
        <v>960603</v>
      </c>
      <c r="L954" s="5">
        <f t="shared" si="50"/>
        <v>879010</v>
      </c>
      <c r="N954" s="5">
        <f>SUM(N951:N953)</f>
        <v>81593</v>
      </c>
      <c r="P954" s="3"/>
      <c r="Q954" s="3"/>
      <c r="R954" s="3"/>
      <c r="S954" s="3"/>
      <c r="T954" s="3"/>
      <c r="U954" s="3"/>
      <c r="V954" s="3"/>
      <c r="W954" s="3"/>
      <c r="X954" s="3"/>
      <c r="Y954" s="3"/>
      <c r="Z954" s="3"/>
      <c r="AA954" s="3"/>
      <c r="AB954" s="3"/>
      <c r="AC954" s="3"/>
      <c r="AD954" s="3"/>
      <c r="AE954" s="3"/>
      <c r="AF954" s="3"/>
      <c r="AG954" s="3"/>
    </row>
    <row r="955">
      <c r="A955" s="2">
        <v>2019.0</v>
      </c>
      <c r="B955" s="1" t="s">
        <v>26</v>
      </c>
      <c r="D955" s="5" t="s">
        <v>125</v>
      </c>
      <c r="F955" s="5">
        <v>17410.0</v>
      </c>
      <c r="I955" s="5">
        <v>93165.0</v>
      </c>
      <c r="J955" s="5">
        <v>1235.0</v>
      </c>
      <c r="K955" s="5">
        <f t="shared" ref="K955:K957" si="51">SUM(F955:J955)</f>
        <v>111810</v>
      </c>
      <c r="L955" s="5">
        <v>93193.0</v>
      </c>
      <c r="N955" s="5">
        <f t="shared" ref="N955:N957" si="52">K955-L955</f>
        <v>18617</v>
      </c>
      <c r="P955" s="3"/>
      <c r="Q955" s="3"/>
      <c r="R955" s="3"/>
      <c r="S955" s="3"/>
      <c r="T955" s="3"/>
      <c r="U955" s="3"/>
      <c r="V955" s="3"/>
      <c r="W955" s="3"/>
      <c r="X955" s="3"/>
      <c r="Y955" s="3"/>
      <c r="Z955" s="3"/>
      <c r="AA955" s="3"/>
      <c r="AB955" s="3"/>
      <c r="AC955" s="3"/>
      <c r="AD955" s="3"/>
      <c r="AE955" s="3"/>
      <c r="AF955" s="3"/>
      <c r="AG955" s="3"/>
    </row>
    <row r="956">
      <c r="A956" s="2">
        <v>2019.0</v>
      </c>
      <c r="B956" s="1" t="s">
        <v>26</v>
      </c>
      <c r="F956" s="5">
        <v>500092.0</v>
      </c>
      <c r="I956" s="5">
        <v>715355.0</v>
      </c>
      <c r="J956" s="5">
        <v>17433.0</v>
      </c>
      <c r="K956" s="5">
        <f t="shared" si="51"/>
        <v>1232880</v>
      </c>
      <c r="L956" s="5">
        <v>634420.0</v>
      </c>
      <c r="N956" s="5">
        <f t="shared" si="52"/>
        <v>598460</v>
      </c>
      <c r="P956" s="3"/>
      <c r="Q956" s="3"/>
      <c r="R956" s="3"/>
      <c r="S956" s="3"/>
      <c r="T956" s="3"/>
      <c r="U956" s="3"/>
      <c r="V956" s="3"/>
      <c r="W956" s="3"/>
      <c r="X956" s="3"/>
      <c r="Y956" s="3"/>
      <c r="Z956" s="3"/>
      <c r="AA956" s="3"/>
      <c r="AB956" s="3"/>
      <c r="AC956" s="3"/>
      <c r="AD956" s="3"/>
      <c r="AE956" s="3"/>
      <c r="AF956" s="3"/>
      <c r="AG956" s="3"/>
    </row>
    <row r="957">
      <c r="A957" s="2">
        <v>2019.0</v>
      </c>
      <c r="B957" s="1" t="s">
        <v>26</v>
      </c>
      <c r="F957" s="5">
        <v>100455.0</v>
      </c>
      <c r="I957" s="5">
        <v>0.0</v>
      </c>
      <c r="J957" s="5">
        <v>3302.0</v>
      </c>
      <c r="K957" s="5">
        <f t="shared" si="51"/>
        <v>103757</v>
      </c>
      <c r="L957" s="5">
        <v>70256.0</v>
      </c>
      <c r="N957" s="5">
        <f t="shared" si="52"/>
        <v>33501</v>
      </c>
      <c r="P957" s="3"/>
      <c r="Q957" s="3"/>
      <c r="R957" s="3"/>
      <c r="S957" s="3"/>
      <c r="T957" s="3"/>
      <c r="U957" s="3"/>
      <c r="V957" s="3"/>
      <c r="W957" s="3"/>
      <c r="X957" s="3"/>
      <c r="Y957" s="3"/>
      <c r="Z957" s="3"/>
      <c r="AA957" s="3"/>
      <c r="AB957" s="3"/>
      <c r="AC957" s="3"/>
      <c r="AD957" s="3"/>
      <c r="AE957" s="3"/>
      <c r="AF957" s="3"/>
      <c r="AG957" s="3"/>
    </row>
    <row r="958">
      <c r="A958" s="2">
        <v>2019.0</v>
      </c>
      <c r="B958" s="1" t="s">
        <v>26</v>
      </c>
      <c r="F958" s="5" t="s">
        <v>1305</v>
      </c>
      <c r="P958" s="3"/>
      <c r="Q958" s="3"/>
      <c r="R958" s="3"/>
      <c r="S958" s="3"/>
      <c r="T958" s="3"/>
      <c r="U958" s="3"/>
      <c r="V958" s="3"/>
      <c r="W958" s="3"/>
      <c r="X958" s="3"/>
      <c r="Y958" s="3"/>
      <c r="Z958" s="3"/>
      <c r="AA958" s="3"/>
      <c r="AB958" s="3"/>
      <c r="AC958" s="3"/>
      <c r="AD958" s="3"/>
      <c r="AE958" s="3"/>
      <c r="AF958" s="3"/>
      <c r="AG958" s="3"/>
    </row>
    <row r="959">
      <c r="A959" s="2">
        <v>2019.0</v>
      </c>
      <c r="B959" s="1" t="s">
        <v>26</v>
      </c>
      <c r="F959" s="5">
        <f>SUM(F955:F958)</f>
        <v>617957</v>
      </c>
      <c r="I959" s="5">
        <f t="shared" ref="I959:L959" si="53">SUM(I955:I958)</f>
        <v>808520</v>
      </c>
      <c r="J959" s="5">
        <f t="shared" si="53"/>
        <v>21970</v>
      </c>
      <c r="K959" s="5">
        <f t="shared" si="53"/>
        <v>1448447</v>
      </c>
      <c r="L959" s="5">
        <f t="shared" si="53"/>
        <v>797869</v>
      </c>
      <c r="N959" s="5">
        <f>SUM(N955:N958)</f>
        <v>650578</v>
      </c>
      <c r="P959" s="3"/>
      <c r="Q959" s="3"/>
      <c r="R959" s="3"/>
      <c r="S959" s="3"/>
      <c r="T959" s="3"/>
      <c r="U959" s="3"/>
      <c r="V959" s="3"/>
      <c r="W959" s="3"/>
      <c r="X959" s="3"/>
      <c r="Y959" s="3"/>
      <c r="Z959" s="3"/>
      <c r="AA959" s="3"/>
      <c r="AB959" s="3"/>
      <c r="AC959" s="3"/>
      <c r="AD959" s="3"/>
      <c r="AE959" s="3"/>
      <c r="AF959" s="3"/>
      <c r="AG959" s="3"/>
    </row>
    <row r="960">
      <c r="A960" s="2">
        <v>2019.0</v>
      </c>
      <c r="B960" s="1" t="s">
        <v>26</v>
      </c>
      <c r="D960" s="5" t="s">
        <v>130</v>
      </c>
      <c r="F960" s="5">
        <v>368011.0</v>
      </c>
      <c r="I960" s="5">
        <v>263400.0</v>
      </c>
      <c r="J960" s="5">
        <v>14106.0</v>
      </c>
      <c r="K960" s="5">
        <f t="shared" ref="K960:K961" si="54">SUM(F960:J960)</f>
        <v>645517</v>
      </c>
      <c r="L960" s="5">
        <v>388342.0</v>
      </c>
      <c r="N960" s="5">
        <f t="shared" ref="N960:N961" si="55">K960-L960</f>
        <v>257175</v>
      </c>
      <c r="P960" s="3"/>
      <c r="Q960" s="3"/>
      <c r="R960" s="3"/>
      <c r="S960" s="3"/>
      <c r="T960" s="3"/>
      <c r="U960" s="3"/>
      <c r="V960" s="3"/>
      <c r="W960" s="3"/>
      <c r="X960" s="3"/>
      <c r="Y960" s="3"/>
      <c r="Z960" s="3"/>
      <c r="AA960" s="3"/>
      <c r="AB960" s="3"/>
      <c r="AC960" s="3"/>
      <c r="AD960" s="3"/>
      <c r="AE960" s="3"/>
      <c r="AF960" s="3"/>
      <c r="AG960" s="3"/>
    </row>
    <row r="961">
      <c r="A961" s="2">
        <v>2019.0</v>
      </c>
      <c r="B961" s="1" t="s">
        <v>26</v>
      </c>
      <c r="F961" s="5">
        <v>364925.0</v>
      </c>
      <c r="I961" s="5">
        <v>412687.0</v>
      </c>
      <c r="J961" s="5">
        <v>8451.0</v>
      </c>
      <c r="K961" s="5">
        <f t="shared" si="54"/>
        <v>786063</v>
      </c>
      <c r="L961" s="5">
        <v>572307.0</v>
      </c>
      <c r="N961" s="5">
        <f t="shared" si="55"/>
        <v>213756</v>
      </c>
      <c r="P961" s="3"/>
      <c r="Q961" s="3"/>
      <c r="R961" s="3"/>
      <c r="S961" s="3"/>
      <c r="T961" s="3"/>
      <c r="U961" s="3"/>
      <c r="V961" s="3"/>
      <c r="W961" s="3"/>
      <c r="X961" s="3"/>
      <c r="Y961" s="3"/>
      <c r="Z961" s="3"/>
      <c r="AA961" s="3"/>
      <c r="AB961" s="3"/>
      <c r="AC961" s="3"/>
      <c r="AD961" s="3"/>
      <c r="AE961" s="3"/>
      <c r="AF961" s="3"/>
      <c r="AG961" s="3"/>
    </row>
    <row r="962">
      <c r="A962" s="2">
        <v>2019.0</v>
      </c>
      <c r="B962" s="1" t="s">
        <v>26</v>
      </c>
      <c r="F962" s="5">
        <f>SUM(F960:F961)</f>
        <v>732936</v>
      </c>
      <c r="I962" s="5">
        <f t="shared" ref="I962:L962" si="56">SUM(I960:I961)</f>
        <v>676087</v>
      </c>
      <c r="J962" s="5">
        <f t="shared" si="56"/>
        <v>22557</v>
      </c>
      <c r="K962" s="5">
        <f t="shared" si="56"/>
        <v>1431580</v>
      </c>
      <c r="L962" s="5">
        <f t="shared" si="56"/>
        <v>960649</v>
      </c>
      <c r="N962" s="5">
        <f>SUM(N960:N961)</f>
        <v>470931</v>
      </c>
      <c r="P962" s="3"/>
      <c r="Q962" s="3"/>
      <c r="R962" s="3"/>
      <c r="S962" s="3"/>
      <c r="T962" s="3"/>
      <c r="U962" s="3"/>
      <c r="V962" s="3"/>
      <c r="W962" s="3"/>
      <c r="X962" s="3"/>
      <c r="Y962" s="3"/>
      <c r="Z962" s="3"/>
      <c r="AA962" s="3"/>
      <c r="AB962" s="3"/>
      <c r="AC962" s="3"/>
      <c r="AD962" s="3"/>
      <c r="AE962" s="3"/>
      <c r="AF962" s="3"/>
      <c r="AG962" s="3"/>
    </row>
    <row r="963">
      <c r="A963" s="2">
        <v>2019.0</v>
      </c>
      <c r="B963" s="1" t="s">
        <v>26</v>
      </c>
      <c r="D963" s="5" t="s">
        <v>131</v>
      </c>
      <c r="F963" s="5">
        <v>312578.0</v>
      </c>
      <c r="I963" s="5">
        <v>313348.0</v>
      </c>
      <c r="J963" s="5">
        <v>11761.0</v>
      </c>
      <c r="K963" s="5">
        <f t="shared" ref="K963:K965" si="57">SUM(F963:J963)</f>
        <v>637687</v>
      </c>
      <c r="L963" s="5">
        <v>12715.0</v>
      </c>
      <c r="N963" s="5">
        <f t="shared" ref="N963:N965" si="58">K963-L963</f>
        <v>624972</v>
      </c>
      <c r="P963" s="3"/>
      <c r="Q963" s="3"/>
      <c r="R963" s="3"/>
      <c r="S963" s="3"/>
      <c r="T963" s="3"/>
      <c r="U963" s="3"/>
      <c r="V963" s="3"/>
      <c r="W963" s="3"/>
      <c r="X963" s="3"/>
      <c r="Y963" s="3"/>
      <c r="Z963" s="3"/>
      <c r="AA963" s="3"/>
      <c r="AB963" s="3"/>
      <c r="AC963" s="3"/>
      <c r="AD963" s="3"/>
      <c r="AE963" s="3"/>
      <c r="AF963" s="3"/>
      <c r="AG963" s="3"/>
    </row>
    <row r="964">
      <c r="A964" s="2">
        <v>2019.0</v>
      </c>
      <c r="B964" s="1" t="s">
        <v>26</v>
      </c>
      <c r="F964" s="5">
        <v>486426.0</v>
      </c>
      <c r="I964" s="5">
        <v>646652.0</v>
      </c>
      <c r="J964" s="5">
        <v>22442.0</v>
      </c>
      <c r="K964" s="5">
        <f t="shared" si="57"/>
        <v>1155520</v>
      </c>
      <c r="L964" s="5">
        <v>551773.0</v>
      </c>
      <c r="N964" s="5">
        <f t="shared" si="58"/>
        <v>603747</v>
      </c>
      <c r="P964" s="3"/>
      <c r="Q964" s="3"/>
      <c r="R964" s="3"/>
      <c r="S964" s="3"/>
      <c r="T964" s="3"/>
      <c r="U964" s="3"/>
      <c r="V964" s="3"/>
      <c r="W964" s="3"/>
      <c r="X964" s="3"/>
      <c r="Y964" s="3"/>
      <c r="Z964" s="3"/>
      <c r="AA964" s="3"/>
      <c r="AB964" s="3"/>
      <c r="AC964" s="3"/>
      <c r="AD964" s="3"/>
      <c r="AE964" s="3"/>
      <c r="AF964" s="3"/>
      <c r="AG964" s="3"/>
    </row>
    <row r="965">
      <c r="A965" s="2">
        <v>2019.0</v>
      </c>
      <c r="B965" s="1" t="s">
        <v>26</v>
      </c>
      <c r="F965" s="5">
        <v>313949.0</v>
      </c>
      <c r="I965" s="5">
        <v>3800.0</v>
      </c>
      <c r="J965" s="5">
        <v>8132.0</v>
      </c>
      <c r="K965" s="5">
        <f t="shared" si="57"/>
        <v>325881</v>
      </c>
      <c r="L965" s="5">
        <v>204340.0</v>
      </c>
      <c r="N965" s="5">
        <f t="shared" si="58"/>
        <v>121541</v>
      </c>
      <c r="P965" s="3"/>
      <c r="Q965" s="3"/>
      <c r="R965" s="3"/>
      <c r="S965" s="3"/>
      <c r="T965" s="3"/>
      <c r="U965" s="3"/>
      <c r="V965" s="3"/>
      <c r="W965" s="3"/>
      <c r="X965" s="3"/>
      <c r="Y965" s="3"/>
      <c r="Z965" s="3"/>
      <c r="AA965" s="3"/>
      <c r="AB965" s="3"/>
      <c r="AC965" s="3"/>
      <c r="AD965" s="3"/>
      <c r="AE965" s="3"/>
      <c r="AF965" s="3"/>
      <c r="AG965" s="3"/>
    </row>
    <row r="966">
      <c r="A966" s="2">
        <v>2019.0</v>
      </c>
      <c r="B966" s="1" t="s">
        <v>26</v>
      </c>
      <c r="F966" s="5">
        <f>SUM(F963:F965)</f>
        <v>1112953</v>
      </c>
      <c r="I966" s="5">
        <f t="shared" ref="I966:L966" si="59">SUM(I963:I965)</f>
        <v>963800</v>
      </c>
      <c r="J966" s="5">
        <f t="shared" si="59"/>
        <v>42335</v>
      </c>
      <c r="K966" s="5">
        <f t="shared" si="59"/>
        <v>2119088</v>
      </c>
      <c r="L966" s="5">
        <f t="shared" si="59"/>
        <v>768828</v>
      </c>
      <c r="N966" s="5">
        <f>SUM(N963:N965)</f>
        <v>1350260</v>
      </c>
      <c r="P966" s="3"/>
      <c r="Q966" s="3"/>
      <c r="R966" s="3"/>
      <c r="S966" s="3"/>
      <c r="T966" s="3"/>
      <c r="U966" s="3"/>
      <c r="V966" s="3"/>
      <c r="W966" s="3"/>
      <c r="X966" s="3"/>
      <c r="Y966" s="3"/>
      <c r="Z966" s="3"/>
      <c r="AA966" s="3"/>
      <c r="AB966" s="3"/>
      <c r="AC966" s="3"/>
      <c r="AD966" s="3"/>
      <c r="AE966" s="3"/>
      <c r="AF966" s="3"/>
      <c r="AG966" s="3"/>
    </row>
    <row r="967">
      <c r="A967" s="2">
        <v>2019.0</v>
      </c>
      <c r="B967" s="1" t="s">
        <v>26</v>
      </c>
      <c r="D967" s="5" t="s">
        <v>132</v>
      </c>
      <c r="F967" s="5">
        <v>101608.0</v>
      </c>
      <c r="I967" s="5">
        <v>412687.0</v>
      </c>
      <c r="J967" s="5">
        <v>5565.0</v>
      </c>
      <c r="K967" s="5">
        <f t="shared" ref="K967:K970" si="60">SUM(F967:J967)</f>
        <v>519860</v>
      </c>
      <c r="L967" s="5">
        <v>391681.0</v>
      </c>
      <c r="N967" s="5">
        <f t="shared" ref="N967:N970" si="61">K967-L967</f>
        <v>128179</v>
      </c>
      <c r="P967" s="3"/>
      <c r="Q967" s="3"/>
      <c r="R967" s="3"/>
      <c r="S967" s="3"/>
      <c r="T967" s="3"/>
      <c r="U967" s="3"/>
      <c r="V967" s="3"/>
      <c r="W967" s="3"/>
      <c r="X967" s="3"/>
      <c r="Y967" s="3"/>
      <c r="Z967" s="3"/>
      <c r="AA967" s="3"/>
      <c r="AB967" s="3"/>
      <c r="AC967" s="3"/>
      <c r="AD967" s="3"/>
      <c r="AE967" s="3"/>
      <c r="AF967" s="3"/>
      <c r="AG967" s="3"/>
    </row>
    <row r="968">
      <c r="A968" s="2">
        <v>2019.0</v>
      </c>
      <c r="B968" s="1" t="s">
        <v>26</v>
      </c>
      <c r="F968" s="5">
        <v>263811.0</v>
      </c>
      <c r="I968" s="5">
        <v>313348.0</v>
      </c>
      <c r="J968" s="5">
        <v>5691.0</v>
      </c>
      <c r="K968" s="5">
        <f t="shared" si="60"/>
        <v>582850</v>
      </c>
      <c r="L968" s="5">
        <v>251967.0</v>
      </c>
      <c r="N968" s="5">
        <f t="shared" si="61"/>
        <v>330883</v>
      </c>
      <c r="P968" s="3"/>
      <c r="Q968" s="3"/>
      <c r="R968" s="3"/>
      <c r="S968" s="3"/>
      <c r="T968" s="3"/>
      <c r="U968" s="3"/>
      <c r="V968" s="3"/>
      <c r="W968" s="3"/>
      <c r="X968" s="3"/>
      <c r="Y968" s="3"/>
      <c r="Z968" s="3"/>
      <c r="AA968" s="3"/>
      <c r="AB968" s="3"/>
      <c r="AC968" s="3"/>
      <c r="AD968" s="3"/>
      <c r="AE968" s="3"/>
      <c r="AF968" s="3"/>
      <c r="AG968" s="3"/>
    </row>
    <row r="969">
      <c r="A969" s="2">
        <v>2019.0</v>
      </c>
      <c r="B969" s="1" t="s">
        <v>26</v>
      </c>
      <c r="F969" s="5">
        <v>7183.0</v>
      </c>
      <c r="I969" s="5">
        <v>499165.0</v>
      </c>
      <c r="J969" s="5">
        <v>1583.0</v>
      </c>
      <c r="K969" s="5">
        <f t="shared" si="60"/>
        <v>507931</v>
      </c>
      <c r="L969" s="5">
        <v>468340.0</v>
      </c>
      <c r="N969" s="5">
        <f t="shared" si="61"/>
        <v>39591</v>
      </c>
      <c r="P969" s="3"/>
      <c r="Q969" s="3"/>
      <c r="R969" s="3"/>
      <c r="S969" s="3"/>
      <c r="T969" s="3"/>
      <c r="U969" s="3"/>
      <c r="V969" s="3"/>
      <c r="W969" s="3"/>
      <c r="X969" s="3"/>
      <c r="Y969" s="3"/>
      <c r="Z969" s="3"/>
      <c r="AA969" s="3"/>
      <c r="AB969" s="3"/>
      <c r="AC969" s="3"/>
      <c r="AD969" s="3"/>
      <c r="AE969" s="3"/>
      <c r="AF969" s="3"/>
      <c r="AG969" s="3"/>
    </row>
    <row r="970">
      <c r="A970" s="2">
        <v>2019.0</v>
      </c>
      <c r="B970" s="1" t="s">
        <v>26</v>
      </c>
      <c r="F970" s="5">
        <v>80736.0</v>
      </c>
      <c r="I970" s="5" t="s">
        <v>401</v>
      </c>
      <c r="J970" s="5">
        <v>2104.0</v>
      </c>
      <c r="K970" s="5">
        <f t="shared" si="60"/>
        <v>82840</v>
      </c>
      <c r="L970" s="5">
        <v>72600.0</v>
      </c>
      <c r="N970" s="5">
        <f t="shared" si="61"/>
        <v>10240</v>
      </c>
      <c r="P970" s="3"/>
      <c r="Q970" s="3"/>
      <c r="R970" s="3"/>
      <c r="S970" s="3"/>
      <c r="T970" s="3"/>
      <c r="U970" s="3"/>
      <c r="V970" s="3"/>
      <c r="W970" s="3"/>
      <c r="X970" s="3"/>
      <c r="Y970" s="3"/>
      <c r="Z970" s="3"/>
      <c r="AA970" s="3"/>
      <c r="AB970" s="3"/>
      <c r="AC970" s="3"/>
      <c r="AD970" s="3"/>
      <c r="AE970" s="3"/>
      <c r="AF970" s="3"/>
      <c r="AG970" s="3"/>
    </row>
    <row r="971">
      <c r="A971" s="2">
        <v>2019.0</v>
      </c>
      <c r="B971" s="1" t="s">
        <v>26</v>
      </c>
      <c r="F971" s="5">
        <f>SUM(F967:F970)</f>
        <v>453338</v>
      </c>
      <c r="I971" s="5">
        <f t="shared" ref="I971:L971" si="62">SUM(I967:I970)</f>
        <v>1225200</v>
      </c>
      <c r="J971" s="5">
        <f t="shared" si="62"/>
        <v>14943</v>
      </c>
      <c r="K971" s="5">
        <f t="shared" si="62"/>
        <v>1693481</v>
      </c>
      <c r="L971" s="5">
        <f t="shared" si="62"/>
        <v>1184588</v>
      </c>
      <c r="N971" s="5">
        <f>SUM(N967:N970)</f>
        <v>508893</v>
      </c>
      <c r="P971" s="3"/>
      <c r="Q971" s="3"/>
      <c r="R971" s="3"/>
      <c r="S971" s="3"/>
      <c r="T971" s="3"/>
      <c r="U971" s="3"/>
      <c r="V971" s="3"/>
      <c r="W971" s="3"/>
      <c r="X971" s="3"/>
      <c r="Y971" s="3"/>
      <c r="Z971" s="3"/>
      <c r="AA971" s="3"/>
      <c r="AB971" s="3"/>
      <c r="AC971" s="3"/>
      <c r="AD971" s="3"/>
      <c r="AE971" s="3"/>
      <c r="AF971" s="3"/>
      <c r="AG971" s="3"/>
    </row>
    <row r="972">
      <c r="A972" s="2">
        <v>2019.0</v>
      </c>
      <c r="B972" s="1" t="s">
        <v>26</v>
      </c>
      <c r="D972" s="5" t="s">
        <v>135</v>
      </c>
      <c r="F972" s="5">
        <v>455061.0</v>
      </c>
      <c r="I972" s="5">
        <v>375937.0</v>
      </c>
      <c r="J972" s="5">
        <v>12519.0</v>
      </c>
      <c r="K972" s="5">
        <f t="shared" ref="K972:K974" si="63">SUM(F972:J972)</f>
        <v>843517</v>
      </c>
      <c r="L972" s="5">
        <v>558489.0</v>
      </c>
      <c r="N972" s="5">
        <f t="shared" ref="N972:N973" si="64">(K972-L972)</f>
        <v>285028</v>
      </c>
      <c r="P972" s="3"/>
      <c r="Q972" s="3"/>
      <c r="R972" s="3"/>
      <c r="S972" s="3"/>
      <c r="T972" s="3"/>
      <c r="U972" s="3"/>
      <c r="V972" s="3"/>
      <c r="W972" s="3"/>
      <c r="X972" s="3"/>
      <c r="Y972" s="3"/>
      <c r="Z972" s="3"/>
      <c r="AA972" s="3"/>
      <c r="AB972" s="3"/>
      <c r="AC972" s="3"/>
      <c r="AD972" s="3"/>
      <c r="AE972" s="3"/>
      <c r="AF972" s="3"/>
      <c r="AG972" s="3"/>
    </row>
    <row r="973">
      <c r="A973" s="2">
        <v>2019.0</v>
      </c>
      <c r="B973" s="1" t="s">
        <v>26</v>
      </c>
      <c r="F973" s="5">
        <v>156587.0</v>
      </c>
      <c r="I973" s="5">
        <v>578769.0</v>
      </c>
      <c r="J973" s="5">
        <v>10897.0</v>
      </c>
      <c r="K973" s="5">
        <f t="shared" si="63"/>
        <v>746253</v>
      </c>
      <c r="L973" s="5">
        <v>386820.0</v>
      </c>
      <c r="N973" s="5">
        <f t="shared" si="64"/>
        <v>359433</v>
      </c>
      <c r="P973" s="3"/>
      <c r="Q973" s="3"/>
      <c r="R973" s="3"/>
      <c r="S973" s="3"/>
      <c r="T973" s="3"/>
      <c r="U973" s="3"/>
      <c r="V973" s="3"/>
      <c r="W973" s="3"/>
      <c r="X973" s="3"/>
      <c r="Y973" s="3"/>
      <c r="Z973" s="3"/>
      <c r="AA973" s="3"/>
      <c r="AB973" s="3"/>
      <c r="AC973" s="3"/>
      <c r="AD973" s="3"/>
      <c r="AE973" s="3"/>
      <c r="AF973" s="3"/>
      <c r="AG973" s="3"/>
    </row>
    <row r="974">
      <c r="A974" s="2">
        <v>2019.0</v>
      </c>
      <c r="B974" s="1" t="s">
        <v>26</v>
      </c>
      <c r="F974" s="5">
        <v>389222.0</v>
      </c>
      <c r="I974" s="5">
        <v>198636.0</v>
      </c>
      <c r="J974" s="5">
        <v>20130.0</v>
      </c>
      <c r="K974" s="5">
        <f t="shared" si="63"/>
        <v>607988</v>
      </c>
      <c r="L974" s="5">
        <v>0.0</v>
      </c>
      <c r="N974" s="5">
        <f>K974-L974</f>
        <v>607988</v>
      </c>
      <c r="P974" s="3"/>
      <c r="Q974" s="3"/>
      <c r="R974" s="3"/>
      <c r="S974" s="3"/>
      <c r="T974" s="3"/>
      <c r="U974" s="3"/>
      <c r="V974" s="3"/>
      <c r="W974" s="3"/>
      <c r="X974" s="3"/>
      <c r="Y974" s="3"/>
      <c r="Z974" s="3"/>
      <c r="AA974" s="3"/>
      <c r="AB974" s="3"/>
      <c r="AC974" s="3"/>
      <c r="AD974" s="3"/>
      <c r="AE974" s="3"/>
      <c r="AF974" s="3"/>
      <c r="AG974" s="3"/>
    </row>
    <row r="975">
      <c r="A975" s="2">
        <v>2019.0</v>
      </c>
      <c r="B975" s="1" t="s">
        <v>26</v>
      </c>
      <c r="F975" s="5">
        <f>SUM(F972:F974)</f>
        <v>1000870</v>
      </c>
      <c r="I975" s="5">
        <f t="shared" ref="I975:L975" si="65">SUM(I972:I974)</f>
        <v>1153342</v>
      </c>
      <c r="J975" s="5">
        <f t="shared" si="65"/>
        <v>43546</v>
      </c>
      <c r="K975" s="5">
        <f t="shared" si="65"/>
        <v>2197758</v>
      </c>
      <c r="L975" s="5">
        <f t="shared" si="65"/>
        <v>945309</v>
      </c>
      <c r="N975" s="5">
        <f>SUM(N972:N974)</f>
        <v>1252449</v>
      </c>
      <c r="P975" s="3"/>
      <c r="Q975" s="3"/>
      <c r="R975" s="3"/>
      <c r="S975" s="3"/>
      <c r="T975" s="3"/>
      <c r="U975" s="3"/>
      <c r="V975" s="3"/>
      <c r="W975" s="3"/>
      <c r="X975" s="3"/>
      <c r="Y975" s="3"/>
      <c r="Z975" s="3"/>
      <c r="AA975" s="3"/>
      <c r="AB975" s="3"/>
      <c r="AC975" s="3"/>
      <c r="AD975" s="3"/>
      <c r="AE975" s="3"/>
      <c r="AF975" s="3"/>
      <c r="AG975" s="3"/>
    </row>
    <row r="976">
      <c r="A976" s="2">
        <v>2019.0</v>
      </c>
      <c r="B976" s="1" t="s">
        <v>26</v>
      </c>
      <c r="D976" s="5" t="s">
        <v>136</v>
      </c>
      <c r="F976" s="5">
        <v>344903.0</v>
      </c>
      <c r="I976" s="5">
        <v>322020.0</v>
      </c>
      <c r="J976" s="5">
        <v>8532.0</v>
      </c>
      <c r="K976" s="5">
        <f t="shared" ref="K976:K979" si="66">SUM(F976:J976)</f>
        <v>675455</v>
      </c>
      <c r="L976" s="5">
        <f>272997+1357</f>
        <v>274354</v>
      </c>
      <c r="N976" s="5">
        <f t="shared" ref="N976:N977" si="67">(K976-L976)</f>
        <v>401101</v>
      </c>
      <c r="P976" s="3"/>
      <c r="Q976" s="3"/>
      <c r="R976" s="3"/>
      <c r="S976" s="3"/>
      <c r="T976" s="3"/>
      <c r="U976" s="3"/>
      <c r="V976" s="3"/>
      <c r="W976" s="3"/>
      <c r="X976" s="3"/>
      <c r="Y976" s="3"/>
      <c r="Z976" s="3"/>
      <c r="AA976" s="3"/>
      <c r="AB976" s="3"/>
      <c r="AC976" s="3"/>
      <c r="AD976" s="3"/>
      <c r="AE976" s="3"/>
      <c r="AF976" s="3"/>
      <c r="AG976" s="3"/>
    </row>
    <row r="977">
      <c r="A977" s="2">
        <v>2019.0</v>
      </c>
      <c r="B977" s="1" t="s">
        <v>26</v>
      </c>
      <c r="F977" s="5">
        <v>13144.0</v>
      </c>
      <c r="I977" s="5">
        <v>578769.0</v>
      </c>
      <c r="J977" s="5">
        <v>4925.0</v>
      </c>
      <c r="K977" s="5">
        <f t="shared" si="66"/>
        <v>596838</v>
      </c>
      <c r="L977" s="5">
        <f>557155+730</f>
        <v>557885</v>
      </c>
      <c r="N977" s="5">
        <f t="shared" si="67"/>
        <v>38953</v>
      </c>
      <c r="P977" s="3"/>
      <c r="Q977" s="3"/>
      <c r="R977" s="3"/>
      <c r="S977" s="3"/>
      <c r="T977" s="3"/>
      <c r="U977" s="3"/>
      <c r="V977" s="3"/>
      <c r="W977" s="3"/>
      <c r="X977" s="3"/>
      <c r="Y977" s="3"/>
      <c r="Z977" s="3"/>
      <c r="AA977" s="3"/>
      <c r="AB977" s="3"/>
      <c r="AC977" s="3"/>
      <c r="AD977" s="3"/>
      <c r="AE977" s="3"/>
      <c r="AF977" s="3"/>
      <c r="AG977" s="3"/>
    </row>
    <row r="978">
      <c r="A978" s="2">
        <v>2019.0</v>
      </c>
      <c r="B978" s="1" t="s">
        <v>26</v>
      </c>
      <c r="F978" s="5">
        <v>170044.0</v>
      </c>
      <c r="I978" s="5">
        <v>54765.0</v>
      </c>
      <c r="J978" s="5">
        <v>6458.0</v>
      </c>
      <c r="K978" s="5">
        <f t="shared" si="66"/>
        <v>231267</v>
      </c>
      <c r="L978" s="5">
        <f>123046</f>
        <v>123046</v>
      </c>
      <c r="N978" s="5">
        <f t="shared" ref="N978:N979" si="68">K978-L978</f>
        <v>108221</v>
      </c>
      <c r="P978" s="3"/>
      <c r="Q978" s="3"/>
      <c r="R978" s="3"/>
      <c r="S978" s="3"/>
      <c r="T978" s="3"/>
      <c r="U978" s="3"/>
      <c r="V978" s="3"/>
      <c r="W978" s="3"/>
      <c r="X978" s="3"/>
      <c r="Y978" s="3"/>
      <c r="Z978" s="3"/>
      <c r="AA978" s="3"/>
      <c r="AB978" s="3"/>
      <c r="AC978" s="3"/>
      <c r="AD978" s="3"/>
      <c r="AE978" s="3"/>
      <c r="AF978" s="3"/>
      <c r="AG978" s="3"/>
    </row>
    <row r="979">
      <c r="A979" s="2">
        <v>2019.0</v>
      </c>
      <c r="B979" s="1" t="s">
        <v>26</v>
      </c>
      <c r="F979" s="5">
        <v>87728.0</v>
      </c>
      <c r="I979" s="5">
        <v>282083.0</v>
      </c>
      <c r="J979" s="5">
        <v>3574.0</v>
      </c>
      <c r="K979" s="5">
        <f t="shared" si="66"/>
        <v>373385</v>
      </c>
      <c r="L979" s="5">
        <v>258022.0</v>
      </c>
      <c r="N979" s="5">
        <f t="shared" si="68"/>
        <v>115363</v>
      </c>
      <c r="P979" s="3"/>
      <c r="Q979" s="3"/>
      <c r="R979" s="3"/>
      <c r="S979" s="3"/>
      <c r="T979" s="3"/>
      <c r="U979" s="3"/>
      <c r="V979" s="3"/>
      <c r="W979" s="3"/>
      <c r="X979" s="3"/>
      <c r="Y979" s="3"/>
      <c r="Z979" s="3"/>
      <c r="AA979" s="3"/>
      <c r="AB979" s="3"/>
      <c r="AC979" s="3"/>
      <c r="AD979" s="3"/>
      <c r="AE979" s="3"/>
      <c r="AF979" s="3"/>
      <c r="AG979" s="3"/>
    </row>
    <row r="980">
      <c r="A980" s="2">
        <v>2019.0</v>
      </c>
      <c r="B980" s="1" t="s">
        <v>26</v>
      </c>
      <c r="F980" s="5">
        <f>SUM(F976:F979)</f>
        <v>615819</v>
      </c>
      <c r="I980" s="5">
        <f t="shared" ref="I980:L980" si="69">SUM(I976:I979)</f>
        <v>1237637</v>
      </c>
      <c r="J980" s="5">
        <f t="shared" si="69"/>
        <v>23489</v>
      </c>
      <c r="K980" s="5">
        <f t="shared" si="69"/>
        <v>1876945</v>
      </c>
      <c r="L980" s="5">
        <f t="shared" si="69"/>
        <v>1213307</v>
      </c>
      <c r="N980" s="5">
        <f>SUM(N976:N979)</f>
        <v>663638</v>
      </c>
      <c r="P980" s="3"/>
      <c r="Q980" s="3"/>
      <c r="R980" s="3"/>
      <c r="S980" s="3"/>
      <c r="T980" s="3"/>
      <c r="U980" s="3"/>
      <c r="V980" s="3"/>
      <c r="W980" s="3"/>
      <c r="X980" s="3"/>
      <c r="Y980" s="3"/>
      <c r="Z980" s="3"/>
      <c r="AA980" s="3"/>
      <c r="AB980" s="3"/>
      <c r="AC980" s="3"/>
      <c r="AD980" s="3"/>
      <c r="AE980" s="3"/>
      <c r="AF980" s="3"/>
      <c r="AG980" s="3"/>
    </row>
    <row r="981">
      <c r="A981" s="2">
        <v>2019.0</v>
      </c>
      <c r="B981" s="1" t="s">
        <v>26</v>
      </c>
      <c r="D981" s="5" t="s">
        <v>1322</v>
      </c>
      <c r="F981" s="5">
        <v>380229.0</v>
      </c>
      <c r="I981" s="5">
        <f>376672</f>
        <v>376672</v>
      </c>
      <c r="J981" s="5">
        <v>13803.0</v>
      </c>
      <c r="K981" s="5">
        <f t="shared" ref="K981:K983" si="70">SUM(F981:J981)</f>
        <v>770704</v>
      </c>
      <c r="L981" s="5">
        <v>578468.0</v>
      </c>
      <c r="N981" s="5">
        <f t="shared" ref="N981:N982" si="71">(K981-L981)</f>
        <v>192236</v>
      </c>
      <c r="P981" s="3"/>
      <c r="Q981" s="3"/>
      <c r="R981" s="3"/>
      <c r="S981" s="3"/>
      <c r="T981" s="3"/>
      <c r="U981" s="3"/>
      <c r="V981" s="3"/>
      <c r="W981" s="3"/>
      <c r="X981" s="3"/>
      <c r="Y981" s="3"/>
      <c r="Z981" s="3"/>
      <c r="AA981" s="3"/>
      <c r="AB981" s="3"/>
      <c r="AC981" s="3"/>
      <c r="AD981" s="3"/>
      <c r="AE981" s="3"/>
      <c r="AF981" s="3"/>
      <c r="AG981" s="3"/>
    </row>
    <row r="982">
      <c r="A982" s="2">
        <v>2019.0</v>
      </c>
      <c r="B982" s="1" t="s">
        <v>26</v>
      </c>
      <c r="F982" s="5">
        <v>12310.0</v>
      </c>
      <c r="I982" s="5">
        <f>578769</f>
        <v>578769</v>
      </c>
      <c r="J982" s="5">
        <v>2167.0</v>
      </c>
      <c r="K982" s="5">
        <f t="shared" si="70"/>
        <v>593246</v>
      </c>
      <c r="L982" s="5">
        <v>390000.0</v>
      </c>
      <c r="N982" s="5">
        <f t="shared" si="71"/>
        <v>203246</v>
      </c>
      <c r="P982" s="3"/>
      <c r="Q982" s="3"/>
      <c r="R982" s="3"/>
      <c r="S982" s="3"/>
      <c r="T982" s="3"/>
      <c r="U982" s="3"/>
      <c r="V982" s="3"/>
      <c r="W982" s="3"/>
      <c r="X982" s="3"/>
      <c r="Y982" s="3"/>
      <c r="Z982" s="3"/>
      <c r="AA982" s="3"/>
      <c r="AB982" s="3"/>
      <c r="AC982" s="3"/>
      <c r="AD982" s="3"/>
      <c r="AE982" s="3"/>
      <c r="AF982" s="3"/>
      <c r="AG982" s="3"/>
    </row>
    <row r="983">
      <c r="A983" s="2">
        <v>2019.0</v>
      </c>
      <c r="B983" s="1" t="s">
        <v>26</v>
      </c>
      <c r="F983" s="5">
        <v>16791.0</v>
      </c>
      <c r="I983" s="5">
        <f>10820</f>
        <v>10820</v>
      </c>
      <c r="J983" s="5">
        <v>706.0</v>
      </c>
      <c r="K983" s="5">
        <f t="shared" si="70"/>
        <v>28317</v>
      </c>
      <c r="L983" s="5">
        <v>0.0</v>
      </c>
      <c r="N983" s="5">
        <f>K983-L983</f>
        <v>28317</v>
      </c>
      <c r="P983" s="3"/>
      <c r="Q983" s="3"/>
      <c r="R983" s="3"/>
      <c r="S983" s="3"/>
      <c r="T983" s="3"/>
      <c r="U983" s="3"/>
      <c r="V983" s="3"/>
      <c r="W983" s="3"/>
      <c r="X983" s="3"/>
      <c r="Y983" s="3"/>
      <c r="Z983" s="3"/>
      <c r="AA983" s="3"/>
      <c r="AB983" s="3"/>
      <c r="AC983" s="3"/>
      <c r="AD983" s="3"/>
      <c r="AE983" s="3"/>
      <c r="AF983" s="3"/>
      <c r="AG983" s="3"/>
    </row>
    <row r="984">
      <c r="A984" s="2">
        <v>2019.0</v>
      </c>
      <c r="B984" s="1" t="s">
        <v>26</v>
      </c>
      <c r="F984" s="5">
        <f>SUM(F981:F983)</f>
        <v>409330</v>
      </c>
      <c r="I984" s="5">
        <f t="shared" ref="I984:L984" si="72">SUM(I981:I983)</f>
        <v>966261</v>
      </c>
      <c r="J984" s="5">
        <f t="shared" si="72"/>
        <v>16676</v>
      </c>
      <c r="K984" s="5">
        <f t="shared" si="72"/>
        <v>1392267</v>
      </c>
      <c r="L984" s="5">
        <f t="shared" si="72"/>
        <v>968468</v>
      </c>
      <c r="N984" s="5">
        <f>SUM(N981:N983)</f>
        <v>423799</v>
      </c>
      <c r="P984" s="3"/>
      <c r="Q984" s="3"/>
      <c r="R984" s="3"/>
      <c r="S984" s="3"/>
      <c r="T984" s="3"/>
      <c r="U984" s="3"/>
      <c r="V984" s="3"/>
      <c r="W984" s="3"/>
      <c r="X984" s="3"/>
      <c r="Y984" s="3"/>
      <c r="Z984" s="3"/>
      <c r="AA984" s="3"/>
      <c r="AB984" s="3"/>
      <c r="AC984" s="3"/>
      <c r="AD984" s="3"/>
      <c r="AE984" s="3"/>
      <c r="AF984" s="3"/>
      <c r="AG984" s="3"/>
    </row>
    <row r="985">
      <c r="A985" s="2">
        <v>2019.0</v>
      </c>
      <c r="B985" s="1" t="s">
        <v>26</v>
      </c>
      <c r="D985" s="5" t="s">
        <v>277</v>
      </c>
      <c r="F985" s="5">
        <v>54765.0</v>
      </c>
      <c r="I985" s="5">
        <v>1424.0</v>
      </c>
      <c r="K985" s="5">
        <f t="shared" ref="K985:K987" si="73">SUM(F985:J985)</f>
        <v>56189</v>
      </c>
      <c r="L985" s="5">
        <v>52403.0</v>
      </c>
      <c r="N985" s="5">
        <f t="shared" ref="N985:N986" si="74">(K985-L985)</f>
        <v>3786</v>
      </c>
      <c r="P985" s="3"/>
      <c r="Q985" s="3"/>
      <c r="R985" s="3"/>
      <c r="S985" s="3"/>
      <c r="T985" s="3"/>
      <c r="U985" s="3"/>
      <c r="V985" s="3"/>
      <c r="W985" s="3"/>
      <c r="X985" s="3"/>
      <c r="Y985" s="3"/>
      <c r="Z985" s="3"/>
      <c r="AA985" s="3"/>
      <c r="AB985" s="3"/>
      <c r="AC985" s="3"/>
      <c r="AD985" s="3"/>
      <c r="AE985" s="3"/>
      <c r="AF985" s="3"/>
      <c r="AG985" s="3"/>
    </row>
    <row r="986">
      <c r="A986" s="2">
        <v>2019.0</v>
      </c>
      <c r="B986" s="1" t="s">
        <v>26</v>
      </c>
      <c r="F986" s="5">
        <v>29009.0</v>
      </c>
      <c r="I986" s="5">
        <v>578769.0</v>
      </c>
      <c r="J986" s="5">
        <v>10724.0</v>
      </c>
      <c r="K986" s="5">
        <f t="shared" si="73"/>
        <v>618502</v>
      </c>
      <c r="L986" s="5">
        <v>320000.0</v>
      </c>
      <c r="N986" s="5">
        <f t="shared" si="74"/>
        <v>298502</v>
      </c>
      <c r="P986" s="3"/>
      <c r="Q986" s="3"/>
      <c r="R986" s="3"/>
      <c r="S986" s="3"/>
      <c r="T986" s="3"/>
      <c r="U986" s="3"/>
      <c r="V986" s="3"/>
      <c r="W986" s="3"/>
      <c r="X986" s="3"/>
      <c r="Y986" s="3"/>
      <c r="Z986" s="3"/>
      <c r="AA986" s="3"/>
      <c r="AB986" s="3"/>
      <c r="AC986" s="3"/>
      <c r="AD986" s="3"/>
      <c r="AE986" s="3"/>
      <c r="AF986" s="3"/>
      <c r="AG986" s="3"/>
    </row>
    <row r="987">
      <c r="A987" s="2">
        <v>2019.0</v>
      </c>
      <c r="B987" s="1" t="s">
        <v>26</v>
      </c>
      <c r="F987" s="5">
        <v>655780.0</v>
      </c>
      <c r="I987" s="5">
        <v>321172.0</v>
      </c>
      <c r="J987" s="5">
        <v>17175.0</v>
      </c>
      <c r="K987" s="5">
        <f t="shared" si="73"/>
        <v>994127</v>
      </c>
      <c r="L987" s="5">
        <v>624781.0</v>
      </c>
      <c r="N987" s="5">
        <f>K987-L987</f>
        <v>369346</v>
      </c>
      <c r="P987" s="3"/>
      <c r="Q987" s="3"/>
      <c r="R987" s="3"/>
      <c r="S987" s="3"/>
      <c r="T987" s="3"/>
      <c r="U987" s="3"/>
      <c r="V987" s="3"/>
      <c r="W987" s="3"/>
      <c r="X987" s="3"/>
      <c r="Y987" s="3"/>
      <c r="Z987" s="3"/>
      <c r="AA987" s="3"/>
      <c r="AB987" s="3"/>
      <c r="AC987" s="3"/>
      <c r="AD987" s="3"/>
      <c r="AE987" s="3"/>
      <c r="AF987" s="3"/>
      <c r="AG987" s="3"/>
    </row>
    <row r="988">
      <c r="A988" s="2">
        <v>2019.0</v>
      </c>
      <c r="B988" s="1" t="s">
        <v>26</v>
      </c>
      <c r="F988" s="5">
        <f>SUM(F985:F987)</f>
        <v>739554</v>
      </c>
      <c r="I988" s="5">
        <f t="shared" ref="I988:L988" si="75">SUM(I985:I987)</f>
        <v>901365</v>
      </c>
      <c r="J988" s="5">
        <f t="shared" si="75"/>
        <v>27899</v>
      </c>
      <c r="K988" s="5">
        <f t="shared" si="75"/>
        <v>1668818</v>
      </c>
      <c r="L988" s="5">
        <f t="shared" si="75"/>
        <v>997184</v>
      </c>
      <c r="N988" s="5">
        <f>SUM(N985:N987)</f>
        <v>671634</v>
      </c>
      <c r="P988" s="3"/>
      <c r="Q988" s="3"/>
      <c r="R988" s="3"/>
      <c r="S988" s="3"/>
      <c r="T988" s="3"/>
      <c r="U988" s="3"/>
      <c r="V988" s="3"/>
      <c r="W988" s="3"/>
      <c r="X988" s="3"/>
      <c r="Y988" s="3"/>
      <c r="Z988" s="3"/>
      <c r="AA988" s="3"/>
      <c r="AB988" s="3"/>
      <c r="AC988" s="3"/>
      <c r="AD988" s="3"/>
      <c r="AE988" s="3"/>
      <c r="AF988" s="3"/>
      <c r="AG988" s="3"/>
    </row>
    <row r="989">
      <c r="A989" s="2">
        <v>2019.0</v>
      </c>
      <c r="B989" s="1" t="s">
        <v>26</v>
      </c>
      <c r="D989" s="5" t="s">
        <v>141</v>
      </c>
      <c r="F989" s="5">
        <v>397734.0</v>
      </c>
      <c r="I989" s="5">
        <v>375937.0</v>
      </c>
      <c r="J989" s="5">
        <v>9613.0</v>
      </c>
      <c r="K989" s="5">
        <f t="shared" ref="K989:K991" si="76">SUM(F989:J989)</f>
        <v>783284</v>
      </c>
      <c r="L989" s="5">
        <v>499261.0</v>
      </c>
      <c r="N989" s="5">
        <f t="shared" ref="N989:N990" si="77">(K989-L989)</f>
        <v>284023</v>
      </c>
      <c r="P989" s="3"/>
      <c r="Q989" s="3"/>
      <c r="R989" s="3"/>
      <c r="S989" s="3"/>
      <c r="T989" s="3"/>
      <c r="U989" s="3"/>
      <c r="V989" s="3"/>
      <c r="W989" s="3"/>
      <c r="X989" s="3"/>
      <c r="Y989" s="3"/>
      <c r="Z989" s="3"/>
      <c r="AA989" s="3"/>
      <c r="AB989" s="3"/>
      <c r="AC989" s="3"/>
      <c r="AD989" s="3"/>
      <c r="AE989" s="3"/>
      <c r="AF989" s="3"/>
      <c r="AG989" s="3"/>
    </row>
    <row r="990">
      <c r="A990" s="2">
        <v>2019.0</v>
      </c>
      <c r="B990" s="1" t="s">
        <v>26</v>
      </c>
      <c r="F990" s="5">
        <v>1902.0</v>
      </c>
      <c r="I990" s="5">
        <v>578765.0</v>
      </c>
      <c r="J990" s="5">
        <v>5419.0</v>
      </c>
      <c r="K990" s="5">
        <f t="shared" si="76"/>
        <v>586086</v>
      </c>
      <c r="L990" s="5">
        <v>424286.0</v>
      </c>
      <c r="N990" s="5">
        <f t="shared" si="77"/>
        <v>161800</v>
      </c>
      <c r="P990" s="3"/>
      <c r="Q990" s="3"/>
      <c r="R990" s="3"/>
      <c r="S990" s="3"/>
      <c r="T990" s="3"/>
      <c r="U990" s="3"/>
      <c r="V990" s="3"/>
      <c r="W990" s="3"/>
      <c r="X990" s="3"/>
      <c r="Y990" s="3"/>
      <c r="Z990" s="3"/>
      <c r="AA990" s="3"/>
      <c r="AB990" s="3"/>
      <c r="AC990" s="3"/>
      <c r="AD990" s="3"/>
      <c r="AE990" s="3"/>
      <c r="AF990" s="3"/>
      <c r="AG990" s="3"/>
    </row>
    <row r="991">
      <c r="A991" s="2">
        <v>2019.0</v>
      </c>
      <c r="B991" s="1" t="s">
        <v>26</v>
      </c>
      <c r="F991" s="5">
        <v>20621.0</v>
      </c>
      <c r="I991" s="5">
        <v>76743.0</v>
      </c>
      <c r="J991" s="5">
        <v>2008.0</v>
      </c>
      <c r="K991" s="5">
        <f t="shared" si="76"/>
        <v>99372</v>
      </c>
      <c r="L991" s="5">
        <v>15000.0</v>
      </c>
      <c r="N991" s="5">
        <f>K991-L991</f>
        <v>84372</v>
      </c>
      <c r="P991" s="3"/>
      <c r="Q991" s="3"/>
      <c r="R991" s="3"/>
      <c r="S991" s="3"/>
      <c r="T991" s="3"/>
      <c r="U991" s="3"/>
      <c r="V991" s="3"/>
      <c r="W991" s="3"/>
      <c r="X991" s="3"/>
      <c r="Y991" s="3"/>
      <c r="Z991" s="3"/>
      <c r="AA991" s="3"/>
      <c r="AB991" s="3"/>
      <c r="AC991" s="3"/>
      <c r="AD991" s="3"/>
      <c r="AE991" s="3"/>
      <c r="AF991" s="3"/>
      <c r="AG991" s="3"/>
    </row>
    <row r="992">
      <c r="A992" s="2">
        <v>2019.0</v>
      </c>
      <c r="B992" s="1" t="s">
        <v>26</v>
      </c>
      <c r="F992" s="5">
        <f>SUM(F989:F991)</f>
        <v>420257</v>
      </c>
      <c r="I992" s="5">
        <f t="shared" ref="I992:L992" si="78">SUM(I989:I991)</f>
        <v>1031445</v>
      </c>
      <c r="J992" s="5">
        <f t="shared" si="78"/>
        <v>17040</v>
      </c>
      <c r="K992" s="5">
        <f t="shared" si="78"/>
        <v>1468742</v>
      </c>
      <c r="L992" s="5">
        <f t="shared" si="78"/>
        <v>938547</v>
      </c>
      <c r="N992" s="5">
        <f>SUM(N989:N991)</f>
        <v>530195</v>
      </c>
      <c r="P992" s="3"/>
      <c r="Q992" s="3"/>
      <c r="R992" s="3"/>
      <c r="S992" s="3"/>
      <c r="T992" s="3"/>
      <c r="U992" s="3"/>
      <c r="V992" s="3"/>
      <c r="W992" s="3"/>
      <c r="X992" s="3"/>
      <c r="Y992" s="3"/>
      <c r="Z992" s="3"/>
      <c r="AA992" s="3"/>
      <c r="AB992" s="3"/>
      <c r="AC992" s="3"/>
      <c r="AD992" s="3"/>
      <c r="AE992" s="3"/>
      <c r="AF992" s="3"/>
      <c r="AG992" s="3"/>
    </row>
    <row r="993">
      <c r="A993" s="2">
        <v>2019.0</v>
      </c>
      <c r="B993" s="1" t="s">
        <v>26</v>
      </c>
      <c r="D993" s="5" t="s">
        <v>1342</v>
      </c>
      <c r="F993" s="5">
        <v>11865.0</v>
      </c>
      <c r="I993" s="5">
        <v>90630.0</v>
      </c>
      <c r="J993" s="5">
        <v>2093.0</v>
      </c>
      <c r="K993" s="5">
        <f t="shared" ref="K993:K997" si="79">SUM(F993:J993)</f>
        <v>104588</v>
      </c>
      <c r="L993" s="5">
        <v>50800.0</v>
      </c>
      <c r="N993" s="5">
        <f t="shared" ref="N993:N994" si="80">(K993-L993)</f>
        <v>53788</v>
      </c>
      <c r="P993" s="3"/>
      <c r="Q993" s="3"/>
      <c r="R993" s="3"/>
      <c r="S993" s="3"/>
      <c r="T993" s="3"/>
      <c r="U993" s="3"/>
      <c r="V993" s="3"/>
      <c r="W993" s="3"/>
      <c r="X993" s="3"/>
      <c r="Y993" s="3"/>
      <c r="Z993" s="3"/>
      <c r="AA993" s="3"/>
      <c r="AB993" s="3"/>
      <c r="AC993" s="3"/>
      <c r="AD993" s="3"/>
      <c r="AE993" s="3"/>
      <c r="AF993" s="3"/>
      <c r="AG993" s="3"/>
    </row>
    <row r="994">
      <c r="A994" s="2">
        <v>2019.0</v>
      </c>
      <c r="B994" s="1" t="s">
        <v>26</v>
      </c>
      <c r="F994" s="5">
        <v>422917.0</v>
      </c>
      <c r="I994" s="5">
        <v>375937.0</v>
      </c>
      <c r="J994" s="5">
        <v>33858.0</v>
      </c>
      <c r="K994" s="5">
        <f t="shared" si="79"/>
        <v>832712</v>
      </c>
      <c r="L994" s="5">
        <v>684110.0</v>
      </c>
      <c r="N994" s="5">
        <f t="shared" si="80"/>
        <v>148602</v>
      </c>
      <c r="P994" s="3"/>
      <c r="Q994" s="3"/>
      <c r="R994" s="3"/>
      <c r="S994" s="3"/>
      <c r="T994" s="3"/>
      <c r="U994" s="3"/>
      <c r="V994" s="3"/>
      <c r="W994" s="3"/>
      <c r="X994" s="3"/>
      <c r="Y994" s="3"/>
      <c r="Z994" s="3"/>
      <c r="AA994" s="3"/>
      <c r="AB994" s="3"/>
      <c r="AC994" s="3"/>
      <c r="AD994" s="3"/>
      <c r="AE994" s="3"/>
      <c r="AF994" s="3"/>
      <c r="AG994" s="3"/>
    </row>
    <row r="995">
      <c r="A995" s="2">
        <v>2019.0</v>
      </c>
      <c r="B995" s="1" t="s">
        <v>26</v>
      </c>
      <c r="F995" s="5">
        <v>0.0</v>
      </c>
      <c r="I995" s="5">
        <v>0.0</v>
      </c>
      <c r="K995" s="5">
        <f t="shared" si="79"/>
        <v>0</v>
      </c>
      <c r="L995" s="5">
        <v>0.0</v>
      </c>
      <c r="N995" s="5">
        <f t="shared" ref="N995:N997" si="81">K995-L995</f>
        <v>0</v>
      </c>
      <c r="P995" s="3"/>
      <c r="Q995" s="3"/>
      <c r="R995" s="3"/>
      <c r="S995" s="3"/>
      <c r="T995" s="3"/>
      <c r="U995" s="3"/>
      <c r="V995" s="3"/>
      <c r="W995" s="3"/>
      <c r="X995" s="3"/>
      <c r="Y995" s="3"/>
      <c r="Z995" s="3"/>
      <c r="AA995" s="3"/>
      <c r="AB995" s="3"/>
      <c r="AC995" s="3"/>
      <c r="AD995" s="3"/>
      <c r="AE995" s="3"/>
      <c r="AF995" s="3"/>
      <c r="AG995" s="3"/>
    </row>
    <row r="996">
      <c r="A996" s="2">
        <v>2019.0</v>
      </c>
      <c r="B996" s="1" t="s">
        <v>26</v>
      </c>
      <c r="F996" s="5">
        <v>28439.0</v>
      </c>
      <c r="I996" s="5">
        <v>284.0</v>
      </c>
      <c r="K996" s="5">
        <f t="shared" si="79"/>
        <v>28723</v>
      </c>
      <c r="L996" s="5">
        <v>26390.0</v>
      </c>
      <c r="N996" s="5">
        <f t="shared" si="81"/>
        <v>2333</v>
      </c>
      <c r="P996" s="3"/>
      <c r="Q996" s="3"/>
      <c r="R996" s="3"/>
      <c r="S996" s="3"/>
      <c r="T996" s="3"/>
      <c r="U996" s="3"/>
      <c r="V996" s="3"/>
      <c r="W996" s="3"/>
      <c r="X996" s="3"/>
      <c r="Y996" s="3"/>
      <c r="Z996" s="3"/>
      <c r="AA996" s="3"/>
      <c r="AB996" s="3"/>
      <c r="AC996" s="3"/>
      <c r="AD996" s="3"/>
      <c r="AE996" s="3"/>
      <c r="AF996" s="3"/>
      <c r="AG996" s="3"/>
    </row>
    <row r="997">
      <c r="A997" s="2">
        <v>2019.0</v>
      </c>
      <c r="B997" s="1" t="s">
        <v>26</v>
      </c>
      <c r="F997" s="5">
        <v>14402.0</v>
      </c>
      <c r="I997" s="5">
        <f>578769</f>
        <v>578769</v>
      </c>
      <c r="J997" s="5">
        <v>6128.0</v>
      </c>
      <c r="K997" s="5">
        <f t="shared" si="79"/>
        <v>599299</v>
      </c>
      <c r="L997" s="5">
        <v>464632.0</v>
      </c>
      <c r="N997" s="5">
        <f t="shared" si="81"/>
        <v>134667</v>
      </c>
      <c r="P997" s="3"/>
      <c r="Q997" s="3"/>
      <c r="R997" s="3"/>
      <c r="S997" s="3"/>
      <c r="T997" s="3"/>
      <c r="U997" s="3"/>
      <c r="V997" s="3"/>
      <c r="W997" s="3"/>
      <c r="X997" s="3"/>
      <c r="Y997" s="3"/>
      <c r="Z997" s="3"/>
      <c r="AA997" s="3"/>
      <c r="AB997" s="3"/>
      <c r="AC997" s="3"/>
      <c r="AD997" s="3"/>
      <c r="AE997" s="3"/>
      <c r="AF997" s="3"/>
      <c r="AG997" s="3"/>
    </row>
    <row r="998">
      <c r="A998" s="2">
        <v>2019.0</v>
      </c>
      <c r="B998" s="1" t="s">
        <v>26</v>
      </c>
      <c r="F998" s="5">
        <f>SUM(F993:F997)</f>
        <v>477623</v>
      </c>
      <c r="I998" s="5">
        <f t="shared" ref="I998:L998" si="82">SUM(I993:I997)</f>
        <v>1045620</v>
      </c>
      <c r="J998" s="5">
        <f t="shared" si="82"/>
        <v>42079</v>
      </c>
      <c r="K998" s="5">
        <f t="shared" si="82"/>
        <v>1565322</v>
      </c>
      <c r="L998" s="5">
        <f t="shared" si="82"/>
        <v>1225932</v>
      </c>
      <c r="N998" s="5">
        <f>SUM(N993:N997)</f>
        <v>339390</v>
      </c>
      <c r="P998" s="3"/>
      <c r="Q998" s="3"/>
      <c r="R998" s="3"/>
      <c r="S998" s="3"/>
      <c r="T998" s="3"/>
      <c r="U998" s="3"/>
      <c r="V998" s="3"/>
      <c r="W998" s="3"/>
      <c r="X998" s="3"/>
      <c r="Y998" s="3"/>
      <c r="Z998" s="3"/>
      <c r="AA998" s="3"/>
      <c r="AB998" s="3"/>
      <c r="AC998" s="3"/>
      <c r="AD998" s="3"/>
      <c r="AE998" s="3"/>
      <c r="AF998" s="3"/>
      <c r="AG998" s="3"/>
    </row>
    <row r="999">
      <c r="A999" s="2">
        <v>2019.0</v>
      </c>
      <c r="B999" s="1" t="s">
        <v>26</v>
      </c>
      <c r="D999" s="5" t="s">
        <v>1347</v>
      </c>
      <c r="F999" s="5">
        <v>255003.0</v>
      </c>
      <c r="I999" s="5">
        <v>376788.0</v>
      </c>
      <c r="J999" s="5">
        <v>3079.0</v>
      </c>
      <c r="K999" s="5">
        <f>SUM(F999:J999)</f>
        <v>634870</v>
      </c>
      <c r="L999" s="5">
        <v>618886.0</v>
      </c>
      <c r="N999" s="5">
        <f>(K999-L999)</f>
        <v>15984</v>
      </c>
      <c r="P999" s="3"/>
      <c r="Q999" s="3"/>
      <c r="R999" s="3"/>
      <c r="S999" s="3"/>
      <c r="T999" s="3"/>
      <c r="U999" s="3"/>
      <c r="V999" s="3"/>
      <c r="W999" s="3"/>
      <c r="X999" s="3"/>
      <c r="Y999" s="3"/>
      <c r="Z999" s="3"/>
      <c r="AA999" s="3"/>
      <c r="AB999" s="3"/>
      <c r="AC999" s="3"/>
      <c r="AD999" s="3"/>
      <c r="AE999" s="3"/>
      <c r="AF999" s="3"/>
      <c r="AG999" s="3"/>
    </row>
    <row r="1000">
      <c r="A1000" s="2">
        <v>2019.0</v>
      </c>
      <c r="B1000" s="1" t="s">
        <v>26</v>
      </c>
      <c r="F1000" s="5">
        <v>2672.0</v>
      </c>
      <c r="I1000" s="5">
        <v>578769.0</v>
      </c>
      <c r="J1000" s="5">
        <v>2451.0</v>
      </c>
      <c r="K1000" s="5">
        <v>583892.0</v>
      </c>
      <c r="L1000" s="5">
        <v>561275.0</v>
      </c>
      <c r="N1000" s="5">
        <v>22617.0</v>
      </c>
      <c r="P1000" s="3"/>
      <c r="Q1000" s="3"/>
      <c r="R1000" s="3"/>
      <c r="S1000" s="3"/>
      <c r="T1000" s="3"/>
      <c r="U1000" s="3"/>
      <c r="V1000" s="3"/>
      <c r="W1000" s="3"/>
      <c r="X1000" s="3"/>
      <c r="Y1000" s="3"/>
      <c r="Z1000" s="3"/>
      <c r="AA1000" s="3"/>
      <c r="AB1000" s="3"/>
      <c r="AC1000" s="3"/>
      <c r="AD1000" s="3"/>
      <c r="AE1000" s="3"/>
      <c r="AF1000" s="3"/>
      <c r="AG1000" s="3"/>
    </row>
    <row r="1001">
      <c r="A1001" s="2">
        <v>2019.0</v>
      </c>
      <c r="B1001" s="1" t="s">
        <v>26</v>
      </c>
      <c r="F1001" s="5">
        <v>23718.0</v>
      </c>
      <c r="I1001" s="5">
        <v>577.0</v>
      </c>
      <c r="K1001" s="5">
        <v>24295.0</v>
      </c>
      <c r="L1001" s="5">
        <v>23990.0</v>
      </c>
      <c r="N1001" s="5">
        <v>305.0</v>
      </c>
      <c r="P1001" s="3"/>
      <c r="Q1001" s="3"/>
      <c r="R1001" s="3"/>
      <c r="S1001" s="3"/>
      <c r="T1001" s="3"/>
      <c r="U1001" s="3"/>
      <c r="V1001" s="3"/>
      <c r="W1001" s="3"/>
      <c r="X1001" s="3"/>
      <c r="Y1001" s="3"/>
      <c r="Z1001" s="3"/>
      <c r="AA1001" s="3"/>
      <c r="AB1001" s="3"/>
      <c r="AC1001" s="3"/>
      <c r="AD1001" s="3"/>
      <c r="AE1001" s="3"/>
      <c r="AF1001" s="3"/>
      <c r="AG1001" s="3"/>
    </row>
    <row r="1002">
      <c r="A1002" s="2">
        <v>2019.0</v>
      </c>
      <c r="B1002" s="1" t="s">
        <v>26</v>
      </c>
      <c r="F1002" s="5">
        <f>SUM(F999:F1001)</f>
        <v>281393</v>
      </c>
      <c r="I1002" s="5">
        <f t="shared" ref="I1002:L1002" si="83">SUM(I999:I1001)</f>
        <v>956134</v>
      </c>
      <c r="J1002" s="5">
        <f t="shared" si="83"/>
        <v>5530</v>
      </c>
      <c r="K1002" s="5">
        <f t="shared" si="83"/>
        <v>1243057</v>
      </c>
      <c r="L1002" s="5">
        <f t="shared" si="83"/>
        <v>1204151</v>
      </c>
      <c r="N1002" s="5">
        <f>SUM(N999:N1001)</f>
        <v>38906</v>
      </c>
      <c r="P1002" s="3"/>
      <c r="Q1002" s="3"/>
      <c r="R1002" s="3"/>
      <c r="S1002" s="3"/>
      <c r="T1002" s="3"/>
      <c r="U1002" s="3"/>
      <c r="V1002" s="3"/>
      <c r="W1002" s="3"/>
      <c r="X1002" s="3"/>
      <c r="Y1002" s="3"/>
      <c r="Z1002" s="3"/>
      <c r="AA1002" s="3"/>
      <c r="AB1002" s="3"/>
      <c r="AC1002" s="3"/>
      <c r="AD1002" s="3"/>
      <c r="AE1002" s="3"/>
      <c r="AF1002" s="3"/>
      <c r="AG1002" s="3"/>
    </row>
    <row r="1003">
      <c r="A1003" s="2">
        <v>2019.0</v>
      </c>
      <c r="B1003" s="1" t="s">
        <v>26</v>
      </c>
      <c r="D1003" s="5" t="s">
        <v>146</v>
      </c>
      <c r="F1003" s="5">
        <v>419638.0</v>
      </c>
      <c r="I1003" s="5">
        <v>733937.0</v>
      </c>
      <c r="J1003" s="5">
        <v>21736.0</v>
      </c>
      <c r="K1003" s="5">
        <f>SUM(F1003:J1003)</f>
        <v>1175311</v>
      </c>
      <c r="L1003" s="5">
        <v>726538.0</v>
      </c>
      <c r="N1003" s="5">
        <f>(K1003-L1003)</f>
        <v>448773</v>
      </c>
      <c r="P1003" s="3"/>
      <c r="Q1003" s="3"/>
      <c r="R1003" s="3"/>
      <c r="S1003" s="3"/>
      <c r="T1003" s="3"/>
      <c r="U1003" s="3"/>
      <c r="V1003" s="3"/>
      <c r="W1003" s="3"/>
      <c r="X1003" s="3"/>
      <c r="Y1003" s="3"/>
      <c r="Z1003" s="3"/>
      <c r="AA1003" s="3"/>
      <c r="AB1003" s="3"/>
      <c r="AC1003" s="3"/>
      <c r="AD1003" s="3"/>
      <c r="AE1003" s="3"/>
      <c r="AF1003" s="3"/>
      <c r="AG1003" s="3"/>
    </row>
    <row r="1004">
      <c r="A1004" s="2">
        <v>2019.0</v>
      </c>
      <c r="B1004" s="1" t="s">
        <v>26</v>
      </c>
      <c r="F1004" s="5">
        <v>15616.0</v>
      </c>
      <c r="I1004" s="5">
        <v>578769.0</v>
      </c>
      <c r="J1004" s="5">
        <v>3222.0</v>
      </c>
      <c r="K1004" s="5">
        <v>597607.0</v>
      </c>
      <c r="L1004" s="5">
        <v>100056.0</v>
      </c>
      <c r="N1004" s="5">
        <v>497551.0</v>
      </c>
      <c r="P1004" s="3"/>
      <c r="Q1004" s="3"/>
      <c r="R1004" s="3"/>
      <c r="S1004" s="3"/>
      <c r="T1004" s="3"/>
      <c r="U1004" s="3"/>
      <c r="V1004" s="3"/>
      <c r="W1004" s="3"/>
      <c r="X1004" s="3"/>
      <c r="Y1004" s="3"/>
      <c r="Z1004" s="3"/>
      <c r="AA1004" s="3"/>
      <c r="AB1004" s="3"/>
      <c r="AC1004" s="3"/>
      <c r="AD1004" s="3"/>
      <c r="AE1004" s="3"/>
      <c r="AF1004" s="3"/>
      <c r="AG1004" s="3"/>
    </row>
    <row r="1005">
      <c r="A1005" s="2">
        <v>2019.0</v>
      </c>
      <c r="B1005" s="1" t="s">
        <v>26</v>
      </c>
      <c r="F1005" s="5">
        <v>53536.0</v>
      </c>
      <c r="I1005" s="5">
        <v>1878.0</v>
      </c>
      <c r="K1005" s="5">
        <v>55414.0</v>
      </c>
      <c r="L1005" s="5">
        <v>31680.0</v>
      </c>
      <c r="N1005" s="5">
        <v>23734.0</v>
      </c>
      <c r="P1005" s="3"/>
      <c r="Q1005" s="3"/>
      <c r="R1005" s="3"/>
      <c r="S1005" s="3"/>
      <c r="T1005" s="3"/>
      <c r="U1005" s="3"/>
      <c r="V1005" s="3"/>
      <c r="W1005" s="3"/>
      <c r="X1005" s="3"/>
      <c r="Y1005" s="3"/>
      <c r="Z1005" s="3"/>
      <c r="AA1005" s="3"/>
      <c r="AB1005" s="3"/>
      <c r="AC1005" s="3"/>
      <c r="AD1005" s="3"/>
      <c r="AE1005" s="3"/>
      <c r="AF1005" s="3"/>
      <c r="AG1005" s="3"/>
    </row>
    <row r="1006">
      <c r="A1006" s="2">
        <v>2019.0</v>
      </c>
      <c r="B1006" s="1" t="s">
        <v>26</v>
      </c>
      <c r="F1006" s="5">
        <v>32522.0</v>
      </c>
      <c r="I1006" s="5">
        <v>52161.0</v>
      </c>
      <c r="J1006" s="5">
        <v>1157.0</v>
      </c>
      <c r="K1006" s="5">
        <v>85840.0</v>
      </c>
      <c r="L1006" s="5">
        <v>0.0</v>
      </c>
      <c r="N1006" s="5">
        <v>85840.0</v>
      </c>
      <c r="P1006" s="3"/>
      <c r="Q1006" s="3"/>
      <c r="R1006" s="3"/>
      <c r="S1006" s="3"/>
      <c r="T1006" s="3"/>
      <c r="U1006" s="3"/>
      <c r="V1006" s="3"/>
      <c r="W1006" s="3"/>
      <c r="X1006" s="3"/>
      <c r="Y1006" s="3"/>
      <c r="Z1006" s="3"/>
      <c r="AA1006" s="3"/>
      <c r="AB1006" s="3"/>
      <c r="AC1006" s="3"/>
      <c r="AD1006" s="3"/>
      <c r="AE1006" s="3"/>
      <c r="AF1006" s="3"/>
      <c r="AG1006" s="3"/>
    </row>
    <row r="1007">
      <c r="A1007" s="2">
        <v>2019.0</v>
      </c>
      <c r="B1007" s="1" t="s">
        <v>26</v>
      </c>
      <c r="F1007" s="5">
        <f>SUM(F1003:F1006)</f>
        <v>521312</v>
      </c>
      <c r="I1007" s="5">
        <f t="shared" ref="I1007:L1007" si="84">SUM(I1003:I1006)</f>
        <v>1366745</v>
      </c>
      <c r="J1007" s="5">
        <f t="shared" si="84"/>
        <v>26115</v>
      </c>
      <c r="K1007" s="5">
        <f t="shared" si="84"/>
        <v>1914172</v>
      </c>
      <c r="L1007" s="5">
        <f t="shared" si="84"/>
        <v>858274</v>
      </c>
      <c r="N1007" s="5">
        <f>SUM(N1003:N1006)</f>
        <v>1055898</v>
      </c>
      <c r="P1007" s="3"/>
      <c r="Q1007" s="3"/>
      <c r="R1007" s="3"/>
      <c r="S1007" s="3"/>
      <c r="T1007" s="3"/>
      <c r="U1007" s="3"/>
      <c r="V1007" s="3"/>
      <c r="W1007" s="3"/>
      <c r="X1007" s="3"/>
      <c r="Y1007" s="3"/>
      <c r="Z1007" s="3"/>
      <c r="AA1007" s="3"/>
      <c r="AB1007" s="3"/>
      <c r="AC1007" s="3"/>
      <c r="AD1007" s="3"/>
      <c r="AE1007" s="3"/>
      <c r="AF1007" s="3"/>
      <c r="AG1007" s="3"/>
    </row>
    <row r="1008">
      <c r="A1008" s="2">
        <v>2019.0</v>
      </c>
      <c r="B1008" s="1" t="s">
        <v>26</v>
      </c>
      <c r="D1008" s="5" t="s">
        <v>148</v>
      </c>
      <c r="F1008" s="5">
        <v>161318.0</v>
      </c>
      <c r="I1008" s="5">
        <v>1175937.0</v>
      </c>
      <c r="J1008" s="5">
        <v>20136.0</v>
      </c>
      <c r="K1008" s="5">
        <f t="shared" ref="K1008:K1011" si="85">SUM(F1008:J1008)</f>
        <v>1357391</v>
      </c>
      <c r="L1008" s="5">
        <v>1330347.0</v>
      </c>
      <c r="N1008" s="5">
        <f t="shared" ref="N1008:N1009" si="86">(K1008-L1008)</f>
        <v>27044</v>
      </c>
      <c r="P1008" s="3"/>
      <c r="Q1008" s="3"/>
      <c r="R1008" s="3"/>
      <c r="S1008" s="3"/>
      <c r="T1008" s="3"/>
      <c r="U1008" s="3"/>
      <c r="V1008" s="3"/>
      <c r="W1008" s="3"/>
      <c r="X1008" s="3"/>
      <c r="Y1008" s="3"/>
      <c r="Z1008" s="3"/>
      <c r="AA1008" s="3"/>
      <c r="AB1008" s="3"/>
      <c r="AC1008" s="3"/>
      <c r="AD1008" s="3"/>
      <c r="AE1008" s="3"/>
      <c r="AF1008" s="3"/>
      <c r="AG1008" s="3"/>
    </row>
    <row r="1009">
      <c r="A1009" s="2">
        <v>2019.0</v>
      </c>
      <c r="B1009" s="1" t="s">
        <v>26</v>
      </c>
      <c r="F1009" s="5">
        <v>2491.0</v>
      </c>
      <c r="I1009" s="5">
        <v>718104.0</v>
      </c>
      <c r="J1009" s="5">
        <v>1476.0</v>
      </c>
      <c r="K1009" s="5">
        <f t="shared" si="85"/>
        <v>722071</v>
      </c>
      <c r="L1009" s="5">
        <v>574335.0</v>
      </c>
      <c r="N1009" s="5">
        <f t="shared" si="86"/>
        <v>147736</v>
      </c>
      <c r="P1009" s="3"/>
      <c r="Q1009" s="3"/>
      <c r="R1009" s="3"/>
      <c r="S1009" s="3"/>
      <c r="T1009" s="3"/>
      <c r="U1009" s="3"/>
      <c r="V1009" s="3"/>
      <c r="W1009" s="3"/>
      <c r="X1009" s="3"/>
      <c r="Y1009" s="3"/>
      <c r="Z1009" s="3"/>
      <c r="AA1009" s="3"/>
      <c r="AB1009" s="3"/>
      <c r="AC1009" s="3"/>
      <c r="AD1009" s="3"/>
      <c r="AE1009" s="3"/>
      <c r="AF1009" s="3"/>
      <c r="AG1009" s="3"/>
    </row>
    <row r="1010">
      <c r="A1010" s="2">
        <v>2019.0</v>
      </c>
      <c r="B1010" s="1" t="s">
        <v>26</v>
      </c>
      <c r="F1010" s="5">
        <v>67317.0</v>
      </c>
      <c r="I1010" s="5">
        <v>1444.0</v>
      </c>
      <c r="K1010" s="5">
        <f t="shared" si="85"/>
        <v>68761</v>
      </c>
      <c r="L1010" s="5">
        <v>62060.0</v>
      </c>
      <c r="N1010" s="5">
        <f t="shared" ref="N1010:N1011" si="87">K1010-L1010</f>
        <v>6701</v>
      </c>
      <c r="P1010" s="3"/>
      <c r="Q1010" s="3"/>
      <c r="R1010" s="3"/>
      <c r="S1010" s="3"/>
      <c r="T1010" s="3"/>
      <c r="U1010" s="3"/>
      <c r="V1010" s="3"/>
      <c r="W1010" s="3"/>
      <c r="X1010" s="3"/>
      <c r="Y1010" s="3"/>
      <c r="Z1010" s="3"/>
      <c r="AA1010" s="3"/>
      <c r="AB1010" s="3"/>
      <c r="AC1010" s="3"/>
      <c r="AD1010" s="3"/>
      <c r="AE1010" s="3"/>
      <c r="AF1010" s="3"/>
      <c r="AG1010" s="3"/>
    </row>
    <row r="1011">
      <c r="A1011" s="2">
        <v>2019.0</v>
      </c>
      <c r="B1011" s="1" t="s">
        <v>26</v>
      </c>
      <c r="F1011" s="5">
        <v>91761.0</v>
      </c>
      <c r="I1011" s="5">
        <v>30012.0</v>
      </c>
      <c r="J1011" s="5">
        <v>1860.0</v>
      </c>
      <c r="K1011" s="5">
        <f t="shared" si="85"/>
        <v>123633</v>
      </c>
      <c r="L1011" s="5">
        <v>17020.0</v>
      </c>
      <c r="N1011" s="5">
        <f t="shared" si="87"/>
        <v>106613</v>
      </c>
      <c r="P1011" s="3"/>
      <c r="Q1011" s="3"/>
      <c r="R1011" s="3"/>
      <c r="S1011" s="3"/>
      <c r="T1011" s="3"/>
      <c r="U1011" s="3"/>
      <c r="V1011" s="3"/>
      <c r="W1011" s="3"/>
      <c r="X1011" s="3"/>
      <c r="Y1011" s="3"/>
      <c r="Z1011" s="3"/>
      <c r="AA1011" s="3"/>
      <c r="AB1011" s="3"/>
      <c r="AC1011" s="3"/>
      <c r="AD1011" s="3"/>
      <c r="AE1011" s="3"/>
      <c r="AF1011" s="3"/>
      <c r="AG1011" s="3"/>
    </row>
    <row r="1012">
      <c r="A1012" s="2">
        <v>2019.0</v>
      </c>
      <c r="B1012" s="1" t="s">
        <v>26</v>
      </c>
      <c r="F1012" s="5">
        <f>SUM(F1008:F1011)</f>
        <v>322887</v>
      </c>
      <c r="I1012" s="5">
        <f t="shared" ref="I1012:L1012" si="88">SUM(I1008:I1011)</f>
        <v>1925497</v>
      </c>
      <c r="J1012" s="5">
        <f t="shared" si="88"/>
        <v>23472</v>
      </c>
      <c r="K1012" s="5">
        <f t="shared" si="88"/>
        <v>2271856</v>
      </c>
      <c r="L1012" s="5">
        <f t="shared" si="88"/>
        <v>1983762</v>
      </c>
      <c r="N1012" s="5">
        <f>SUM(N1008:N1011)</f>
        <v>288094</v>
      </c>
      <c r="P1012" s="3"/>
      <c r="Q1012" s="3"/>
      <c r="R1012" s="3"/>
      <c r="S1012" s="3"/>
      <c r="T1012" s="3"/>
      <c r="U1012" s="3"/>
      <c r="V1012" s="3"/>
      <c r="W1012" s="3"/>
      <c r="X1012" s="3"/>
      <c r="Y1012" s="3"/>
      <c r="Z1012" s="3"/>
      <c r="AA1012" s="3"/>
      <c r="AB1012" s="3"/>
      <c r="AC1012" s="3"/>
      <c r="AD1012" s="3"/>
      <c r="AE1012" s="3"/>
      <c r="AF1012" s="3"/>
      <c r="AG1012" s="3"/>
    </row>
    <row r="1013">
      <c r="A1013" s="2">
        <v>2019.0</v>
      </c>
      <c r="B1013" s="1" t="s">
        <v>26</v>
      </c>
      <c r="D1013" s="5" t="s">
        <v>1355</v>
      </c>
      <c r="F1013" s="5">
        <v>486138.0</v>
      </c>
      <c r="I1013" s="5">
        <v>376785.0</v>
      </c>
      <c r="J1013" s="5">
        <v>6473.0</v>
      </c>
      <c r="K1013" s="5">
        <v>869396.0</v>
      </c>
      <c r="L1013" s="5">
        <v>778630.0</v>
      </c>
      <c r="N1013" s="5">
        <v>90766.0</v>
      </c>
      <c r="P1013" s="3"/>
      <c r="Q1013" s="3"/>
      <c r="R1013" s="3"/>
      <c r="S1013" s="3"/>
      <c r="T1013" s="3"/>
      <c r="U1013" s="3"/>
      <c r="V1013" s="3"/>
      <c r="W1013" s="3"/>
      <c r="X1013" s="3"/>
      <c r="Y1013" s="3"/>
      <c r="Z1013" s="3"/>
      <c r="AA1013" s="3"/>
      <c r="AB1013" s="3"/>
      <c r="AC1013" s="3"/>
      <c r="AD1013" s="3"/>
      <c r="AE1013" s="3"/>
      <c r="AF1013" s="3"/>
      <c r="AG1013" s="3"/>
    </row>
    <row r="1014">
      <c r="A1014" s="2">
        <v>2019.0</v>
      </c>
      <c r="B1014" s="1" t="s">
        <v>26</v>
      </c>
      <c r="F1014" s="5">
        <v>10743.0</v>
      </c>
      <c r="I1014" s="5">
        <v>826104.0</v>
      </c>
      <c r="J1014" s="5">
        <v>6474.0</v>
      </c>
      <c r="K1014" s="5">
        <f t="shared" ref="K1014:K1016" si="89">SUM(F1014:J1014)</f>
        <v>843321</v>
      </c>
      <c r="L1014" s="5">
        <v>696941.0</v>
      </c>
      <c r="N1014" s="5">
        <f>(K1014-L1014)</f>
        <v>146380</v>
      </c>
      <c r="P1014" s="3"/>
      <c r="Q1014" s="3"/>
      <c r="R1014" s="3"/>
      <c r="S1014" s="3"/>
      <c r="T1014" s="3"/>
      <c r="U1014" s="3"/>
      <c r="V1014" s="3"/>
      <c r="W1014" s="3"/>
      <c r="X1014" s="3"/>
      <c r="Y1014" s="3"/>
      <c r="Z1014" s="3"/>
      <c r="AA1014" s="3"/>
      <c r="AB1014" s="3"/>
      <c r="AC1014" s="3"/>
      <c r="AD1014" s="3"/>
      <c r="AE1014" s="3"/>
      <c r="AF1014" s="3"/>
      <c r="AG1014" s="3"/>
    </row>
    <row r="1015">
      <c r="A1015" s="2">
        <v>2019.0</v>
      </c>
      <c r="B1015" s="1" t="s">
        <v>26</v>
      </c>
      <c r="F1015" s="5">
        <v>94121.0</v>
      </c>
      <c r="I1015" s="5">
        <v>2155.0</v>
      </c>
      <c r="K1015" s="5">
        <f t="shared" si="89"/>
        <v>96276</v>
      </c>
      <c r="L1015" s="5">
        <v>88740.0</v>
      </c>
      <c r="N1015" s="5">
        <f t="shared" ref="N1015:N1016" si="90">K1015-L1015</f>
        <v>7536</v>
      </c>
      <c r="P1015" s="3"/>
      <c r="Q1015" s="3"/>
      <c r="R1015" s="3"/>
      <c r="S1015" s="3"/>
      <c r="T1015" s="3"/>
      <c r="U1015" s="3"/>
      <c r="V1015" s="3"/>
      <c r="W1015" s="3"/>
      <c r="X1015" s="3"/>
      <c r="Y1015" s="3"/>
      <c r="Z1015" s="3"/>
      <c r="AA1015" s="3"/>
      <c r="AB1015" s="3"/>
      <c r="AC1015" s="3"/>
      <c r="AD1015" s="3"/>
      <c r="AE1015" s="3"/>
      <c r="AF1015" s="3"/>
      <c r="AG1015" s="3"/>
    </row>
    <row r="1016">
      <c r="A1016" s="2">
        <v>2019.0</v>
      </c>
      <c r="B1016" s="1" t="s">
        <v>26</v>
      </c>
      <c r="F1016" s="5">
        <v>179522.0</v>
      </c>
      <c r="I1016" s="5">
        <v>84422.0</v>
      </c>
      <c r="J1016" s="5">
        <v>3602.0</v>
      </c>
      <c r="K1016" s="5">
        <f t="shared" si="89"/>
        <v>267546</v>
      </c>
      <c r="L1016" s="5">
        <v>75941.0</v>
      </c>
      <c r="N1016" s="5">
        <f t="shared" si="90"/>
        <v>191605</v>
      </c>
      <c r="P1016" s="3"/>
      <c r="Q1016" s="3"/>
      <c r="R1016" s="3"/>
      <c r="S1016" s="3"/>
      <c r="T1016" s="3"/>
      <c r="U1016" s="3"/>
      <c r="V1016" s="3"/>
      <c r="W1016" s="3"/>
      <c r="X1016" s="3"/>
      <c r="Y1016" s="3"/>
      <c r="Z1016" s="3"/>
      <c r="AA1016" s="3"/>
      <c r="AB1016" s="3"/>
      <c r="AC1016" s="3"/>
      <c r="AD1016" s="3"/>
      <c r="AE1016" s="3"/>
      <c r="AF1016" s="3"/>
      <c r="AG1016" s="3"/>
    </row>
    <row r="1017">
      <c r="A1017" s="2">
        <v>2019.0</v>
      </c>
      <c r="B1017" s="1" t="s">
        <v>26</v>
      </c>
      <c r="F1017" s="5">
        <f>SUM(F1013:F1016)</f>
        <v>770524</v>
      </c>
      <c r="I1017" s="5">
        <f t="shared" ref="I1017:L1017" si="91">SUM(I1013:I1016)</f>
        <v>1289466</v>
      </c>
      <c r="J1017" s="5">
        <f t="shared" si="91"/>
        <v>16549</v>
      </c>
      <c r="K1017" s="5">
        <f t="shared" si="91"/>
        <v>2076539</v>
      </c>
      <c r="L1017" s="5">
        <f t="shared" si="91"/>
        <v>1640252</v>
      </c>
      <c r="N1017" s="5">
        <f>SUM(N1013:N1016)</f>
        <v>436287</v>
      </c>
      <c r="P1017" s="3"/>
      <c r="Q1017" s="3"/>
      <c r="R1017" s="3"/>
      <c r="S1017" s="3"/>
      <c r="T1017" s="3"/>
      <c r="U1017" s="3"/>
      <c r="V1017" s="3"/>
      <c r="W1017" s="3"/>
      <c r="X1017" s="3"/>
      <c r="Y1017" s="3"/>
      <c r="Z1017" s="3"/>
      <c r="AA1017" s="3"/>
      <c r="AB1017" s="3"/>
      <c r="AC1017" s="3"/>
      <c r="AD1017" s="3"/>
      <c r="AE1017" s="3"/>
      <c r="AF1017" s="3"/>
      <c r="AG1017" s="3"/>
    </row>
    <row r="1018">
      <c r="A1018" s="2">
        <v>2019.0</v>
      </c>
      <c r="B1018" s="1" t="s">
        <v>26</v>
      </c>
      <c r="D1018" s="5" t="s">
        <v>143</v>
      </c>
      <c r="F1018" s="5">
        <v>316871.0</v>
      </c>
      <c r="I1018" s="5">
        <v>393534.0</v>
      </c>
      <c r="J1018" s="5">
        <v>6646.0</v>
      </c>
      <c r="K1018" s="5">
        <f t="shared" ref="K1018:K1021" si="92">SUM(F1018:J1018)</f>
        <v>717051</v>
      </c>
      <c r="L1018" s="5">
        <v>628559.0</v>
      </c>
      <c r="N1018" s="5">
        <f>K1018-L1018</f>
        <v>88492</v>
      </c>
      <c r="P1018" s="3"/>
      <c r="Q1018" s="3"/>
      <c r="R1018" s="3"/>
      <c r="S1018" s="3"/>
      <c r="T1018" s="3"/>
      <c r="U1018" s="3"/>
      <c r="V1018" s="3"/>
      <c r="W1018" s="3"/>
      <c r="X1018" s="3"/>
      <c r="Y1018" s="3"/>
      <c r="Z1018" s="3"/>
      <c r="AA1018" s="3"/>
      <c r="AB1018" s="3"/>
      <c r="AC1018" s="3"/>
      <c r="AD1018" s="3"/>
      <c r="AE1018" s="3"/>
      <c r="AF1018" s="3"/>
      <c r="AG1018" s="3"/>
    </row>
    <row r="1019">
      <c r="A1019" s="2">
        <v>2019.0</v>
      </c>
      <c r="B1019" s="1" t="s">
        <v>26</v>
      </c>
      <c r="F1019" s="5">
        <v>1978.0</v>
      </c>
      <c r="I1019" s="5">
        <f>240000+321172</f>
        <v>561172</v>
      </c>
      <c r="J1019" s="5">
        <v>3461.0</v>
      </c>
      <c r="K1019" s="5">
        <f t="shared" si="92"/>
        <v>566611</v>
      </c>
      <c r="L1019" s="5">
        <f>120000+200000</f>
        <v>320000</v>
      </c>
      <c r="N1019" s="5">
        <f>(K1019-L1019)</f>
        <v>246611</v>
      </c>
      <c r="P1019" s="3"/>
      <c r="Q1019" s="3"/>
      <c r="R1019" s="3"/>
      <c r="S1019" s="3"/>
      <c r="T1019" s="3"/>
      <c r="U1019" s="3"/>
      <c r="V1019" s="3"/>
      <c r="W1019" s="3"/>
      <c r="X1019" s="3"/>
      <c r="Y1019" s="3"/>
      <c r="Z1019" s="3"/>
      <c r="AA1019" s="3"/>
      <c r="AB1019" s="3"/>
      <c r="AC1019" s="3"/>
      <c r="AD1019" s="3"/>
      <c r="AE1019" s="3"/>
      <c r="AF1019" s="3"/>
      <c r="AG1019" s="3"/>
    </row>
    <row r="1020">
      <c r="A1020" s="2">
        <v>2019.0</v>
      </c>
      <c r="B1020" s="1" t="s">
        <v>26</v>
      </c>
      <c r="F1020" s="5">
        <v>83242.0</v>
      </c>
      <c r="I1020" s="5">
        <v>1809.0</v>
      </c>
      <c r="K1020" s="5">
        <f t="shared" si="92"/>
        <v>85051</v>
      </c>
      <c r="L1020" s="5">
        <v>84705.0</v>
      </c>
      <c r="N1020" s="5">
        <f t="shared" ref="N1020:N1021" si="93">K1020-L1020</f>
        <v>346</v>
      </c>
      <c r="P1020" s="3"/>
      <c r="Q1020" s="3"/>
      <c r="R1020" s="3"/>
      <c r="S1020" s="3"/>
      <c r="T1020" s="3"/>
      <c r="U1020" s="3"/>
      <c r="V1020" s="3"/>
      <c r="W1020" s="3"/>
      <c r="X1020" s="3"/>
      <c r="Y1020" s="3"/>
      <c r="Z1020" s="3"/>
      <c r="AA1020" s="3"/>
      <c r="AB1020" s="3"/>
      <c r="AC1020" s="3"/>
      <c r="AD1020" s="3"/>
      <c r="AE1020" s="3"/>
      <c r="AF1020" s="3"/>
      <c r="AG1020" s="3"/>
    </row>
    <row r="1021">
      <c r="A1021" s="2">
        <v>2019.0</v>
      </c>
      <c r="B1021" s="1" t="s">
        <v>26</v>
      </c>
      <c r="F1021" s="5">
        <v>7481.0</v>
      </c>
      <c r="I1021" s="5">
        <f>187869</f>
        <v>187869</v>
      </c>
      <c r="J1021" s="5">
        <v>2464.0</v>
      </c>
      <c r="K1021" s="5">
        <f t="shared" si="92"/>
        <v>197814</v>
      </c>
      <c r="L1021" s="5">
        <v>194143.0</v>
      </c>
      <c r="N1021" s="5">
        <f t="shared" si="93"/>
        <v>3671</v>
      </c>
      <c r="P1021" s="3"/>
      <c r="Q1021" s="3"/>
      <c r="R1021" s="3"/>
      <c r="S1021" s="3"/>
      <c r="T1021" s="3"/>
      <c r="U1021" s="3"/>
      <c r="V1021" s="3"/>
      <c r="W1021" s="3"/>
      <c r="X1021" s="3"/>
      <c r="Y1021" s="3"/>
      <c r="Z1021" s="3"/>
      <c r="AA1021" s="3"/>
      <c r="AB1021" s="3"/>
      <c r="AC1021" s="3"/>
      <c r="AD1021" s="3"/>
      <c r="AE1021" s="3"/>
      <c r="AF1021" s="3"/>
      <c r="AG1021" s="3"/>
    </row>
    <row r="1022">
      <c r="A1022" s="2">
        <v>2019.0</v>
      </c>
      <c r="B1022" s="1" t="s">
        <v>26</v>
      </c>
      <c r="F1022" s="5">
        <f>SUM(F1018:F1021)</f>
        <v>409572</v>
      </c>
      <c r="I1022" s="5">
        <f t="shared" ref="I1022:L1022" si="94">SUM(I1018:I1021)</f>
        <v>1144384</v>
      </c>
      <c r="J1022" s="5">
        <f t="shared" si="94"/>
        <v>12571</v>
      </c>
      <c r="K1022" s="5">
        <f t="shared" si="94"/>
        <v>1566527</v>
      </c>
      <c r="L1022" s="5">
        <f t="shared" si="94"/>
        <v>1227407</v>
      </c>
      <c r="N1022" s="5">
        <f>SUM(N1018:N1021)</f>
        <v>339120</v>
      </c>
      <c r="P1022" s="3"/>
      <c r="Q1022" s="3"/>
      <c r="R1022" s="3"/>
      <c r="S1022" s="3"/>
      <c r="T1022" s="3"/>
      <c r="U1022" s="3"/>
      <c r="V1022" s="3"/>
      <c r="W1022" s="3"/>
      <c r="X1022" s="3"/>
      <c r="Y1022" s="3"/>
      <c r="Z1022" s="3"/>
      <c r="AA1022" s="3"/>
      <c r="AB1022" s="3"/>
      <c r="AC1022" s="3"/>
      <c r="AD1022" s="3"/>
      <c r="AE1022" s="3"/>
      <c r="AF1022" s="3"/>
      <c r="AG1022" s="3"/>
    </row>
    <row r="1023">
      <c r="A1023" s="2">
        <v>2019.0</v>
      </c>
      <c r="B1023" s="1" t="s">
        <v>26</v>
      </c>
      <c r="D1023" s="5" t="s">
        <v>1360</v>
      </c>
      <c r="F1023" s="5">
        <v>78134.0</v>
      </c>
      <c r="I1023" s="5">
        <v>621172.0</v>
      </c>
      <c r="J1023" s="5">
        <v>9845.0</v>
      </c>
      <c r="K1023" s="5">
        <f t="shared" ref="K1023:K1026" si="95">SUM(F1023:J1023)</f>
        <v>709151</v>
      </c>
      <c r="L1023" s="5">
        <v>585340.0</v>
      </c>
      <c r="N1023" s="5">
        <f t="shared" ref="N1023:N1024" si="96">(K1023-L1023)</f>
        <v>123811</v>
      </c>
      <c r="P1023" s="3"/>
      <c r="Q1023" s="3"/>
      <c r="R1023" s="3"/>
      <c r="S1023" s="3"/>
      <c r="T1023" s="3"/>
      <c r="U1023" s="3"/>
      <c r="V1023" s="3"/>
      <c r="W1023" s="3"/>
      <c r="X1023" s="3"/>
      <c r="Y1023" s="3"/>
      <c r="Z1023" s="3"/>
      <c r="AA1023" s="3"/>
      <c r="AB1023" s="3"/>
      <c r="AC1023" s="3"/>
      <c r="AD1023" s="3"/>
      <c r="AE1023" s="3"/>
      <c r="AF1023" s="3"/>
      <c r="AG1023" s="3"/>
    </row>
    <row r="1024">
      <c r="A1024" s="2">
        <v>2019.0</v>
      </c>
      <c r="B1024" s="1" t="s">
        <v>26</v>
      </c>
      <c r="F1024" s="5">
        <v>0.0</v>
      </c>
      <c r="I1024" s="5">
        <v>54765.0</v>
      </c>
      <c r="K1024" s="5">
        <f t="shared" si="95"/>
        <v>54765</v>
      </c>
      <c r="L1024" s="5">
        <v>54765.0</v>
      </c>
      <c r="N1024" s="5">
        <f t="shared" si="96"/>
        <v>0</v>
      </c>
      <c r="P1024" s="3"/>
      <c r="Q1024" s="3"/>
      <c r="R1024" s="3"/>
      <c r="S1024" s="3"/>
      <c r="T1024" s="3"/>
      <c r="U1024" s="3"/>
      <c r="V1024" s="3"/>
      <c r="W1024" s="3"/>
      <c r="X1024" s="3"/>
      <c r="Y1024" s="3"/>
      <c r="Z1024" s="3"/>
      <c r="AA1024" s="3"/>
      <c r="AB1024" s="3"/>
      <c r="AC1024" s="3"/>
      <c r="AD1024" s="3"/>
      <c r="AE1024" s="3"/>
      <c r="AF1024" s="3"/>
      <c r="AG1024" s="3"/>
    </row>
    <row r="1025">
      <c r="A1025" s="2">
        <v>2019.0</v>
      </c>
      <c r="B1025" s="1" t="s">
        <v>26</v>
      </c>
      <c r="F1025" s="5">
        <v>3206.0</v>
      </c>
      <c r="I1025" s="5">
        <v>578769.0</v>
      </c>
      <c r="J1025" s="5">
        <v>1158.0</v>
      </c>
      <c r="K1025" s="5">
        <f t="shared" si="95"/>
        <v>583133</v>
      </c>
      <c r="L1025" s="5">
        <v>0.0</v>
      </c>
      <c r="N1025" s="5">
        <f t="shared" ref="N1025:N1026" si="97">K1025-L1025</f>
        <v>583133</v>
      </c>
      <c r="P1025" s="3"/>
      <c r="Q1025" s="3"/>
      <c r="R1025" s="3"/>
      <c r="S1025" s="3"/>
      <c r="T1025" s="3"/>
      <c r="U1025" s="3"/>
      <c r="V1025" s="3"/>
      <c r="W1025" s="3"/>
      <c r="X1025" s="3"/>
      <c r="Y1025" s="3"/>
      <c r="Z1025" s="3"/>
      <c r="AA1025" s="3"/>
      <c r="AB1025" s="3"/>
      <c r="AC1025" s="3"/>
      <c r="AD1025" s="3"/>
      <c r="AE1025" s="3"/>
      <c r="AF1025" s="3"/>
      <c r="AG1025" s="3"/>
    </row>
    <row r="1026">
      <c r="A1026" s="2">
        <v>2019.0</v>
      </c>
      <c r="B1026" s="1" t="s">
        <v>26</v>
      </c>
      <c r="F1026" s="5">
        <v>93328.0</v>
      </c>
      <c r="I1026" s="5">
        <v>2475.0</v>
      </c>
      <c r="K1026" s="5">
        <f t="shared" si="95"/>
        <v>95803</v>
      </c>
      <c r="L1026" s="5">
        <v>89750.0</v>
      </c>
      <c r="N1026" s="5">
        <f t="shared" si="97"/>
        <v>6053</v>
      </c>
      <c r="P1026" s="3"/>
      <c r="Q1026" s="3"/>
      <c r="R1026" s="3"/>
      <c r="S1026" s="3"/>
      <c r="T1026" s="3"/>
      <c r="U1026" s="3"/>
      <c r="V1026" s="3"/>
      <c r="W1026" s="3"/>
      <c r="X1026" s="3"/>
      <c r="Y1026" s="3"/>
      <c r="Z1026" s="3"/>
      <c r="AA1026" s="3"/>
      <c r="AB1026" s="3"/>
      <c r="AC1026" s="3"/>
      <c r="AD1026" s="3"/>
      <c r="AE1026" s="3"/>
      <c r="AF1026" s="3"/>
      <c r="AG1026" s="3"/>
    </row>
    <row r="1027">
      <c r="A1027" s="2">
        <v>2019.0</v>
      </c>
      <c r="B1027" s="1" t="s">
        <v>26</v>
      </c>
      <c r="D1027" s="5" t="s">
        <v>153</v>
      </c>
      <c r="F1027" s="5">
        <v>174668.0</v>
      </c>
      <c r="I1027" s="5">
        <v>1257181.0</v>
      </c>
      <c r="J1027" s="5">
        <v>11003.0</v>
      </c>
      <c r="K1027" s="5">
        <v>1442852.0</v>
      </c>
      <c r="L1027" s="5">
        <v>729855.0</v>
      </c>
      <c r="N1027" s="5">
        <v>712997.0</v>
      </c>
      <c r="P1027" s="3"/>
      <c r="Q1027" s="3"/>
      <c r="R1027" s="3"/>
      <c r="S1027" s="3"/>
      <c r="T1027" s="3"/>
      <c r="U1027" s="3"/>
      <c r="V1027" s="3"/>
      <c r="W1027" s="3"/>
      <c r="X1027" s="3"/>
      <c r="Y1027" s="3"/>
      <c r="Z1027" s="3"/>
      <c r="AA1027" s="3"/>
      <c r="AB1027" s="3"/>
      <c r="AC1027" s="3"/>
      <c r="AD1027" s="3"/>
      <c r="AE1027" s="3"/>
      <c r="AF1027" s="3"/>
      <c r="AG1027" s="3"/>
    </row>
    <row r="1028">
      <c r="A1028" s="2">
        <v>2019.0</v>
      </c>
      <c r="B1028" s="1" t="s">
        <v>26</v>
      </c>
      <c r="D1028" s="5" t="s">
        <v>289</v>
      </c>
      <c r="F1028" s="5">
        <v>310546.0</v>
      </c>
      <c r="I1028" s="5">
        <v>322020.0</v>
      </c>
      <c r="J1028" s="5">
        <v>9404.0</v>
      </c>
      <c r="K1028" s="5">
        <f t="shared" ref="K1028:K1031" si="98">SUM(F1028:J1028)</f>
        <v>641970</v>
      </c>
      <c r="L1028" s="5">
        <v>364233.0</v>
      </c>
      <c r="N1028" s="5">
        <f t="shared" ref="N1028:N1029" si="99">(K1028-L1028)</f>
        <v>277737</v>
      </c>
      <c r="P1028" s="3"/>
      <c r="Q1028" s="3"/>
      <c r="R1028" s="3"/>
      <c r="S1028" s="3"/>
      <c r="T1028" s="3"/>
      <c r="U1028" s="3"/>
      <c r="V1028" s="3"/>
      <c r="W1028" s="3"/>
      <c r="X1028" s="3"/>
      <c r="Y1028" s="3"/>
      <c r="Z1028" s="3"/>
      <c r="AA1028" s="3"/>
      <c r="AB1028" s="3"/>
      <c r="AC1028" s="3"/>
      <c r="AD1028" s="3"/>
      <c r="AE1028" s="3"/>
      <c r="AF1028" s="3"/>
      <c r="AG1028" s="3"/>
    </row>
    <row r="1029">
      <c r="A1029" s="2">
        <v>2019.0</v>
      </c>
      <c r="B1029" s="1" t="s">
        <v>26</v>
      </c>
      <c r="F1029" s="5">
        <v>4925.0</v>
      </c>
      <c r="I1029" s="5">
        <v>578769.0</v>
      </c>
      <c r="J1029" s="5">
        <v>4613.0</v>
      </c>
      <c r="K1029" s="5">
        <f t="shared" si="98"/>
        <v>588307</v>
      </c>
      <c r="L1029" s="5">
        <v>239957.0</v>
      </c>
      <c r="N1029" s="5">
        <f t="shared" si="99"/>
        <v>348350</v>
      </c>
      <c r="P1029" s="3"/>
      <c r="Q1029" s="3"/>
      <c r="R1029" s="3"/>
      <c r="S1029" s="3"/>
      <c r="T1029" s="3"/>
      <c r="U1029" s="3"/>
      <c r="V1029" s="3"/>
      <c r="W1029" s="3"/>
      <c r="X1029" s="3"/>
      <c r="Y1029" s="3"/>
      <c r="Z1029" s="3"/>
      <c r="AA1029" s="3"/>
      <c r="AB1029" s="3"/>
      <c r="AC1029" s="3"/>
      <c r="AD1029" s="3"/>
      <c r="AE1029" s="3"/>
      <c r="AF1029" s="3"/>
      <c r="AG1029" s="3"/>
    </row>
    <row r="1030">
      <c r="A1030" s="2">
        <v>2019.0</v>
      </c>
      <c r="B1030" s="1" t="s">
        <v>26</v>
      </c>
      <c r="F1030" s="5">
        <v>42903.0</v>
      </c>
      <c r="I1030" s="5">
        <v>54865.0</v>
      </c>
      <c r="J1030" s="5">
        <v>874.0</v>
      </c>
      <c r="K1030" s="5">
        <f t="shared" si="98"/>
        <v>98642</v>
      </c>
      <c r="L1030" s="5">
        <v>97365.0</v>
      </c>
      <c r="N1030" s="5">
        <f t="shared" ref="N1030:N1031" si="100">K1030-L1030</f>
        <v>1277</v>
      </c>
      <c r="P1030" s="3"/>
      <c r="Q1030" s="3"/>
      <c r="R1030" s="3"/>
      <c r="S1030" s="3"/>
      <c r="T1030" s="3"/>
      <c r="U1030" s="3"/>
      <c r="V1030" s="3"/>
      <c r="W1030" s="3"/>
      <c r="X1030" s="3"/>
      <c r="Y1030" s="3"/>
      <c r="Z1030" s="3"/>
      <c r="AA1030" s="3"/>
      <c r="AB1030" s="3"/>
      <c r="AC1030" s="3"/>
      <c r="AD1030" s="3"/>
      <c r="AE1030" s="3"/>
      <c r="AF1030" s="3"/>
      <c r="AG1030" s="3"/>
    </row>
    <row r="1031">
      <c r="A1031" s="2">
        <v>2019.0</v>
      </c>
      <c r="B1031" s="1" t="s">
        <v>26</v>
      </c>
      <c r="F1031" s="5">
        <v>26210.0</v>
      </c>
      <c r="I1031" s="5">
        <v>35200.0</v>
      </c>
      <c r="J1031" s="5">
        <v>634.0</v>
      </c>
      <c r="K1031" s="5">
        <f t="shared" si="98"/>
        <v>62044</v>
      </c>
      <c r="L1031" s="5">
        <v>52925.0</v>
      </c>
      <c r="N1031" s="5">
        <f t="shared" si="100"/>
        <v>9119</v>
      </c>
      <c r="P1031" s="3"/>
      <c r="Q1031" s="3"/>
      <c r="R1031" s="3"/>
      <c r="S1031" s="3"/>
      <c r="T1031" s="3"/>
      <c r="U1031" s="3"/>
      <c r="V1031" s="3"/>
      <c r="W1031" s="3"/>
      <c r="X1031" s="3"/>
      <c r="Y1031" s="3"/>
      <c r="Z1031" s="3"/>
      <c r="AA1031" s="3"/>
      <c r="AB1031" s="3"/>
      <c r="AC1031" s="3"/>
      <c r="AD1031" s="3"/>
      <c r="AE1031" s="3"/>
      <c r="AF1031" s="3"/>
      <c r="AG1031" s="3"/>
    </row>
    <row r="1032">
      <c r="A1032" s="2">
        <v>2019.0</v>
      </c>
      <c r="B1032" s="1" t="s">
        <v>26</v>
      </c>
      <c r="F1032" s="5">
        <f>SUM(H1028:H1031)</f>
        <v>0</v>
      </c>
      <c r="I1032" s="5">
        <f t="shared" ref="I1032:L1032" si="101">SUM(I1028:I1031)</f>
        <v>990854</v>
      </c>
      <c r="J1032" s="5">
        <f t="shared" si="101"/>
        <v>15525</v>
      </c>
      <c r="K1032" s="5">
        <f t="shared" si="101"/>
        <v>1390963</v>
      </c>
      <c r="L1032" s="5">
        <f t="shared" si="101"/>
        <v>754480</v>
      </c>
      <c r="N1032" s="5">
        <f>SUM(N1028:N1031)</f>
        <v>636483</v>
      </c>
      <c r="P1032" s="3"/>
      <c r="Q1032" s="3"/>
      <c r="R1032" s="3"/>
      <c r="S1032" s="3"/>
      <c r="T1032" s="3"/>
      <c r="U1032" s="3"/>
      <c r="V1032" s="3"/>
      <c r="W1032" s="3"/>
      <c r="X1032" s="3"/>
      <c r="Y1032" s="3"/>
      <c r="Z1032" s="3"/>
      <c r="AA1032" s="3"/>
      <c r="AB1032" s="3"/>
      <c r="AC1032" s="3"/>
      <c r="AD1032" s="3"/>
      <c r="AE1032" s="3"/>
      <c r="AF1032" s="3"/>
      <c r="AG1032" s="3"/>
    </row>
    <row r="1033">
      <c r="A1033" s="2">
        <v>2019.0</v>
      </c>
      <c r="B1033" s="1" t="s">
        <v>26</v>
      </c>
      <c r="D1033" s="5" t="s">
        <v>1373</v>
      </c>
      <c r="F1033" s="5">
        <v>756662.0</v>
      </c>
      <c r="I1033" s="5">
        <v>414785.0</v>
      </c>
      <c r="J1033" s="5">
        <v>9660.0</v>
      </c>
      <c r="K1033" s="5">
        <f t="shared" ref="K1033:K1035" si="102">SUM(F1033:J1033)</f>
        <v>1181107</v>
      </c>
      <c r="L1033" s="5">
        <v>1029743.0</v>
      </c>
      <c r="N1033" s="5">
        <f t="shared" ref="N1033:N1035" si="103">(K1033-L1033)</f>
        <v>151364</v>
      </c>
      <c r="P1033" s="3"/>
      <c r="Q1033" s="3"/>
      <c r="R1033" s="3"/>
      <c r="S1033" s="3"/>
      <c r="T1033" s="3"/>
      <c r="U1033" s="3"/>
      <c r="V1033" s="3"/>
      <c r="W1033" s="3"/>
      <c r="X1033" s="3"/>
      <c r="Y1033" s="3"/>
      <c r="Z1033" s="3"/>
      <c r="AA1033" s="3"/>
      <c r="AB1033" s="3"/>
      <c r="AC1033" s="3"/>
      <c r="AD1033" s="3"/>
      <c r="AE1033" s="3"/>
      <c r="AF1033" s="3"/>
      <c r="AG1033" s="3"/>
    </row>
    <row r="1034">
      <c r="A1034" s="2">
        <v>2019.0</v>
      </c>
      <c r="B1034" s="1" t="s">
        <v>26</v>
      </c>
      <c r="F1034" s="5">
        <v>31790.0</v>
      </c>
      <c r="I1034" s="5">
        <v>578769.0</v>
      </c>
      <c r="J1034" s="5">
        <v>3843.0</v>
      </c>
      <c r="K1034" s="5">
        <f t="shared" si="102"/>
        <v>614402</v>
      </c>
      <c r="L1034" s="5">
        <v>471902.0</v>
      </c>
      <c r="N1034" s="5">
        <f t="shared" si="103"/>
        <v>142500</v>
      </c>
      <c r="P1034" s="3"/>
      <c r="Q1034" s="3"/>
      <c r="R1034" s="3"/>
      <c r="S1034" s="3"/>
      <c r="T1034" s="3"/>
      <c r="U1034" s="3"/>
      <c r="V1034" s="3"/>
      <c r="W1034" s="3"/>
      <c r="X1034" s="3"/>
      <c r="Y1034" s="3"/>
      <c r="Z1034" s="3"/>
      <c r="AA1034" s="3"/>
      <c r="AB1034" s="3"/>
      <c r="AC1034" s="3"/>
      <c r="AD1034" s="3"/>
      <c r="AE1034" s="3"/>
      <c r="AF1034" s="3"/>
      <c r="AG1034" s="3"/>
    </row>
    <row r="1035">
      <c r="A1035" s="2">
        <v>2019.0</v>
      </c>
      <c r="B1035" s="1" t="s">
        <v>26</v>
      </c>
      <c r="F1035" s="5">
        <v>53938.0</v>
      </c>
      <c r="I1035" s="5">
        <v>100000.0</v>
      </c>
      <c r="J1035" s="5">
        <v>2067.0</v>
      </c>
      <c r="K1035" s="5">
        <f t="shared" si="102"/>
        <v>156005</v>
      </c>
      <c r="L1035" s="5">
        <v>34902.0</v>
      </c>
      <c r="N1035" s="5">
        <f t="shared" si="103"/>
        <v>121103</v>
      </c>
      <c r="P1035" s="3"/>
      <c r="Q1035" s="3"/>
      <c r="R1035" s="3"/>
      <c r="S1035" s="3"/>
      <c r="T1035" s="3"/>
      <c r="U1035" s="3"/>
      <c r="V1035" s="3"/>
      <c r="W1035" s="3"/>
      <c r="X1035" s="3"/>
      <c r="Y1035" s="3"/>
      <c r="Z1035" s="3"/>
      <c r="AA1035" s="3"/>
      <c r="AB1035" s="3"/>
      <c r="AC1035" s="3"/>
      <c r="AD1035" s="3"/>
      <c r="AE1035" s="3"/>
      <c r="AF1035" s="3"/>
      <c r="AG1035" s="3"/>
    </row>
    <row r="1036">
      <c r="A1036" s="2">
        <v>2019.0</v>
      </c>
      <c r="B1036" s="1" t="s">
        <v>26</v>
      </c>
      <c r="F1036" s="5">
        <f>SUM(H1033:H1035)</f>
        <v>0</v>
      </c>
      <c r="I1036" s="5">
        <f t="shared" ref="I1036:L1036" si="104">SUM(I1033:I1035)</f>
        <v>1093554</v>
      </c>
      <c r="J1036" s="5">
        <f t="shared" si="104"/>
        <v>15570</v>
      </c>
      <c r="K1036" s="5">
        <f t="shared" si="104"/>
        <v>1951514</v>
      </c>
      <c r="L1036" s="5">
        <f t="shared" si="104"/>
        <v>1536547</v>
      </c>
      <c r="N1036" s="5">
        <f>SUM(N1033:N1035)</f>
        <v>414967</v>
      </c>
      <c r="P1036" s="3"/>
      <c r="Q1036" s="3"/>
      <c r="R1036" s="3"/>
      <c r="S1036" s="3"/>
      <c r="T1036" s="3"/>
      <c r="U1036" s="3"/>
      <c r="V1036" s="3"/>
      <c r="W1036" s="3"/>
      <c r="X1036" s="3"/>
      <c r="Y1036" s="3"/>
      <c r="Z1036" s="3"/>
      <c r="AA1036" s="3"/>
      <c r="AB1036" s="3"/>
      <c r="AC1036" s="3"/>
      <c r="AD1036" s="3"/>
      <c r="AE1036" s="3"/>
      <c r="AF1036" s="3"/>
      <c r="AG1036" s="3"/>
    </row>
    <row r="1037">
      <c r="A1037" s="2">
        <v>2019.0</v>
      </c>
      <c r="B1037" s="1" t="s">
        <v>26</v>
      </c>
      <c r="D1037" s="5" t="s">
        <v>1383</v>
      </c>
      <c r="F1037" s="5">
        <v>44694.0</v>
      </c>
      <c r="I1037" s="5">
        <v>622020.0</v>
      </c>
      <c r="J1037" s="5">
        <v>8847.0</v>
      </c>
      <c r="K1037" s="5">
        <f t="shared" ref="K1037:K1040" si="105">SUM(F1037:J1037)</f>
        <v>675561</v>
      </c>
      <c r="L1037" s="5">
        <v>276006.0</v>
      </c>
      <c r="N1037" s="5">
        <f t="shared" ref="N1037:N1038" si="106">(K1037-L1037)</f>
        <v>399555</v>
      </c>
      <c r="P1037" s="3"/>
      <c r="Q1037" s="3"/>
      <c r="R1037" s="3"/>
      <c r="S1037" s="3"/>
      <c r="T1037" s="3"/>
      <c r="U1037" s="3"/>
      <c r="V1037" s="3"/>
      <c r="W1037" s="3"/>
      <c r="X1037" s="3"/>
      <c r="Y1037" s="3"/>
      <c r="Z1037" s="3"/>
      <c r="AA1037" s="3"/>
      <c r="AB1037" s="3"/>
      <c r="AC1037" s="3"/>
      <c r="AD1037" s="3"/>
      <c r="AE1037" s="3"/>
      <c r="AF1037" s="3"/>
      <c r="AG1037" s="3"/>
    </row>
    <row r="1038">
      <c r="A1038" s="2">
        <v>2019.0</v>
      </c>
      <c r="B1038" s="1" t="s">
        <v>26</v>
      </c>
      <c r="F1038" s="5">
        <v>2232.0</v>
      </c>
      <c r="I1038" s="5">
        <v>578769.0</v>
      </c>
      <c r="J1038" s="5">
        <v>8152.0</v>
      </c>
      <c r="K1038" s="5">
        <f t="shared" si="105"/>
        <v>589153</v>
      </c>
      <c r="L1038" s="5">
        <v>239999.0</v>
      </c>
      <c r="N1038" s="5">
        <f t="shared" si="106"/>
        <v>349154</v>
      </c>
      <c r="P1038" s="3"/>
      <c r="Q1038" s="3"/>
      <c r="R1038" s="3"/>
      <c r="S1038" s="3"/>
      <c r="T1038" s="3"/>
      <c r="U1038" s="3"/>
      <c r="V1038" s="3"/>
      <c r="W1038" s="3"/>
      <c r="X1038" s="3"/>
      <c r="Y1038" s="3"/>
      <c r="Z1038" s="3"/>
      <c r="AA1038" s="3"/>
      <c r="AB1038" s="3"/>
      <c r="AC1038" s="3"/>
      <c r="AD1038" s="3"/>
      <c r="AE1038" s="3"/>
      <c r="AF1038" s="3"/>
      <c r="AG1038" s="3"/>
    </row>
    <row r="1039">
      <c r="A1039" s="2">
        <v>2019.0</v>
      </c>
      <c r="B1039" s="1" t="s">
        <v>26</v>
      </c>
      <c r="F1039" s="5">
        <v>57560.0</v>
      </c>
      <c r="I1039" s="5">
        <v>54765.0</v>
      </c>
      <c r="J1039" s="5">
        <v>882.0</v>
      </c>
      <c r="K1039" s="5">
        <f t="shared" si="105"/>
        <v>113207</v>
      </c>
      <c r="L1039" s="5">
        <v>62211.0</v>
      </c>
      <c r="N1039" s="5">
        <f t="shared" ref="N1039:N1040" si="107">K1039-L1039</f>
        <v>50996</v>
      </c>
      <c r="P1039" s="3"/>
      <c r="Q1039" s="3"/>
      <c r="R1039" s="3"/>
      <c r="S1039" s="3"/>
      <c r="T1039" s="3"/>
      <c r="U1039" s="3"/>
      <c r="V1039" s="3"/>
      <c r="W1039" s="3"/>
      <c r="X1039" s="3"/>
      <c r="Y1039" s="3"/>
      <c r="Z1039" s="3"/>
      <c r="AA1039" s="3"/>
      <c r="AB1039" s="3"/>
      <c r="AC1039" s="3"/>
      <c r="AD1039" s="3"/>
      <c r="AE1039" s="3"/>
      <c r="AF1039" s="3"/>
      <c r="AG1039" s="3"/>
    </row>
    <row r="1040">
      <c r="A1040" s="2">
        <v>2019.0</v>
      </c>
      <c r="B1040" s="1" t="s">
        <v>26</v>
      </c>
      <c r="F1040" s="5">
        <v>100840.0</v>
      </c>
      <c r="I1040" s="5">
        <v>2073.0</v>
      </c>
      <c r="K1040" s="5">
        <f t="shared" si="105"/>
        <v>102913</v>
      </c>
      <c r="L1040" s="5">
        <v>100056.0</v>
      </c>
      <c r="N1040" s="5">
        <f t="shared" si="107"/>
        <v>2857</v>
      </c>
      <c r="P1040" s="3"/>
      <c r="Q1040" s="3"/>
      <c r="R1040" s="3"/>
      <c r="S1040" s="3"/>
      <c r="T1040" s="3"/>
      <c r="U1040" s="3"/>
      <c r="V1040" s="3"/>
      <c r="W1040" s="3"/>
      <c r="X1040" s="3"/>
      <c r="Y1040" s="3"/>
      <c r="Z1040" s="3"/>
      <c r="AA1040" s="3"/>
      <c r="AB1040" s="3"/>
      <c r="AC1040" s="3"/>
      <c r="AD1040" s="3"/>
      <c r="AE1040" s="3"/>
      <c r="AF1040" s="3"/>
      <c r="AG1040" s="3"/>
    </row>
    <row r="1041">
      <c r="A1041" s="2">
        <v>2019.0</v>
      </c>
      <c r="B1041" s="1" t="s">
        <v>26</v>
      </c>
      <c r="F1041" s="5">
        <f>SUM(H1037:H1040)</f>
        <v>0</v>
      </c>
      <c r="I1041" s="5">
        <f t="shared" ref="I1041:L1041" si="108">SUM(I1037:I1040)</f>
        <v>1257627</v>
      </c>
      <c r="J1041" s="5">
        <f t="shared" si="108"/>
        <v>17881</v>
      </c>
      <c r="K1041" s="5">
        <f t="shared" si="108"/>
        <v>1480834</v>
      </c>
      <c r="L1041" s="5">
        <f t="shared" si="108"/>
        <v>678272</v>
      </c>
      <c r="N1041" s="5">
        <f>SUM(N1037:N1040)</f>
        <v>802562</v>
      </c>
      <c r="P1041" s="3"/>
      <c r="Q1041" s="3"/>
      <c r="R1041" s="3"/>
      <c r="S1041" s="3"/>
      <c r="T1041" s="3"/>
      <c r="U1041" s="3"/>
      <c r="V1041" s="3"/>
      <c r="W1041" s="3"/>
      <c r="X1041" s="3"/>
      <c r="Y1041" s="3"/>
      <c r="Z1041" s="3"/>
      <c r="AA1041" s="3"/>
      <c r="AB1041" s="3"/>
      <c r="AC1041" s="3"/>
      <c r="AD1041" s="3"/>
      <c r="AE1041" s="3"/>
      <c r="AF1041" s="3"/>
      <c r="AG1041" s="3"/>
    </row>
    <row r="1042">
      <c r="A1042" s="2">
        <v>2019.0</v>
      </c>
      <c r="B1042" s="1" t="s">
        <v>26</v>
      </c>
      <c r="D1042" s="5" t="s">
        <v>163</v>
      </c>
      <c r="F1042" s="5">
        <v>671870.0</v>
      </c>
      <c r="I1042" s="5">
        <v>621172.0</v>
      </c>
      <c r="J1042" s="5">
        <v>13758.0</v>
      </c>
      <c r="K1042" s="5">
        <f t="shared" ref="K1042:K1044" si="109">SUM(F1042:J1042)</f>
        <v>1306800</v>
      </c>
      <c r="L1042" s="5">
        <v>1113583.0</v>
      </c>
      <c r="N1042" s="5">
        <f t="shared" ref="N1042:N1043" si="110">(K1042-L1042)</f>
        <v>193217</v>
      </c>
      <c r="P1042" s="3"/>
      <c r="Q1042" s="3"/>
      <c r="R1042" s="3"/>
      <c r="S1042" s="3"/>
      <c r="T1042" s="3"/>
      <c r="U1042" s="3"/>
      <c r="V1042" s="3"/>
      <c r="W1042" s="3"/>
      <c r="X1042" s="3"/>
      <c r="Y1042" s="3"/>
      <c r="Z1042" s="3"/>
      <c r="AA1042" s="3"/>
      <c r="AB1042" s="3"/>
      <c r="AC1042" s="3"/>
      <c r="AD1042" s="3"/>
      <c r="AE1042" s="3"/>
      <c r="AF1042" s="3"/>
      <c r="AG1042" s="3"/>
    </row>
    <row r="1043">
      <c r="A1043" s="2">
        <v>2019.0</v>
      </c>
      <c r="B1043" s="1" t="s">
        <v>26</v>
      </c>
      <c r="F1043" s="5">
        <v>1000.0</v>
      </c>
      <c r="I1043" s="5">
        <v>578769.0</v>
      </c>
      <c r="K1043" s="5">
        <f t="shared" si="109"/>
        <v>579769</v>
      </c>
      <c r="L1043" s="5">
        <v>578769.0</v>
      </c>
      <c r="N1043" s="5">
        <f t="shared" si="110"/>
        <v>1000</v>
      </c>
      <c r="P1043" s="3"/>
      <c r="Q1043" s="3"/>
      <c r="R1043" s="3"/>
      <c r="S1043" s="3"/>
      <c r="T1043" s="3"/>
      <c r="U1043" s="3"/>
      <c r="V1043" s="3"/>
      <c r="W1043" s="3"/>
      <c r="X1043" s="3"/>
      <c r="Y1043" s="3"/>
      <c r="Z1043" s="3"/>
      <c r="AA1043" s="3"/>
      <c r="AB1043" s="3"/>
      <c r="AC1043" s="3"/>
      <c r="AD1043" s="3"/>
      <c r="AE1043" s="3"/>
      <c r="AF1043" s="3"/>
      <c r="AG1043" s="3"/>
    </row>
    <row r="1044">
      <c r="A1044" s="2">
        <v>2019.0</v>
      </c>
      <c r="B1044" s="1" t="s">
        <v>26</v>
      </c>
      <c r="F1044" s="5">
        <v>0.0</v>
      </c>
      <c r="I1044" s="5">
        <v>54765.0</v>
      </c>
      <c r="J1044" s="5">
        <v>4514.0</v>
      </c>
      <c r="K1044" s="5">
        <f t="shared" si="109"/>
        <v>59279</v>
      </c>
      <c r="L1044" s="5">
        <v>54765.0</v>
      </c>
      <c r="N1044" s="5">
        <f>K1044-L1044</f>
        <v>4514</v>
      </c>
      <c r="P1044" s="3"/>
      <c r="Q1044" s="3"/>
      <c r="R1044" s="3"/>
      <c r="S1044" s="3"/>
      <c r="T1044" s="3"/>
      <c r="U1044" s="3"/>
      <c r="V1044" s="3"/>
      <c r="W1044" s="3"/>
      <c r="X1044" s="3"/>
      <c r="Y1044" s="3"/>
      <c r="Z1044" s="3"/>
      <c r="AA1044" s="3"/>
      <c r="AB1044" s="3"/>
      <c r="AC1044" s="3"/>
      <c r="AD1044" s="3"/>
      <c r="AE1044" s="3"/>
      <c r="AF1044" s="3"/>
      <c r="AG1044" s="3"/>
    </row>
    <row r="1045">
      <c r="A1045" s="2">
        <v>2019.0</v>
      </c>
      <c r="B1045" s="1" t="s">
        <v>26</v>
      </c>
      <c r="F1045" s="5" t="s">
        <v>1403</v>
      </c>
      <c r="P1045" s="3"/>
      <c r="Q1045" s="3"/>
      <c r="R1045" s="3"/>
      <c r="S1045" s="3"/>
      <c r="T1045" s="3"/>
      <c r="U1045" s="3"/>
      <c r="V1045" s="3"/>
      <c r="W1045" s="3"/>
      <c r="X1045" s="3"/>
      <c r="Y1045" s="3"/>
      <c r="Z1045" s="3"/>
      <c r="AA1045" s="3"/>
      <c r="AB1045" s="3"/>
      <c r="AC1045" s="3"/>
      <c r="AD1045" s="3"/>
      <c r="AE1045" s="3"/>
      <c r="AF1045" s="3"/>
      <c r="AG1045" s="3"/>
    </row>
    <row r="1046">
      <c r="A1046" s="2">
        <v>2019.0</v>
      </c>
      <c r="B1046" s="1" t="s">
        <v>26</v>
      </c>
      <c r="F1046" s="5">
        <v>1000.0</v>
      </c>
      <c r="I1046" s="5">
        <v>50000.0</v>
      </c>
      <c r="J1046" s="5">
        <v>848.0</v>
      </c>
      <c r="K1046" s="5">
        <f t="shared" ref="K1046:K1047" si="111">SUM(F1046:J1046)</f>
        <v>51848</v>
      </c>
      <c r="L1046" s="5">
        <v>51620.0</v>
      </c>
      <c r="N1046" s="5">
        <f>K1046-L1046</f>
        <v>228</v>
      </c>
      <c r="P1046" s="3"/>
      <c r="Q1046" s="3"/>
      <c r="R1046" s="3"/>
      <c r="S1046" s="3"/>
      <c r="T1046" s="3"/>
      <c r="U1046" s="3"/>
      <c r="V1046" s="3"/>
      <c r="W1046" s="3"/>
      <c r="X1046" s="3"/>
      <c r="Y1046" s="3"/>
      <c r="Z1046" s="3"/>
      <c r="AA1046" s="3"/>
      <c r="AB1046" s="3"/>
      <c r="AC1046" s="3"/>
      <c r="AD1046" s="3"/>
      <c r="AE1046" s="3"/>
      <c r="AF1046" s="3"/>
      <c r="AG1046" s="3"/>
    </row>
    <row r="1047">
      <c r="A1047" s="2">
        <v>2019.0</v>
      </c>
      <c r="B1047" s="1" t="s">
        <v>26</v>
      </c>
      <c r="F1047" s="5">
        <v>0.0</v>
      </c>
      <c r="I1047" s="5">
        <v>0.0</v>
      </c>
      <c r="K1047" s="5">
        <f t="shared" si="111"/>
        <v>0</v>
      </c>
      <c r="L1047" s="5">
        <v>0.0</v>
      </c>
      <c r="N1047" s="5">
        <v>0.0</v>
      </c>
      <c r="P1047" s="3"/>
      <c r="Q1047" s="3"/>
      <c r="R1047" s="3"/>
      <c r="S1047" s="3"/>
      <c r="T1047" s="3"/>
      <c r="U1047" s="3"/>
      <c r="V1047" s="3"/>
      <c r="W1047" s="3"/>
      <c r="X1047" s="3"/>
      <c r="Y1047" s="3"/>
      <c r="Z1047" s="3"/>
      <c r="AA1047" s="3"/>
      <c r="AB1047" s="3"/>
      <c r="AC1047" s="3"/>
      <c r="AD1047" s="3"/>
      <c r="AE1047" s="3"/>
      <c r="AF1047" s="3"/>
      <c r="AG1047" s="3"/>
    </row>
    <row r="1048">
      <c r="A1048" s="2">
        <v>2019.0</v>
      </c>
      <c r="B1048" s="1" t="s">
        <v>26</v>
      </c>
      <c r="F1048" s="5">
        <f>SUM(H1042:H1047)</f>
        <v>0</v>
      </c>
      <c r="I1048" s="5">
        <f t="shared" ref="I1048:L1048" si="112">SUM(I1042:I1047)</f>
        <v>1304706</v>
      </c>
      <c r="J1048" s="5">
        <f t="shared" si="112"/>
        <v>19120</v>
      </c>
      <c r="K1048" s="5">
        <f t="shared" si="112"/>
        <v>1997696</v>
      </c>
      <c r="L1048" s="5">
        <f t="shared" si="112"/>
        <v>1798737</v>
      </c>
      <c r="N1048" s="5">
        <f>SUM(N1042:N1047)</f>
        <v>198959</v>
      </c>
      <c r="P1048" s="3"/>
      <c r="Q1048" s="3"/>
      <c r="R1048" s="3"/>
      <c r="S1048" s="3"/>
      <c r="T1048" s="3"/>
      <c r="U1048" s="3"/>
      <c r="V1048" s="3"/>
      <c r="W1048" s="3"/>
      <c r="X1048" s="3"/>
      <c r="Y1048" s="3"/>
      <c r="Z1048" s="3"/>
      <c r="AA1048" s="3"/>
      <c r="AB1048" s="3"/>
      <c r="AC1048" s="3"/>
      <c r="AD1048" s="3"/>
      <c r="AE1048" s="3"/>
      <c r="AF1048" s="3"/>
      <c r="AG1048" s="3"/>
    </row>
    <row r="1049">
      <c r="A1049" s="2">
        <v>2019.0</v>
      </c>
      <c r="B1049" s="1" t="s">
        <v>26</v>
      </c>
      <c r="D1049" s="5" t="s">
        <v>167</v>
      </c>
      <c r="F1049" s="5">
        <v>673850.0</v>
      </c>
      <c r="I1049" s="5">
        <v>321172.0</v>
      </c>
      <c r="J1049" s="5">
        <v>14972.0</v>
      </c>
      <c r="K1049" s="5">
        <f t="shared" ref="K1049:K1053" si="113">SUM(F1049:J1049)</f>
        <v>1009994</v>
      </c>
      <c r="L1049" s="5">
        <v>836942.0</v>
      </c>
      <c r="N1049" s="5">
        <f t="shared" ref="N1049:N1050" si="114">(K1049-L1049)</f>
        <v>173052</v>
      </c>
      <c r="P1049" s="3"/>
      <c r="Q1049" s="3"/>
      <c r="R1049" s="3"/>
      <c r="S1049" s="3"/>
      <c r="T1049" s="3"/>
      <c r="U1049" s="3"/>
      <c r="V1049" s="3"/>
      <c r="W1049" s="3"/>
      <c r="X1049" s="3"/>
      <c r="Y1049" s="3"/>
      <c r="Z1049" s="3"/>
      <c r="AA1049" s="3"/>
      <c r="AB1049" s="3"/>
      <c r="AC1049" s="3"/>
      <c r="AD1049" s="3"/>
      <c r="AE1049" s="3"/>
      <c r="AF1049" s="3"/>
      <c r="AG1049" s="3"/>
    </row>
    <row r="1050">
      <c r="A1050" s="2">
        <v>2019.0</v>
      </c>
      <c r="B1050" s="1" t="s">
        <v>26</v>
      </c>
      <c r="F1050" s="5">
        <v>284114.0</v>
      </c>
      <c r="I1050" s="5">
        <v>570193.0</v>
      </c>
      <c r="J1050" s="5">
        <v>14960.0</v>
      </c>
      <c r="K1050" s="5">
        <f t="shared" si="113"/>
        <v>869267</v>
      </c>
      <c r="L1050" s="5">
        <v>551745.0</v>
      </c>
      <c r="N1050" s="5">
        <f t="shared" si="114"/>
        <v>317522</v>
      </c>
      <c r="P1050" s="3"/>
      <c r="Q1050" s="3"/>
      <c r="R1050" s="3"/>
      <c r="S1050" s="3"/>
      <c r="T1050" s="3"/>
      <c r="U1050" s="3"/>
      <c r="V1050" s="3"/>
      <c r="W1050" s="3"/>
      <c r="X1050" s="3"/>
      <c r="Y1050" s="3"/>
      <c r="Z1050" s="3"/>
      <c r="AA1050" s="3"/>
      <c r="AB1050" s="3"/>
      <c r="AC1050" s="3"/>
      <c r="AD1050" s="3"/>
      <c r="AE1050" s="3"/>
      <c r="AF1050" s="3"/>
      <c r="AG1050" s="3"/>
    </row>
    <row r="1051">
      <c r="A1051" s="2">
        <v>2019.0</v>
      </c>
      <c r="B1051" s="1" t="s">
        <v>26</v>
      </c>
      <c r="F1051" s="5">
        <v>76137.0</v>
      </c>
      <c r="I1051" s="5">
        <v>989.0</v>
      </c>
      <c r="K1051" s="5">
        <f t="shared" si="113"/>
        <v>77126</v>
      </c>
      <c r="L1051" s="5">
        <v>74188.0</v>
      </c>
      <c r="N1051" s="5">
        <f t="shared" ref="N1051:N1053" si="115">K1051-L1051</f>
        <v>2938</v>
      </c>
      <c r="P1051" s="3"/>
      <c r="Q1051" s="3"/>
      <c r="R1051" s="3"/>
      <c r="S1051" s="3"/>
      <c r="T1051" s="3"/>
      <c r="U1051" s="3"/>
      <c r="V1051" s="3"/>
      <c r="W1051" s="3"/>
      <c r="X1051" s="3"/>
      <c r="Y1051" s="3"/>
      <c r="Z1051" s="3"/>
      <c r="AA1051" s="3"/>
      <c r="AB1051" s="3"/>
      <c r="AC1051" s="3"/>
      <c r="AD1051" s="3"/>
      <c r="AE1051" s="3"/>
      <c r="AF1051" s="3"/>
      <c r="AG1051" s="3"/>
    </row>
    <row r="1052">
      <c r="A1052" s="2">
        <v>2019.0</v>
      </c>
      <c r="B1052" s="1" t="s">
        <v>26</v>
      </c>
      <c r="F1052" s="5">
        <v>134544.0</v>
      </c>
      <c r="I1052" s="5">
        <v>426271.0</v>
      </c>
      <c r="J1052" s="5">
        <v>182.0</v>
      </c>
      <c r="K1052" s="5">
        <f t="shared" si="113"/>
        <v>560997</v>
      </c>
      <c r="L1052" s="5">
        <v>428754.0</v>
      </c>
      <c r="N1052" s="5">
        <f t="shared" si="115"/>
        <v>132243</v>
      </c>
      <c r="P1052" s="3"/>
      <c r="Q1052" s="3"/>
      <c r="R1052" s="3"/>
      <c r="S1052" s="3"/>
      <c r="T1052" s="3"/>
      <c r="U1052" s="3"/>
      <c r="V1052" s="3"/>
      <c r="W1052" s="3"/>
      <c r="X1052" s="3"/>
      <c r="Y1052" s="3"/>
      <c r="Z1052" s="3"/>
      <c r="AA1052" s="3"/>
      <c r="AB1052" s="3"/>
      <c r="AC1052" s="3"/>
      <c r="AD1052" s="3"/>
      <c r="AE1052" s="3"/>
      <c r="AF1052" s="3"/>
      <c r="AG1052" s="3"/>
    </row>
    <row r="1053">
      <c r="A1053" s="2">
        <v>2019.0</v>
      </c>
      <c r="B1053" s="1" t="s">
        <v>26</v>
      </c>
      <c r="F1053" s="5">
        <v>35654.0</v>
      </c>
      <c r="I1053" s="5">
        <v>7150.0</v>
      </c>
      <c r="J1053" s="5">
        <v>1561.0</v>
      </c>
      <c r="K1053" s="5">
        <f t="shared" si="113"/>
        <v>44365</v>
      </c>
      <c r="L1053" s="5">
        <v>40000.0</v>
      </c>
      <c r="N1053" s="5">
        <f t="shared" si="115"/>
        <v>4365</v>
      </c>
      <c r="P1053" s="3"/>
      <c r="Q1053" s="3"/>
      <c r="R1053" s="3"/>
      <c r="S1053" s="3"/>
      <c r="T1053" s="3"/>
      <c r="U1053" s="3"/>
      <c r="V1053" s="3"/>
      <c r="W1053" s="3"/>
      <c r="X1053" s="3"/>
      <c r="Y1053" s="3"/>
      <c r="Z1053" s="3"/>
      <c r="AA1053" s="3"/>
      <c r="AB1053" s="3"/>
      <c r="AC1053" s="3"/>
      <c r="AD1053" s="3"/>
      <c r="AE1053" s="3"/>
      <c r="AF1053" s="3"/>
      <c r="AG1053" s="3"/>
    </row>
    <row r="1054">
      <c r="A1054" s="2">
        <v>2019.0</v>
      </c>
      <c r="B1054" s="1" t="s">
        <v>26</v>
      </c>
      <c r="F1054" s="5">
        <f>SUM(F1049:F1053)</f>
        <v>1204299</v>
      </c>
      <c r="I1054" s="5">
        <f t="shared" ref="I1054:L1054" si="116">SUM(I1049:I1053)</f>
        <v>1325775</v>
      </c>
      <c r="J1054" s="5">
        <f t="shared" si="116"/>
        <v>31675</v>
      </c>
      <c r="K1054" s="5">
        <f t="shared" si="116"/>
        <v>2561749</v>
      </c>
      <c r="L1054" s="5">
        <f t="shared" si="116"/>
        <v>1931629</v>
      </c>
      <c r="N1054" s="5">
        <f>SUM(N1049:N1053)</f>
        <v>630120</v>
      </c>
      <c r="P1054" s="3"/>
      <c r="Q1054" s="3"/>
      <c r="R1054" s="3"/>
      <c r="S1054" s="3"/>
      <c r="T1054" s="3"/>
      <c r="U1054" s="3"/>
      <c r="V1054" s="3"/>
      <c r="W1054" s="3"/>
      <c r="X1054" s="3"/>
      <c r="Y1054" s="3"/>
      <c r="Z1054" s="3"/>
      <c r="AA1054" s="3"/>
      <c r="AB1054" s="3"/>
      <c r="AC1054" s="3"/>
      <c r="AD1054" s="3"/>
      <c r="AE1054" s="3"/>
      <c r="AF1054" s="3"/>
      <c r="AG1054" s="3"/>
    </row>
    <row r="1055">
      <c r="A1055" s="2">
        <v>2019.0</v>
      </c>
      <c r="B1055" s="1" t="s">
        <v>26</v>
      </c>
      <c r="D1055" s="5" t="s">
        <v>168</v>
      </c>
      <c r="F1055" s="5">
        <v>382906.0</v>
      </c>
      <c r="I1055" s="5">
        <v>321172.0</v>
      </c>
      <c r="J1055" s="5">
        <v>9943.0</v>
      </c>
      <c r="K1055" s="5">
        <f t="shared" ref="K1055:K1058" si="117">SUM(F1055:J1055)</f>
        <v>714021</v>
      </c>
      <c r="L1055" s="5">
        <v>515602.0</v>
      </c>
      <c r="N1055" s="5">
        <f t="shared" ref="N1055:N1056" si="118">(K1055-L1055)</f>
        <v>198419</v>
      </c>
      <c r="P1055" s="3"/>
      <c r="Q1055" s="3"/>
      <c r="R1055" s="3"/>
      <c r="S1055" s="3"/>
      <c r="T1055" s="3"/>
      <c r="U1055" s="3"/>
      <c r="V1055" s="3"/>
      <c r="W1055" s="3"/>
      <c r="X1055" s="3"/>
      <c r="Y1055" s="3"/>
      <c r="Z1055" s="3"/>
      <c r="AA1055" s="3"/>
      <c r="AB1055" s="3"/>
      <c r="AC1055" s="3"/>
      <c r="AD1055" s="3"/>
      <c r="AE1055" s="3"/>
      <c r="AF1055" s="3"/>
      <c r="AG1055" s="3"/>
    </row>
    <row r="1056">
      <c r="A1056" s="2">
        <v>2019.0</v>
      </c>
      <c r="B1056" s="1" t="s">
        <v>26</v>
      </c>
      <c r="F1056" s="5">
        <v>451.0</v>
      </c>
      <c r="I1056" s="5">
        <v>570193.0</v>
      </c>
      <c r="J1056" s="5">
        <v>2835.0</v>
      </c>
      <c r="K1056" s="5">
        <f t="shared" si="117"/>
        <v>573479</v>
      </c>
      <c r="L1056" s="5">
        <v>501926.0</v>
      </c>
      <c r="N1056" s="5">
        <f t="shared" si="118"/>
        <v>71553</v>
      </c>
      <c r="P1056" s="3"/>
      <c r="Q1056" s="3"/>
      <c r="R1056" s="3"/>
      <c r="S1056" s="3"/>
      <c r="T1056" s="3"/>
      <c r="U1056" s="3"/>
      <c r="V1056" s="3"/>
      <c r="W1056" s="3"/>
      <c r="X1056" s="3"/>
      <c r="Y1056" s="3"/>
      <c r="Z1056" s="3"/>
      <c r="AA1056" s="3"/>
      <c r="AB1056" s="3"/>
      <c r="AC1056" s="3"/>
      <c r="AD1056" s="3"/>
      <c r="AE1056" s="3"/>
      <c r="AF1056" s="3"/>
      <c r="AG1056" s="3"/>
    </row>
    <row r="1057">
      <c r="A1057" s="2">
        <v>2019.0</v>
      </c>
      <c r="B1057" s="1" t="s">
        <v>26</v>
      </c>
      <c r="F1057" s="5">
        <v>58198.0</v>
      </c>
      <c r="I1057" s="5">
        <v>547.0</v>
      </c>
      <c r="K1057" s="5">
        <f t="shared" si="117"/>
        <v>58745</v>
      </c>
      <c r="L1057" s="5">
        <v>50810.0</v>
      </c>
      <c r="N1057" s="5">
        <f t="shared" ref="N1057:N1058" si="119">K1057-L1057</f>
        <v>7935</v>
      </c>
      <c r="P1057" s="3"/>
      <c r="Q1057" s="3"/>
      <c r="R1057" s="3"/>
      <c r="S1057" s="3"/>
      <c r="T1057" s="3"/>
      <c r="U1057" s="3"/>
      <c r="V1057" s="3"/>
      <c r="W1057" s="3"/>
      <c r="X1057" s="3"/>
      <c r="Y1057" s="3"/>
      <c r="Z1057" s="3"/>
      <c r="AA1057" s="3"/>
      <c r="AB1057" s="3"/>
      <c r="AC1057" s="3"/>
      <c r="AD1057" s="3"/>
      <c r="AE1057" s="3"/>
      <c r="AF1057" s="3"/>
      <c r="AG1057" s="3"/>
    </row>
    <row r="1058">
      <c r="A1058" s="2">
        <v>2019.0</v>
      </c>
      <c r="B1058" s="1" t="s">
        <v>26</v>
      </c>
      <c r="F1058" s="5">
        <v>0.0</v>
      </c>
      <c r="I1058" s="5">
        <v>227165.0</v>
      </c>
      <c r="J1058" s="5">
        <v>23.0</v>
      </c>
      <c r="K1058" s="5">
        <f t="shared" si="117"/>
        <v>227188</v>
      </c>
      <c r="L1058" s="5">
        <v>92000.0</v>
      </c>
      <c r="N1058" s="5">
        <f t="shared" si="119"/>
        <v>135188</v>
      </c>
      <c r="P1058" s="3"/>
      <c r="Q1058" s="3"/>
      <c r="R1058" s="3"/>
      <c r="S1058" s="3"/>
      <c r="T1058" s="3"/>
      <c r="U1058" s="3"/>
      <c r="V1058" s="3"/>
      <c r="W1058" s="3"/>
      <c r="X1058" s="3"/>
      <c r="Y1058" s="3"/>
      <c r="Z1058" s="3"/>
      <c r="AA1058" s="3"/>
      <c r="AB1058" s="3"/>
      <c r="AC1058" s="3"/>
      <c r="AD1058" s="3"/>
      <c r="AE1058" s="3"/>
      <c r="AF1058" s="3"/>
      <c r="AG1058" s="3"/>
    </row>
    <row r="1059">
      <c r="A1059" s="2">
        <v>2019.0</v>
      </c>
      <c r="B1059" s="1" t="s">
        <v>26</v>
      </c>
      <c r="F1059" s="5">
        <f>SUM(F1055:F1058)</f>
        <v>441555</v>
      </c>
      <c r="I1059" s="5">
        <f t="shared" ref="I1059:L1059" si="120">SUM(I1055:I1058)</f>
        <v>1119077</v>
      </c>
      <c r="J1059" s="5">
        <f t="shared" si="120"/>
        <v>12801</v>
      </c>
      <c r="K1059" s="5">
        <f t="shared" si="120"/>
        <v>1573433</v>
      </c>
      <c r="L1059" s="5">
        <f t="shared" si="120"/>
        <v>1160338</v>
      </c>
      <c r="N1059" s="5">
        <f>SUM(N1055:N1058)</f>
        <v>413095</v>
      </c>
      <c r="P1059" s="3"/>
      <c r="Q1059" s="3"/>
      <c r="R1059" s="3"/>
      <c r="S1059" s="3"/>
      <c r="T1059" s="3"/>
      <c r="U1059" s="3"/>
      <c r="V1059" s="3"/>
      <c r="W1059" s="3"/>
      <c r="X1059" s="3"/>
      <c r="Y1059" s="3"/>
      <c r="Z1059" s="3"/>
      <c r="AA1059" s="3"/>
      <c r="AB1059" s="3"/>
      <c r="AC1059" s="3"/>
      <c r="AD1059" s="3"/>
      <c r="AE1059" s="3"/>
      <c r="AF1059" s="3"/>
      <c r="AG1059" s="3"/>
    </row>
    <row r="1060">
      <c r="A1060" s="2">
        <v>2019.0</v>
      </c>
      <c r="B1060" s="1" t="s">
        <v>26</v>
      </c>
      <c r="D1060" s="5" t="s">
        <v>1429</v>
      </c>
      <c r="F1060" s="5">
        <v>490203.0</v>
      </c>
      <c r="I1060" s="5">
        <v>321172.0</v>
      </c>
      <c r="J1060" s="5">
        <v>18077.0</v>
      </c>
      <c r="K1060" s="5">
        <f t="shared" ref="K1060:K1064" si="121">SUM(F1060:J1060)</f>
        <v>829452</v>
      </c>
      <c r="L1060" s="5">
        <v>478792.0</v>
      </c>
      <c r="N1060" s="5">
        <f t="shared" ref="N1060:N1061" si="122">(K1060-L1060)</f>
        <v>350660</v>
      </c>
      <c r="P1060" s="3"/>
      <c r="Q1060" s="3"/>
      <c r="R1060" s="3"/>
      <c r="S1060" s="3"/>
      <c r="T1060" s="3"/>
      <c r="U1060" s="3"/>
      <c r="V1060" s="3"/>
      <c r="W1060" s="3"/>
      <c r="X1060" s="3"/>
      <c r="Y1060" s="3"/>
      <c r="Z1060" s="3"/>
      <c r="AA1060" s="3"/>
      <c r="AB1060" s="3"/>
      <c r="AC1060" s="3"/>
      <c r="AD1060" s="3"/>
      <c r="AE1060" s="3"/>
      <c r="AF1060" s="3"/>
      <c r="AG1060" s="3"/>
    </row>
    <row r="1061">
      <c r="A1061" s="2">
        <v>2019.0</v>
      </c>
      <c r="B1061" s="1" t="s">
        <v>26</v>
      </c>
      <c r="F1061" s="5">
        <v>142068.0</v>
      </c>
      <c r="I1061" s="5">
        <v>570193.0</v>
      </c>
      <c r="J1061" s="5">
        <v>13356.0</v>
      </c>
      <c r="K1061" s="5">
        <f t="shared" si="121"/>
        <v>725617</v>
      </c>
      <c r="L1061" s="5">
        <v>137335.0</v>
      </c>
      <c r="N1061" s="5">
        <f t="shared" si="122"/>
        <v>588282</v>
      </c>
      <c r="P1061" s="3"/>
      <c r="Q1061" s="3"/>
      <c r="R1061" s="3"/>
      <c r="S1061" s="3"/>
      <c r="T1061" s="3"/>
      <c r="U1061" s="3"/>
      <c r="V1061" s="3"/>
      <c r="W1061" s="3"/>
      <c r="X1061" s="3"/>
      <c r="Y1061" s="3"/>
      <c r="Z1061" s="3"/>
      <c r="AA1061" s="3"/>
      <c r="AB1061" s="3"/>
      <c r="AC1061" s="3"/>
      <c r="AD1061" s="3"/>
      <c r="AE1061" s="3"/>
      <c r="AF1061" s="3"/>
      <c r="AG1061" s="3"/>
    </row>
    <row r="1062">
      <c r="A1062" s="2">
        <v>2019.0</v>
      </c>
      <c r="B1062" s="1" t="s">
        <v>26</v>
      </c>
      <c r="F1062" s="5">
        <v>62415.0</v>
      </c>
      <c r="I1062" s="5">
        <v>2521.0</v>
      </c>
      <c r="K1062" s="5">
        <f t="shared" si="121"/>
        <v>64936</v>
      </c>
      <c r="L1062" s="5">
        <v>15000.0</v>
      </c>
      <c r="N1062" s="5">
        <f t="shared" ref="N1062:N1064" si="123">K1062-L1062</f>
        <v>49936</v>
      </c>
      <c r="P1062" s="3"/>
      <c r="Q1062" s="3"/>
      <c r="R1062" s="3"/>
      <c r="S1062" s="3"/>
      <c r="T1062" s="3"/>
      <c r="U1062" s="3"/>
      <c r="V1062" s="3"/>
      <c r="W1062" s="3"/>
      <c r="X1062" s="3"/>
      <c r="Y1062" s="3"/>
      <c r="Z1062" s="3"/>
      <c r="AA1062" s="3"/>
      <c r="AB1062" s="3"/>
      <c r="AC1062" s="3"/>
      <c r="AD1062" s="3"/>
      <c r="AE1062" s="3"/>
      <c r="AF1062" s="3"/>
      <c r="AG1062" s="3"/>
    </row>
    <row r="1063">
      <c r="A1063" s="2">
        <v>2019.0</v>
      </c>
      <c r="B1063" s="1" t="s">
        <v>26</v>
      </c>
      <c r="F1063" s="5">
        <v>2609.0</v>
      </c>
      <c r="I1063" s="5">
        <v>204265.0</v>
      </c>
      <c r="J1063" s="5">
        <v>133.0</v>
      </c>
      <c r="K1063" s="5">
        <f t="shared" si="121"/>
        <v>207007</v>
      </c>
      <c r="L1063" s="5">
        <v>203205.0</v>
      </c>
      <c r="N1063" s="5">
        <f t="shared" si="123"/>
        <v>3802</v>
      </c>
      <c r="P1063" s="3"/>
      <c r="Q1063" s="3"/>
      <c r="R1063" s="3"/>
      <c r="S1063" s="3"/>
      <c r="T1063" s="3"/>
      <c r="U1063" s="3"/>
      <c r="V1063" s="3"/>
      <c r="W1063" s="3"/>
      <c r="X1063" s="3"/>
      <c r="Y1063" s="3"/>
      <c r="Z1063" s="3"/>
      <c r="AA1063" s="3"/>
      <c r="AB1063" s="3"/>
      <c r="AC1063" s="3"/>
      <c r="AD1063" s="3"/>
      <c r="AE1063" s="3"/>
      <c r="AF1063" s="3"/>
      <c r="AG1063" s="3"/>
    </row>
    <row r="1064">
      <c r="A1064" s="2">
        <v>2019.0</v>
      </c>
      <c r="B1064" s="1" t="s">
        <v>26</v>
      </c>
      <c r="F1064" s="5">
        <v>140098.0</v>
      </c>
      <c r="I1064" s="5">
        <v>180455.0</v>
      </c>
      <c r="J1064" s="5">
        <v>8698.0</v>
      </c>
      <c r="K1064" s="5">
        <f t="shared" si="121"/>
        <v>329251</v>
      </c>
      <c r="L1064" s="5">
        <v>100000.0</v>
      </c>
      <c r="N1064" s="5">
        <f t="shared" si="123"/>
        <v>229251</v>
      </c>
      <c r="P1064" s="3"/>
      <c r="Q1064" s="3"/>
      <c r="R1064" s="3"/>
      <c r="S1064" s="3"/>
      <c r="T1064" s="3"/>
      <c r="U1064" s="3"/>
      <c r="V1064" s="3"/>
      <c r="W1064" s="3"/>
      <c r="X1064" s="3"/>
      <c r="Y1064" s="3"/>
      <c r="Z1064" s="3"/>
      <c r="AA1064" s="3"/>
      <c r="AB1064" s="3"/>
      <c r="AC1064" s="3"/>
      <c r="AD1064" s="3"/>
      <c r="AE1064" s="3"/>
      <c r="AF1064" s="3"/>
      <c r="AG1064" s="3"/>
    </row>
    <row r="1065">
      <c r="A1065" s="2">
        <v>2019.0</v>
      </c>
      <c r="B1065" s="1" t="s">
        <v>26</v>
      </c>
      <c r="F1065" s="5">
        <f>SUM(F1060:F1064)</f>
        <v>837393</v>
      </c>
      <c r="I1065" s="5">
        <f t="shared" ref="I1065:L1065" si="124">SUM(I1060:I1064)</f>
        <v>1278606</v>
      </c>
      <c r="J1065" s="5">
        <f t="shared" si="124"/>
        <v>40264</v>
      </c>
      <c r="K1065" s="5">
        <f t="shared" si="124"/>
        <v>2156263</v>
      </c>
      <c r="L1065" s="5">
        <f t="shared" si="124"/>
        <v>934332</v>
      </c>
      <c r="N1065" s="5">
        <f>SUM(N1060:N1064)</f>
        <v>1221931</v>
      </c>
      <c r="P1065" s="3"/>
      <c r="Q1065" s="3"/>
      <c r="R1065" s="3"/>
      <c r="S1065" s="3"/>
      <c r="T1065" s="3"/>
      <c r="U1065" s="3"/>
      <c r="V1065" s="3"/>
      <c r="W1065" s="3"/>
      <c r="X1065" s="3"/>
      <c r="Y1065" s="3"/>
      <c r="Z1065" s="3"/>
      <c r="AA1065" s="3"/>
      <c r="AB1065" s="3"/>
      <c r="AC1065" s="3"/>
      <c r="AD1065" s="3"/>
      <c r="AE1065" s="3"/>
      <c r="AF1065" s="3"/>
      <c r="AG1065" s="3"/>
    </row>
    <row r="1066">
      <c r="A1066" s="2">
        <v>2019.0</v>
      </c>
      <c r="B1066" s="1" t="s">
        <v>26</v>
      </c>
      <c r="D1066" s="5" t="s">
        <v>175</v>
      </c>
      <c r="F1066" s="5">
        <v>1825627.0</v>
      </c>
      <c r="I1066" s="5">
        <v>375937.0</v>
      </c>
      <c r="J1066" s="5">
        <v>65276.0</v>
      </c>
      <c r="K1066" s="5">
        <f t="shared" ref="K1066:K1069" si="125">SUM(F1066:J1066)</f>
        <v>2266840</v>
      </c>
      <c r="L1066" s="5">
        <v>667647.0</v>
      </c>
      <c r="N1066" s="5">
        <f t="shared" ref="N1066:N1067" si="126">(K1066-L1066)</f>
        <v>1599193</v>
      </c>
      <c r="P1066" s="3"/>
      <c r="Q1066" s="3"/>
      <c r="R1066" s="3"/>
      <c r="S1066" s="3"/>
      <c r="T1066" s="3"/>
      <c r="U1066" s="3"/>
      <c r="V1066" s="3"/>
      <c r="W1066" s="3"/>
      <c r="X1066" s="3"/>
      <c r="Y1066" s="3"/>
      <c r="Z1066" s="3"/>
      <c r="AA1066" s="3"/>
      <c r="AB1066" s="3"/>
      <c r="AC1066" s="3"/>
      <c r="AD1066" s="3"/>
      <c r="AE1066" s="3"/>
      <c r="AF1066" s="3"/>
      <c r="AG1066" s="3"/>
    </row>
    <row r="1067">
      <c r="A1067" s="2">
        <v>2019.0</v>
      </c>
      <c r="B1067" s="1" t="s">
        <v>26</v>
      </c>
      <c r="F1067" s="5">
        <v>257306.0</v>
      </c>
      <c r="I1067" s="5">
        <v>570193.0</v>
      </c>
      <c r="J1067" s="5">
        <v>15870.0</v>
      </c>
      <c r="K1067" s="5">
        <f t="shared" si="125"/>
        <v>843369</v>
      </c>
      <c r="L1067" s="5">
        <v>311981.0</v>
      </c>
      <c r="N1067" s="5">
        <f t="shared" si="126"/>
        <v>531388</v>
      </c>
      <c r="P1067" s="3"/>
      <c r="Q1067" s="3"/>
      <c r="R1067" s="3"/>
      <c r="S1067" s="3"/>
      <c r="T1067" s="3"/>
      <c r="U1067" s="3"/>
      <c r="V1067" s="3"/>
      <c r="W1067" s="3"/>
      <c r="X1067" s="3"/>
      <c r="Y1067" s="3"/>
      <c r="Z1067" s="3"/>
      <c r="AA1067" s="3"/>
      <c r="AB1067" s="3"/>
      <c r="AC1067" s="3"/>
      <c r="AD1067" s="3"/>
      <c r="AE1067" s="3"/>
      <c r="AF1067" s="3"/>
      <c r="AG1067" s="3"/>
    </row>
    <row r="1068">
      <c r="A1068" s="2">
        <v>2019.0</v>
      </c>
      <c r="B1068" s="1" t="s">
        <v>26</v>
      </c>
      <c r="F1068" s="5">
        <v>56066.0</v>
      </c>
      <c r="I1068" s="5">
        <v>669.0</v>
      </c>
      <c r="K1068" s="5">
        <f t="shared" si="125"/>
        <v>56735</v>
      </c>
      <c r="L1068" s="5">
        <v>52490.0</v>
      </c>
      <c r="N1068" s="5">
        <f t="shared" ref="N1068:N1069" si="127">K1068-L1068</f>
        <v>4245</v>
      </c>
      <c r="P1068" s="3"/>
      <c r="Q1068" s="3"/>
      <c r="R1068" s="3"/>
      <c r="S1068" s="3"/>
      <c r="T1068" s="3"/>
      <c r="U1068" s="3"/>
      <c r="V1068" s="3"/>
      <c r="W1068" s="3"/>
      <c r="X1068" s="3"/>
      <c r="Y1068" s="3"/>
      <c r="Z1068" s="3"/>
      <c r="AA1068" s="3"/>
      <c r="AB1068" s="3"/>
      <c r="AC1068" s="3"/>
      <c r="AD1068" s="3"/>
      <c r="AE1068" s="3"/>
      <c r="AF1068" s="3"/>
      <c r="AG1068" s="3"/>
    </row>
    <row r="1069">
      <c r="A1069" s="2">
        <v>2019.0</v>
      </c>
      <c r="B1069" s="1" t="s">
        <v>26</v>
      </c>
      <c r="F1069" s="5">
        <v>84969.0</v>
      </c>
      <c r="I1069" s="5">
        <v>22790.0</v>
      </c>
      <c r="J1069" s="5">
        <v>3492.0</v>
      </c>
      <c r="K1069" s="5">
        <f t="shared" si="125"/>
        <v>111251</v>
      </c>
      <c r="L1069" s="5">
        <v>0.0</v>
      </c>
      <c r="N1069" s="5">
        <f t="shared" si="127"/>
        <v>111251</v>
      </c>
      <c r="P1069" s="3"/>
      <c r="Q1069" s="3"/>
      <c r="R1069" s="3"/>
      <c r="S1069" s="3"/>
      <c r="T1069" s="3"/>
      <c r="U1069" s="3"/>
      <c r="V1069" s="3"/>
      <c r="W1069" s="3"/>
      <c r="X1069" s="3"/>
      <c r="Y1069" s="3"/>
      <c r="Z1069" s="3"/>
      <c r="AA1069" s="3"/>
      <c r="AB1069" s="3"/>
      <c r="AC1069" s="3"/>
      <c r="AD1069" s="3"/>
      <c r="AE1069" s="3"/>
      <c r="AF1069" s="3"/>
      <c r="AG1069" s="3"/>
    </row>
    <row r="1070">
      <c r="A1070" s="2">
        <v>2019.0</v>
      </c>
      <c r="B1070" s="1" t="s">
        <v>26</v>
      </c>
      <c r="F1070" s="5">
        <f>SUM(F1066:F1069)</f>
        <v>2223968</v>
      </c>
      <c r="I1070" s="5">
        <f t="shared" ref="I1070:L1070" si="128">SUM(I1066:I1069)</f>
        <v>969589</v>
      </c>
      <c r="J1070" s="5">
        <f t="shared" si="128"/>
        <v>84638</v>
      </c>
      <c r="K1070" s="5">
        <f t="shared" si="128"/>
        <v>3278195</v>
      </c>
      <c r="L1070" s="5">
        <f t="shared" si="128"/>
        <v>1032118</v>
      </c>
      <c r="N1070" s="5">
        <f>SUM(N1066:N1069)</f>
        <v>2246077</v>
      </c>
      <c r="P1070" s="3"/>
      <c r="Q1070" s="3"/>
      <c r="R1070" s="3"/>
      <c r="S1070" s="3"/>
      <c r="T1070" s="3"/>
      <c r="U1070" s="3"/>
      <c r="V1070" s="3"/>
      <c r="W1070" s="3"/>
      <c r="X1070" s="3"/>
      <c r="Y1070" s="3"/>
      <c r="Z1070" s="3"/>
      <c r="AA1070" s="3"/>
      <c r="AB1070" s="3"/>
      <c r="AC1070" s="3"/>
      <c r="AD1070" s="3"/>
      <c r="AE1070" s="3"/>
      <c r="AF1070" s="3"/>
      <c r="AG1070" s="3"/>
    </row>
    <row r="1071">
      <c r="A1071" s="2">
        <v>2019.0</v>
      </c>
      <c r="B1071" s="1" t="s">
        <v>26</v>
      </c>
      <c r="D1071" s="5" t="s">
        <v>177</v>
      </c>
      <c r="F1071" s="5">
        <v>321335.0</v>
      </c>
      <c r="I1071" s="5">
        <v>1018537.0</v>
      </c>
      <c r="J1071" s="5">
        <v>5305.0</v>
      </c>
      <c r="K1071" s="5">
        <f t="shared" ref="K1071:K1073" si="129">SUM(F1071:J1071)</f>
        <v>1345177</v>
      </c>
      <c r="L1071" s="5">
        <v>1235934.0</v>
      </c>
      <c r="N1071" s="5">
        <f t="shared" ref="N1071:N1073" si="130">K1071-L1071</f>
        <v>109243</v>
      </c>
      <c r="P1071" s="3"/>
      <c r="Q1071" s="3"/>
      <c r="R1071" s="3"/>
      <c r="S1071" s="3"/>
      <c r="T1071" s="3"/>
      <c r="U1071" s="3"/>
      <c r="V1071" s="3"/>
      <c r="W1071" s="3"/>
      <c r="X1071" s="3"/>
      <c r="Y1071" s="3"/>
      <c r="Z1071" s="3"/>
      <c r="AA1071" s="3"/>
      <c r="AB1071" s="3"/>
      <c r="AC1071" s="3"/>
      <c r="AD1071" s="3"/>
      <c r="AE1071" s="3"/>
      <c r="AF1071" s="3"/>
      <c r="AG1071" s="3"/>
    </row>
    <row r="1072">
      <c r="A1072" s="2">
        <v>2019.0</v>
      </c>
      <c r="B1072" s="1" t="s">
        <v>26</v>
      </c>
      <c r="F1072" s="5">
        <v>15950.0</v>
      </c>
      <c r="I1072" s="5">
        <v>7230.0</v>
      </c>
      <c r="J1072" s="5">
        <v>637.0</v>
      </c>
      <c r="K1072" s="5">
        <f t="shared" si="129"/>
        <v>23817</v>
      </c>
      <c r="N1072" s="5">
        <f t="shared" si="130"/>
        <v>23817</v>
      </c>
      <c r="P1072" s="3"/>
      <c r="Q1072" s="3"/>
      <c r="R1072" s="3"/>
      <c r="S1072" s="3"/>
      <c r="T1072" s="3"/>
      <c r="U1072" s="3"/>
      <c r="V1072" s="3"/>
      <c r="W1072" s="3"/>
      <c r="X1072" s="3"/>
      <c r="Y1072" s="3"/>
      <c r="Z1072" s="3"/>
      <c r="AA1072" s="3"/>
      <c r="AB1072" s="3"/>
      <c r="AC1072" s="3"/>
      <c r="AD1072" s="3"/>
      <c r="AE1072" s="3"/>
      <c r="AF1072" s="3"/>
      <c r="AG1072" s="3"/>
    </row>
    <row r="1073">
      <c r="A1073" s="2">
        <v>2019.0</v>
      </c>
      <c r="B1073" s="1" t="s">
        <v>26</v>
      </c>
      <c r="F1073" s="5">
        <v>7951.0</v>
      </c>
      <c r="I1073" s="5">
        <v>5900.0</v>
      </c>
      <c r="J1073" s="5">
        <v>329.0</v>
      </c>
      <c r="K1073" s="5">
        <f t="shared" si="129"/>
        <v>14180</v>
      </c>
      <c r="N1073" s="5">
        <f t="shared" si="130"/>
        <v>14180</v>
      </c>
      <c r="P1073" s="3"/>
      <c r="Q1073" s="3"/>
      <c r="R1073" s="3"/>
      <c r="S1073" s="3"/>
      <c r="T1073" s="3"/>
      <c r="U1073" s="3"/>
      <c r="V1073" s="3"/>
      <c r="W1073" s="3"/>
      <c r="X1073" s="3"/>
      <c r="Y1073" s="3"/>
      <c r="Z1073" s="3"/>
      <c r="AA1073" s="3"/>
      <c r="AB1073" s="3"/>
      <c r="AC1073" s="3"/>
      <c r="AD1073" s="3"/>
      <c r="AE1073" s="3"/>
      <c r="AF1073" s="3"/>
      <c r="AG1073" s="3"/>
    </row>
    <row r="1074">
      <c r="A1074" s="2">
        <v>2019.0</v>
      </c>
      <c r="B1074" s="1" t="s">
        <v>26</v>
      </c>
      <c r="F1074" s="5">
        <f>SUM(F1071:F1073)</f>
        <v>345236</v>
      </c>
      <c r="I1074" s="5">
        <f t="shared" ref="I1074:L1074" si="131">SUM(I1071:I1073)</f>
        <v>1031667</v>
      </c>
      <c r="J1074" s="5">
        <f t="shared" si="131"/>
        <v>6271</v>
      </c>
      <c r="K1074" s="5">
        <f t="shared" si="131"/>
        <v>1383174</v>
      </c>
      <c r="L1074" s="5">
        <f t="shared" si="131"/>
        <v>1235934</v>
      </c>
      <c r="N1074" s="5">
        <f>SUM(N1071:N1073)</f>
        <v>147240</v>
      </c>
      <c r="P1074" s="3"/>
      <c r="Q1074" s="3"/>
      <c r="R1074" s="3"/>
      <c r="S1074" s="3"/>
      <c r="T1074" s="3"/>
      <c r="U1074" s="3"/>
      <c r="V1074" s="3"/>
      <c r="W1074" s="3"/>
      <c r="X1074" s="3"/>
      <c r="Y1074" s="3"/>
      <c r="Z1074" s="3"/>
      <c r="AA1074" s="3"/>
      <c r="AB1074" s="3"/>
      <c r="AC1074" s="3"/>
      <c r="AD1074" s="3"/>
      <c r="AE1074" s="3"/>
      <c r="AF1074" s="3"/>
      <c r="AG1074" s="3"/>
    </row>
    <row r="1075">
      <c r="A1075" s="2">
        <v>2019.0</v>
      </c>
      <c r="B1075" s="1" t="s">
        <v>26</v>
      </c>
      <c r="D1075" s="5" t="s">
        <v>176</v>
      </c>
      <c r="F1075" s="5">
        <v>520323.0</v>
      </c>
      <c r="I1075" s="5">
        <v>927437.0</v>
      </c>
      <c r="J1075" s="5">
        <v>12840.0</v>
      </c>
      <c r="K1075" s="5">
        <f>SUM(F1075:J1075)</f>
        <v>1460600</v>
      </c>
      <c r="L1075" s="5">
        <v>1327515.0</v>
      </c>
      <c r="N1075" s="5">
        <f>K1075-L1075</f>
        <v>133085</v>
      </c>
      <c r="P1075" s="3"/>
      <c r="Q1075" s="3"/>
      <c r="R1075" s="3"/>
      <c r="S1075" s="3"/>
      <c r="T1075" s="3"/>
      <c r="U1075" s="3"/>
      <c r="V1075" s="3"/>
      <c r="W1075" s="3"/>
      <c r="X1075" s="3"/>
      <c r="Y1075" s="3"/>
      <c r="Z1075" s="3"/>
      <c r="AA1075" s="3"/>
      <c r="AB1075" s="3"/>
      <c r="AC1075" s="3"/>
      <c r="AD1075" s="3"/>
      <c r="AE1075" s="3"/>
      <c r="AF1075" s="3"/>
      <c r="AG1075" s="3"/>
    </row>
    <row r="1076">
      <c r="A1076" s="2">
        <v>2019.0</v>
      </c>
      <c r="B1076" s="1" t="s">
        <v>26</v>
      </c>
      <c r="F1076" s="5" t="s">
        <v>1305</v>
      </c>
      <c r="P1076" s="3"/>
      <c r="Q1076" s="3"/>
      <c r="R1076" s="3"/>
      <c r="S1076" s="3"/>
      <c r="T1076" s="3"/>
      <c r="U1076" s="3"/>
      <c r="V1076" s="3"/>
      <c r="W1076" s="3"/>
      <c r="X1076" s="3"/>
      <c r="Y1076" s="3"/>
      <c r="Z1076" s="3"/>
      <c r="AA1076" s="3"/>
      <c r="AB1076" s="3"/>
      <c r="AC1076" s="3"/>
      <c r="AD1076" s="3"/>
      <c r="AE1076" s="3"/>
      <c r="AF1076" s="3"/>
      <c r="AG1076" s="3"/>
    </row>
    <row r="1077">
      <c r="A1077" s="2">
        <v>2019.0</v>
      </c>
      <c r="B1077" s="1" t="s">
        <v>26</v>
      </c>
      <c r="F1077" s="5">
        <f>SUM(H1075:H1076)</f>
        <v>0</v>
      </c>
      <c r="I1077" s="5">
        <f t="shared" ref="I1077:L1077" si="132">SUM(I1075:I1076)</f>
        <v>927437</v>
      </c>
      <c r="J1077" s="5">
        <f t="shared" si="132"/>
        <v>12840</v>
      </c>
      <c r="K1077" s="5">
        <f t="shared" si="132"/>
        <v>1460600</v>
      </c>
      <c r="L1077" s="5">
        <f t="shared" si="132"/>
        <v>1327515</v>
      </c>
      <c r="N1077" s="5">
        <f>SUM(N1075:N1076)</f>
        <v>133085</v>
      </c>
      <c r="P1077" s="3"/>
      <c r="Q1077" s="3"/>
      <c r="R1077" s="3"/>
      <c r="S1077" s="3"/>
      <c r="T1077" s="3"/>
      <c r="U1077" s="3"/>
      <c r="V1077" s="3"/>
      <c r="W1077" s="3"/>
      <c r="X1077" s="3"/>
      <c r="Y1077" s="3"/>
      <c r="Z1077" s="3"/>
      <c r="AA1077" s="3"/>
      <c r="AB1077" s="3"/>
      <c r="AC1077" s="3"/>
      <c r="AD1077" s="3"/>
      <c r="AE1077" s="3"/>
      <c r="AF1077" s="3"/>
      <c r="AG1077" s="3"/>
    </row>
    <row r="1078">
      <c r="A1078" s="2">
        <v>2019.0</v>
      </c>
      <c r="B1078" s="1" t="s">
        <v>26</v>
      </c>
      <c r="D1078" s="5" t="s">
        <v>184</v>
      </c>
      <c r="F1078" s="5">
        <v>404847.0</v>
      </c>
      <c r="I1078" s="5">
        <v>836072.0</v>
      </c>
      <c r="J1078" s="5">
        <v>9656.0</v>
      </c>
      <c r="K1078" s="5">
        <f t="shared" ref="K1078:K1079" si="133">SUM(F1078:J1078)</f>
        <v>1250575</v>
      </c>
      <c r="L1078" s="5">
        <v>1168913.0</v>
      </c>
      <c r="N1078" s="5">
        <f t="shared" ref="N1078:N1079" si="134">K1078-L1078</f>
        <v>81662</v>
      </c>
      <c r="P1078" s="3"/>
      <c r="Q1078" s="3"/>
      <c r="R1078" s="3"/>
      <c r="S1078" s="3"/>
      <c r="T1078" s="3"/>
      <c r="U1078" s="3"/>
      <c r="V1078" s="3"/>
      <c r="W1078" s="3"/>
      <c r="X1078" s="3"/>
      <c r="Y1078" s="3"/>
      <c r="Z1078" s="3"/>
      <c r="AA1078" s="3"/>
      <c r="AB1078" s="3"/>
      <c r="AC1078" s="3"/>
      <c r="AD1078" s="3"/>
      <c r="AE1078" s="3"/>
      <c r="AF1078" s="3"/>
      <c r="AG1078" s="3"/>
    </row>
    <row r="1079">
      <c r="A1079" s="2">
        <v>2019.0</v>
      </c>
      <c r="B1079" s="1" t="s">
        <v>26</v>
      </c>
      <c r="F1079" s="5">
        <v>15995.0</v>
      </c>
      <c r="I1079" s="5">
        <v>17967.0</v>
      </c>
      <c r="J1079" s="5">
        <v>0.0</v>
      </c>
      <c r="K1079" s="5">
        <f t="shared" si="133"/>
        <v>33962</v>
      </c>
      <c r="L1079" s="5">
        <v>3280.0</v>
      </c>
      <c r="N1079" s="5">
        <f t="shared" si="134"/>
        <v>30682</v>
      </c>
      <c r="P1079" s="3"/>
      <c r="Q1079" s="3"/>
      <c r="R1079" s="3"/>
      <c r="S1079" s="3"/>
      <c r="T1079" s="3"/>
      <c r="U1079" s="3"/>
      <c r="V1079" s="3"/>
      <c r="W1079" s="3"/>
      <c r="X1079" s="3"/>
      <c r="Y1079" s="3"/>
      <c r="Z1079" s="3"/>
      <c r="AA1079" s="3"/>
      <c r="AB1079" s="3"/>
      <c r="AC1079" s="3"/>
      <c r="AD1079" s="3"/>
      <c r="AE1079" s="3"/>
      <c r="AF1079" s="3"/>
      <c r="AG1079" s="3"/>
    </row>
    <row r="1080">
      <c r="A1080" s="2">
        <v>2019.0</v>
      </c>
      <c r="B1080" s="1" t="s">
        <v>26</v>
      </c>
      <c r="F1080" s="5">
        <f>SUM(F1078:F1079)</f>
        <v>420842</v>
      </c>
      <c r="I1080" s="5">
        <f t="shared" ref="I1080:L1080" si="135">SUM(I1078:I1079)</f>
        <v>854039</v>
      </c>
      <c r="J1080" s="5">
        <f t="shared" si="135"/>
        <v>9656</v>
      </c>
      <c r="K1080" s="5">
        <f t="shared" si="135"/>
        <v>1284537</v>
      </c>
      <c r="L1080" s="5">
        <f t="shared" si="135"/>
        <v>1172193</v>
      </c>
      <c r="N1080" s="5">
        <f>SUM(N1078:N1079)</f>
        <v>112344</v>
      </c>
      <c r="P1080" s="3"/>
      <c r="Q1080" s="3"/>
      <c r="R1080" s="3"/>
      <c r="S1080" s="3"/>
      <c r="T1080" s="3"/>
      <c r="U1080" s="3"/>
      <c r="V1080" s="3"/>
      <c r="W1080" s="3"/>
      <c r="X1080" s="3"/>
      <c r="Y1080" s="3"/>
      <c r="Z1080" s="3"/>
      <c r="AA1080" s="3"/>
      <c r="AB1080" s="3"/>
      <c r="AC1080" s="3"/>
      <c r="AD1080" s="3"/>
      <c r="AE1080" s="3"/>
      <c r="AF1080" s="3"/>
      <c r="AG1080" s="3"/>
    </row>
    <row r="1081">
      <c r="A1081" s="2">
        <v>2019.0</v>
      </c>
      <c r="B1081" s="1" t="s">
        <v>26</v>
      </c>
      <c r="D1081" s="5" t="s">
        <v>187</v>
      </c>
      <c r="F1081" s="5">
        <v>354171.0</v>
      </c>
      <c r="I1081" s="5">
        <v>596737.0</v>
      </c>
      <c r="J1081" s="5">
        <v>11748.0</v>
      </c>
      <c r="K1081" s="5">
        <f t="shared" ref="K1081:K1083" si="136">SUM(F1081:J1081)</f>
        <v>962656</v>
      </c>
      <c r="L1081" s="5">
        <v>645714.0</v>
      </c>
      <c r="N1081" s="5">
        <f t="shared" ref="N1081:N1083" si="137">K1081-L1081</f>
        <v>316942</v>
      </c>
      <c r="P1081" s="3"/>
      <c r="Q1081" s="3"/>
      <c r="R1081" s="3"/>
      <c r="S1081" s="3"/>
      <c r="T1081" s="3"/>
      <c r="U1081" s="3"/>
      <c r="V1081" s="3"/>
      <c r="W1081" s="3"/>
      <c r="X1081" s="3"/>
      <c r="Y1081" s="3"/>
      <c r="Z1081" s="3"/>
      <c r="AA1081" s="3"/>
      <c r="AB1081" s="3"/>
      <c r="AC1081" s="3"/>
      <c r="AD1081" s="3"/>
      <c r="AE1081" s="3"/>
      <c r="AF1081" s="3"/>
      <c r="AG1081" s="3"/>
    </row>
    <row r="1082">
      <c r="A1082" s="2">
        <v>2019.0</v>
      </c>
      <c r="B1082" s="1" t="s">
        <v>26</v>
      </c>
      <c r="F1082" s="5">
        <v>90238.0</v>
      </c>
      <c r="I1082" s="5">
        <v>14190.0</v>
      </c>
      <c r="J1082" s="5">
        <v>0.0</v>
      </c>
      <c r="K1082" s="5">
        <f t="shared" si="136"/>
        <v>104428</v>
      </c>
      <c r="L1082" s="5">
        <v>50000.0</v>
      </c>
      <c r="N1082" s="5">
        <f t="shared" si="137"/>
        <v>54428</v>
      </c>
      <c r="P1082" s="3"/>
      <c r="Q1082" s="3"/>
      <c r="R1082" s="3"/>
      <c r="S1082" s="3"/>
      <c r="T1082" s="3"/>
      <c r="U1082" s="3"/>
      <c r="V1082" s="3"/>
      <c r="W1082" s="3"/>
      <c r="X1082" s="3"/>
      <c r="Y1082" s="3"/>
      <c r="Z1082" s="3"/>
      <c r="AA1082" s="3"/>
      <c r="AB1082" s="3"/>
      <c r="AC1082" s="3"/>
      <c r="AD1082" s="3"/>
      <c r="AE1082" s="3"/>
      <c r="AF1082" s="3"/>
      <c r="AG1082" s="3"/>
    </row>
    <row r="1083">
      <c r="A1083" s="2">
        <v>2019.0</v>
      </c>
      <c r="B1083" s="1" t="s">
        <v>26</v>
      </c>
      <c r="F1083" s="5">
        <v>231468.0</v>
      </c>
      <c r="I1083" s="5">
        <v>569793.0</v>
      </c>
      <c r="J1083" s="5">
        <v>13205.0</v>
      </c>
      <c r="K1083" s="5">
        <f t="shared" si="136"/>
        <v>814466</v>
      </c>
      <c r="L1083" s="5">
        <v>511000.0</v>
      </c>
      <c r="N1083" s="5">
        <f t="shared" si="137"/>
        <v>303466</v>
      </c>
      <c r="P1083" s="3"/>
      <c r="Q1083" s="3"/>
      <c r="R1083" s="3"/>
      <c r="S1083" s="3"/>
      <c r="T1083" s="3"/>
      <c r="U1083" s="3"/>
      <c r="V1083" s="3"/>
      <c r="W1083" s="3"/>
      <c r="X1083" s="3"/>
      <c r="Y1083" s="3"/>
      <c r="Z1083" s="3"/>
      <c r="AA1083" s="3"/>
      <c r="AB1083" s="3"/>
      <c r="AC1083" s="3"/>
      <c r="AD1083" s="3"/>
      <c r="AE1083" s="3"/>
      <c r="AF1083" s="3"/>
      <c r="AG1083" s="3"/>
    </row>
    <row r="1084">
      <c r="A1084" s="2">
        <v>2019.0</v>
      </c>
      <c r="B1084" s="1" t="s">
        <v>26</v>
      </c>
      <c r="F1084" s="5">
        <f>SUM(F1081:F1083)</f>
        <v>675877</v>
      </c>
      <c r="I1084" s="5">
        <f t="shared" ref="I1084:L1084" si="138">SUM(I1081:I1083)</f>
        <v>1180720</v>
      </c>
      <c r="J1084" s="5">
        <f t="shared" si="138"/>
        <v>24953</v>
      </c>
      <c r="K1084" s="5">
        <f t="shared" si="138"/>
        <v>1881550</v>
      </c>
      <c r="L1084" s="5">
        <f t="shared" si="138"/>
        <v>1206714</v>
      </c>
      <c r="N1084" s="5">
        <f>SUM(N1081:N1083)</f>
        <v>674836</v>
      </c>
      <c r="P1084" s="3"/>
      <c r="Q1084" s="3"/>
      <c r="R1084" s="3"/>
      <c r="S1084" s="3"/>
      <c r="T1084" s="3"/>
      <c r="U1084" s="3"/>
      <c r="V1084" s="3"/>
      <c r="W1084" s="3"/>
      <c r="X1084" s="3"/>
      <c r="Y1084" s="3"/>
      <c r="Z1084" s="3"/>
      <c r="AA1084" s="3"/>
      <c r="AB1084" s="3"/>
      <c r="AC1084" s="3"/>
      <c r="AD1084" s="3"/>
      <c r="AE1084" s="3"/>
      <c r="AF1084" s="3"/>
      <c r="AG1084" s="3"/>
    </row>
    <row r="1085">
      <c r="A1085" s="2">
        <v>2019.0</v>
      </c>
      <c r="B1085" s="1" t="s">
        <v>26</v>
      </c>
      <c r="D1085" s="5" t="s">
        <v>193</v>
      </c>
      <c r="F1085" s="5">
        <v>376527.0</v>
      </c>
      <c r="I1085" s="5">
        <v>1085364.0</v>
      </c>
      <c r="J1085" s="5">
        <v>13861.0</v>
      </c>
      <c r="K1085" s="5">
        <f t="shared" ref="K1085:K1086" si="139">SUM(F1085:J1085)</f>
        <v>1475752</v>
      </c>
      <c r="L1085" s="5">
        <v>1103698.0</v>
      </c>
      <c r="N1085" s="5">
        <f t="shared" ref="N1085:N1086" si="140">K1085-L1085</f>
        <v>372054</v>
      </c>
      <c r="P1085" s="3"/>
      <c r="Q1085" s="3"/>
      <c r="R1085" s="3"/>
      <c r="S1085" s="3"/>
      <c r="T1085" s="3"/>
      <c r="U1085" s="3"/>
      <c r="V1085" s="3"/>
      <c r="W1085" s="3"/>
      <c r="X1085" s="3"/>
      <c r="Y1085" s="3"/>
      <c r="Z1085" s="3"/>
      <c r="AA1085" s="3"/>
      <c r="AB1085" s="3"/>
      <c r="AC1085" s="3"/>
      <c r="AD1085" s="3"/>
      <c r="AE1085" s="3"/>
      <c r="AF1085" s="3"/>
      <c r="AG1085" s="3"/>
    </row>
    <row r="1086">
      <c r="A1086" s="2">
        <v>2019.0</v>
      </c>
      <c r="B1086" s="1" t="s">
        <v>26</v>
      </c>
      <c r="F1086" s="5">
        <v>515.0</v>
      </c>
      <c r="I1086" s="5">
        <v>412271.0</v>
      </c>
      <c r="J1086" s="5">
        <v>0.0</v>
      </c>
      <c r="K1086" s="5">
        <f t="shared" si="139"/>
        <v>412786</v>
      </c>
      <c r="L1086" s="5">
        <v>106000.0</v>
      </c>
      <c r="N1086" s="5">
        <f t="shared" si="140"/>
        <v>306786</v>
      </c>
      <c r="P1086" s="3"/>
      <c r="Q1086" s="3"/>
      <c r="R1086" s="3"/>
      <c r="S1086" s="3"/>
      <c r="T1086" s="3"/>
      <c r="U1086" s="3"/>
      <c r="V1086" s="3"/>
      <c r="W1086" s="3"/>
      <c r="X1086" s="3"/>
      <c r="Y1086" s="3"/>
      <c r="Z1086" s="3"/>
      <c r="AA1086" s="3"/>
      <c r="AB1086" s="3"/>
      <c r="AC1086" s="3"/>
      <c r="AD1086" s="3"/>
      <c r="AE1086" s="3"/>
      <c r="AF1086" s="3"/>
      <c r="AG1086" s="3"/>
    </row>
    <row r="1087">
      <c r="A1087" s="2">
        <v>2019.0</v>
      </c>
      <c r="B1087" s="1" t="s">
        <v>26</v>
      </c>
      <c r="F1087" s="5">
        <f>SUM(F1085:F1086)</f>
        <v>377042</v>
      </c>
      <c r="I1087" s="5">
        <f t="shared" ref="I1087:L1087" si="141">SUM(I1085:I1086)</f>
        <v>1497635</v>
      </c>
      <c r="J1087" s="5">
        <f t="shared" si="141"/>
        <v>13861</v>
      </c>
      <c r="K1087" s="5">
        <f t="shared" si="141"/>
        <v>1888538</v>
      </c>
      <c r="L1087" s="5">
        <f t="shared" si="141"/>
        <v>1209698</v>
      </c>
      <c r="N1087" s="5">
        <f>SUM(N1085:N1086)</f>
        <v>678840</v>
      </c>
      <c r="P1087" s="3"/>
      <c r="Q1087" s="3"/>
      <c r="R1087" s="3"/>
      <c r="S1087" s="3"/>
      <c r="T1087" s="3"/>
      <c r="U1087" s="3"/>
      <c r="V1087" s="3"/>
      <c r="W1087" s="3"/>
      <c r="X1087" s="3"/>
      <c r="Y1087" s="3"/>
      <c r="Z1087" s="3"/>
      <c r="AA1087" s="3"/>
      <c r="AB1087" s="3"/>
      <c r="AC1087" s="3"/>
      <c r="AD1087" s="3"/>
      <c r="AE1087" s="3"/>
      <c r="AF1087" s="3"/>
      <c r="AG1087" s="3"/>
    </row>
    <row r="1088">
      <c r="A1088" s="2">
        <v>2019.0</v>
      </c>
      <c r="B1088" s="1" t="s">
        <v>26</v>
      </c>
      <c r="D1088" s="5" t="s">
        <v>199</v>
      </c>
      <c r="F1088" s="5">
        <v>470519.0</v>
      </c>
      <c r="I1088" s="5">
        <v>1163479.0</v>
      </c>
      <c r="K1088" s="5">
        <v>1633998.0</v>
      </c>
      <c r="L1088" s="5">
        <v>1098773.0</v>
      </c>
      <c r="N1088" s="5">
        <v>535225.0</v>
      </c>
      <c r="P1088" s="3"/>
      <c r="Q1088" s="3"/>
      <c r="R1088" s="3"/>
      <c r="S1088" s="3"/>
      <c r="T1088" s="3"/>
      <c r="U1088" s="3"/>
      <c r="V1088" s="3"/>
      <c r="W1088" s="3"/>
      <c r="X1088" s="3"/>
      <c r="Y1088" s="3"/>
      <c r="Z1088" s="3"/>
      <c r="AA1088" s="3"/>
      <c r="AB1088" s="3"/>
      <c r="AC1088" s="3"/>
      <c r="AD1088" s="3"/>
      <c r="AE1088" s="3"/>
      <c r="AF1088" s="3"/>
      <c r="AG1088" s="3"/>
    </row>
    <row r="1089">
      <c r="A1089" s="2">
        <v>2019.0</v>
      </c>
      <c r="B1089" s="1" t="s">
        <v>26</v>
      </c>
      <c r="D1089" s="5" t="s">
        <v>202</v>
      </c>
      <c r="F1089" s="5">
        <v>1165187.0</v>
      </c>
      <c r="I1089" s="5">
        <v>1185782.0</v>
      </c>
      <c r="K1089" s="5">
        <v>2350969.0</v>
      </c>
      <c r="L1089" s="5">
        <v>1328094.0</v>
      </c>
      <c r="N1089" s="5">
        <v>1022875.0</v>
      </c>
      <c r="P1089" s="3"/>
      <c r="Q1089" s="3"/>
      <c r="R1089" s="3"/>
      <c r="S1089" s="3"/>
      <c r="T1089" s="3"/>
      <c r="U1089" s="3"/>
      <c r="V1089" s="3"/>
      <c r="W1089" s="3"/>
      <c r="X1089" s="3"/>
      <c r="Y1089" s="3"/>
      <c r="Z1089" s="3"/>
      <c r="AA1089" s="3"/>
      <c r="AB1089" s="3"/>
      <c r="AC1089" s="3"/>
      <c r="AD1089" s="3"/>
      <c r="AE1089" s="3"/>
      <c r="AF1089" s="3"/>
      <c r="AG1089" s="3"/>
    </row>
    <row r="1090">
      <c r="A1090" s="2">
        <v>2019.0</v>
      </c>
      <c r="B1090" s="1" t="s">
        <v>26</v>
      </c>
      <c r="D1090" s="5" t="s">
        <v>208</v>
      </c>
      <c r="F1090" s="5">
        <v>782252.0</v>
      </c>
      <c r="I1090" s="5">
        <v>1343196.0</v>
      </c>
      <c r="K1090" s="5">
        <v>2125448.0</v>
      </c>
      <c r="L1090" s="5">
        <v>1152459.0</v>
      </c>
      <c r="N1090" s="5">
        <v>972989.0</v>
      </c>
      <c r="P1090" s="3"/>
      <c r="Q1090" s="3"/>
      <c r="R1090" s="3"/>
      <c r="S1090" s="3"/>
      <c r="T1090" s="3"/>
      <c r="U1090" s="3"/>
      <c r="V1090" s="3"/>
      <c r="W1090" s="3"/>
      <c r="X1090" s="3"/>
      <c r="Y1090" s="3"/>
      <c r="Z1090" s="3"/>
      <c r="AA1090" s="3"/>
      <c r="AB1090" s="3"/>
      <c r="AC1090" s="3"/>
      <c r="AD1090" s="3"/>
      <c r="AE1090" s="3"/>
      <c r="AF1090" s="3"/>
      <c r="AG1090" s="3"/>
    </row>
    <row r="1091">
      <c r="A1091" s="2">
        <v>2019.0</v>
      </c>
      <c r="B1091" s="1" t="s">
        <v>213</v>
      </c>
      <c r="F1091" s="5">
        <v>4974.0</v>
      </c>
      <c r="I1091" s="5">
        <v>50000.0</v>
      </c>
      <c r="J1091" s="5">
        <v>684.0</v>
      </c>
      <c r="K1091" s="5">
        <f t="shared" ref="K1091:K1095" si="142">SUM(F1091:J1091)</f>
        <v>55658</v>
      </c>
      <c r="L1091" s="5">
        <f t="shared" ref="L1091:L1095" si="143">K1091-N1091</f>
        <v>48300</v>
      </c>
      <c r="N1091" s="5">
        <v>7358.0</v>
      </c>
      <c r="P1091" s="3"/>
      <c r="Q1091" s="3"/>
      <c r="R1091" s="3"/>
      <c r="S1091" s="3"/>
      <c r="T1091" s="3"/>
      <c r="U1091" s="3"/>
      <c r="V1091" s="3"/>
      <c r="W1091" s="3"/>
      <c r="X1091" s="3"/>
      <c r="Y1091" s="3"/>
      <c r="Z1091" s="3"/>
      <c r="AA1091" s="3"/>
      <c r="AB1091" s="3"/>
      <c r="AC1091" s="3"/>
      <c r="AD1091" s="3"/>
      <c r="AE1091" s="3"/>
      <c r="AF1091" s="3"/>
      <c r="AG1091" s="3"/>
    </row>
    <row r="1092">
      <c r="A1092" s="2">
        <v>2019.0</v>
      </c>
      <c r="B1092" s="1" t="s">
        <v>213</v>
      </c>
      <c r="F1092" s="5">
        <v>326731.0</v>
      </c>
      <c r="I1092" s="5">
        <v>100000.0</v>
      </c>
      <c r="J1092" s="5">
        <v>4912.0</v>
      </c>
      <c r="K1092" s="5">
        <f t="shared" si="142"/>
        <v>431643</v>
      </c>
      <c r="L1092" s="5">
        <f t="shared" si="143"/>
        <v>360029</v>
      </c>
      <c r="N1092" s="5">
        <v>71614.0</v>
      </c>
      <c r="P1092" s="3"/>
      <c r="Q1092" s="3"/>
      <c r="R1092" s="3"/>
      <c r="S1092" s="3"/>
      <c r="T1092" s="3"/>
      <c r="U1092" s="3"/>
      <c r="V1092" s="3"/>
      <c r="W1092" s="3"/>
      <c r="X1092" s="3"/>
      <c r="Y1092" s="3"/>
      <c r="Z1092" s="3"/>
      <c r="AA1092" s="3"/>
      <c r="AB1092" s="3"/>
      <c r="AC1092" s="3"/>
      <c r="AD1092" s="3"/>
      <c r="AE1092" s="3"/>
      <c r="AF1092" s="3"/>
      <c r="AG1092" s="3"/>
    </row>
    <row r="1093">
      <c r="A1093" s="2">
        <v>2019.0</v>
      </c>
      <c r="B1093" s="1" t="s">
        <v>213</v>
      </c>
      <c r="F1093" s="5">
        <v>444166.0</v>
      </c>
      <c r="I1093" s="5">
        <v>1390000.0</v>
      </c>
      <c r="J1093" s="5">
        <v>17637.0</v>
      </c>
      <c r="K1093" s="5">
        <f t="shared" si="142"/>
        <v>1851803</v>
      </c>
      <c r="L1093" s="5">
        <f t="shared" si="143"/>
        <v>1571228</v>
      </c>
      <c r="N1093" s="5">
        <v>280575.0</v>
      </c>
      <c r="P1093" s="3"/>
      <c r="Q1093" s="3"/>
      <c r="R1093" s="3"/>
      <c r="S1093" s="3"/>
      <c r="T1093" s="3"/>
      <c r="U1093" s="3"/>
      <c r="V1093" s="3"/>
      <c r="W1093" s="3"/>
      <c r="X1093" s="3"/>
      <c r="Y1093" s="3"/>
      <c r="Z1093" s="3"/>
      <c r="AA1093" s="3"/>
      <c r="AB1093" s="3"/>
      <c r="AC1093" s="3"/>
      <c r="AD1093" s="3"/>
      <c r="AE1093" s="3"/>
      <c r="AF1093" s="3"/>
      <c r="AG1093" s="3"/>
    </row>
    <row r="1094">
      <c r="A1094" s="2">
        <v>2019.0</v>
      </c>
      <c r="B1094" s="1" t="s">
        <v>213</v>
      </c>
      <c r="F1094" s="5">
        <v>7272.0</v>
      </c>
      <c r="I1094" s="5">
        <v>315200.0</v>
      </c>
      <c r="J1094" s="5">
        <v>868.0</v>
      </c>
      <c r="K1094" s="5">
        <f t="shared" si="142"/>
        <v>323340</v>
      </c>
      <c r="L1094" s="5">
        <f t="shared" si="143"/>
        <v>315200</v>
      </c>
      <c r="N1094" s="5">
        <v>8140.0</v>
      </c>
      <c r="P1094" s="3"/>
      <c r="Q1094" s="3"/>
      <c r="R1094" s="3"/>
      <c r="S1094" s="3"/>
      <c r="T1094" s="3"/>
      <c r="U1094" s="3"/>
      <c r="V1094" s="3"/>
      <c r="W1094" s="3"/>
      <c r="X1094" s="3"/>
      <c r="Y1094" s="3"/>
      <c r="Z1094" s="3"/>
      <c r="AA1094" s="3"/>
      <c r="AB1094" s="3"/>
      <c r="AC1094" s="3"/>
      <c r="AD1094" s="3"/>
      <c r="AE1094" s="3"/>
      <c r="AF1094" s="3"/>
      <c r="AG1094" s="3"/>
    </row>
    <row r="1095">
      <c r="A1095" s="2">
        <v>2019.0</v>
      </c>
      <c r="B1095" s="1" t="s">
        <v>213</v>
      </c>
      <c r="F1095" s="5">
        <v>1807.0</v>
      </c>
      <c r="I1095" s="5">
        <v>50800.0</v>
      </c>
      <c r="J1095" s="5">
        <v>1075.0</v>
      </c>
      <c r="K1095" s="5">
        <f t="shared" si="142"/>
        <v>53682</v>
      </c>
      <c r="L1095" s="5">
        <f t="shared" si="143"/>
        <v>36028</v>
      </c>
      <c r="N1095" s="5">
        <v>17654.0</v>
      </c>
      <c r="P1095" s="3"/>
      <c r="Q1095" s="3"/>
      <c r="R1095" s="3"/>
      <c r="S1095" s="3"/>
      <c r="T1095" s="3"/>
      <c r="U1095" s="3"/>
      <c r="V1095" s="3"/>
      <c r="W1095" s="3"/>
      <c r="X1095" s="3"/>
      <c r="Y1095" s="3"/>
      <c r="Z1095" s="3"/>
      <c r="AA1095" s="3"/>
      <c r="AB1095" s="3"/>
      <c r="AC1095" s="3"/>
      <c r="AD1095" s="3"/>
      <c r="AE1095" s="3"/>
      <c r="AF1095" s="3"/>
      <c r="AG1095" s="3"/>
    </row>
    <row r="1096">
      <c r="A1096" s="2">
        <v>2019.0</v>
      </c>
      <c r="B1096" s="1" t="s">
        <v>213</v>
      </c>
      <c r="F1096" s="5">
        <v>3.0235014E7</v>
      </c>
      <c r="I1096" s="5">
        <v>9.9349915E7</v>
      </c>
      <c r="J1096" s="5">
        <v>1550743.0</v>
      </c>
      <c r="K1096" s="5">
        <v>1.31135672E8</v>
      </c>
      <c r="L1096" s="5">
        <v>8.9301035E7</v>
      </c>
      <c r="N1096" s="4">
        <v>4.1834637E7</v>
      </c>
      <c r="P1096" s="3"/>
      <c r="Q1096" s="3"/>
      <c r="R1096" s="3"/>
      <c r="S1096" s="3"/>
      <c r="T1096" s="3"/>
      <c r="U1096" s="3"/>
      <c r="V1096" s="3"/>
      <c r="W1096" s="3"/>
      <c r="X1096" s="3"/>
      <c r="Y1096" s="3"/>
      <c r="Z1096" s="3"/>
      <c r="AA1096" s="3"/>
      <c r="AB1096" s="3"/>
      <c r="AC1096" s="3"/>
      <c r="AD1096" s="3"/>
      <c r="AE1096" s="3"/>
      <c r="AF1096" s="3"/>
      <c r="AG1096" s="3"/>
    </row>
    <row r="1097">
      <c r="A1097" s="2">
        <v>2019.0</v>
      </c>
      <c r="B1097" s="1" t="s">
        <v>213</v>
      </c>
      <c r="D1097" s="5" t="s">
        <v>28</v>
      </c>
      <c r="F1097" s="5">
        <f>SUM(F1091:F1095)</f>
        <v>784950</v>
      </c>
      <c r="I1097" s="5">
        <f t="shared" ref="I1097:L1097" si="144">SUM(I1091:I1095)</f>
        <v>1906000</v>
      </c>
      <c r="J1097" s="5">
        <f t="shared" si="144"/>
        <v>25176</v>
      </c>
      <c r="K1097" s="5">
        <f t="shared" si="144"/>
        <v>2716126</v>
      </c>
      <c r="L1097" s="5">
        <f t="shared" si="144"/>
        <v>2330785</v>
      </c>
      <c r="N1097" s="5">
        <f>SUM(N1091:N1095)</f>
        <v>385341</v>
      </c>
      <c r="P1097" s="3"/>
      <c r="Q1097" s="3"/>
      <c r="R1097" s="3"/>
      <c r="S1097" s="3"/>
      <c r="T1097" s="3"/>
      <c r="U1097" s="3"/>
      <c r="V1097" s="3"/>
      <c r="W1097" s="3"/>
      <c r="X1097" s="3"/>
      <c r="Y1097" s="3"/>
      <c r="Z1097" s="3"/>
      <c r="AA1097" s="3"/>
      <c r="AB1097" s="3"/>
      <c r="AC1097" s="3"/>
      <c r="AD1097" s="3"/>
      <c r="AE1097" s="3"/>
      <c r="AF1097" s="3"/>
      <c r="AG1097" s="3"/>
    </row>
    <row r="1098">
      <c r="A1098" s="2">
        <v>2019.0</v>
      </c>
      <c r="B1098" s="1" t="s">
        <v>213</v>
      </c>
      <c r="F1098" s="4">
        <v>7283.0</v>
      </c>
      <c r="I1098" s="4">
        <v>18550.0</v>
      </c>
      <c r="J1098" s="5">
        <v>378.0</v>
      </c>
      <c r="K1098" s="4">
        <f t="shared" ref="K1098:K1102" si="145">SUM(F1098:J1098)</f>
        <v>26211</v>
      </c>
      <c r="L1098" s="4">
        <f t="shared" ref="L1098:L1102" si="146">K1098-N1098</f>
        <v>20391</v>
      </c>
      <c r="N1098" s="4">
        <v>5820.0</v>
      </c>
      <c r="P1098" s="3"/>
      <c r="Q1098" s="3"/>
      <c r="R1098" s="3"/>
      <c r="S1098" s="3"/>
      <c r="T1098" s="3"/>
      <c r="U1098" s="3"/>
      <c r="V1098" s="3"/>
      <c r="W1098" s="3"/>
      <c r="X1098" s="3"/>
      <c r="Y1098" s="3"/>
      <c r="Z1098" s="3"/>
      <c r="AA1098" s="3"/>
      <c r="AB1098" s="3"/>
      <c r="AC1098" s="3"/>
      <c r="AD1098" s="3"/>
      <c r="AE1098" s="3"/>
      <c r="AF1098" s="3"/>
      <c r="AG1098" s="3"/>
    </row>
    <row r="1099">
      <c r="A1099" s="2">
        <v>2019.0</v>
      </c>
      <c r="B1099" s="1" t="s">
        <v>213</v>
      </c>
      <c r="F1099" s="4">
        <v>118667.0</v>
      </c>
      <c r="I1099" s="4">
        <v>100000.0</v>
      </c>
      <c r="J1099" s="5">
        <v>6332.0</v>
      </c>
      <c r="K1099" s="4">
        <f t="shared" si="145"/>
        <v>224999</v>
      </c>
      <c r="L1099" s="4">
        <f t="shared" si="146"/>
        <v>60000</v>
      </c>
      <c r="N1099" s="4">
        <v>164999.0</v>
      </c>
      <c r="P1099" s="3"/>
      <c r="Q1099" s="3"/>
      <c r="R1099" s="3"/>
      <c r="S1099" s="3"/>
      <c r="T1099" s="3"/>
      <c r="U1099" s="3"/>
      <c r="V1099" s="3"/>
      <c r="W1099" s="3"/>
      <c r="X1099" s="3"/>
      <c r="Y1099" s="3"/>
      <c r="Z1099" s="3"/>
      <c r="AA1099" s="3"/>
      <c r="AB1099" s="3"/>
      <c r="AC1099" s="3"/>
      <c r="AD1099" s="3"/>
      <c r="AE1099" s="3"/>
      <c r="AF1099" s="3"/>
      <c r="AG1099" s="3"/>
    </row>
    <row r="1100">
      <c r="A1100" s="2">
        <v>2019.0</v>
      </c>
      <c r="B1100" s="1" t="s">
        <v>213</v>
      </c>
      <c r="F1100" s="4">
        <v>320899.0</v>
      </c>
      <c r="I1100" s="4">
        <v>1154525.0</v>
      </c>
      <c r="J1100" s="4">
        <v>14183.0</v>
      </c>
      <c r="K1100" s="4">
        <f t="shared" si="145"/>
        <v>1489607</v>
      </c>
      <c r="L1100" s="4">
        <f t="shared" si="146"/>
        <v>1041087</v>
      </c>
      <c r="N1100" s="4">
        <v>448520.0</v>
      </c>
      <c r="P1100" s="3"/>
      <c r="Q1100" s="3"/>
      <c r="R1100" s="3"/>
      <c r="S1100" s="3"/>
      <c r="T1100" s="3"/>
      <c r="U1100" s="3"/>
      <c r="V1100" s="3"/>
      <c r="W1100" s="3"/>
      <c r="X1100" s="3"/>
      <c r="Y1100" s="3"/>
      <c r="Z1100" s="3"/>
      <c r="AA1100" s="3"/>
      <c r="AB1100" s="3"/>
      <c r="AC1100" s="3"/>
      <c r="AD1100" s="3"/>
      <c r="AE1100" s="3"/>
      <c r="AF1100" s="3"/>
      <c r="AG1100" s="3"/>
    </row>
    <row r="1101">
      <c r="A1101" s="2">
        <v>2019.0</v>
      </c>
      <c r="B1101" s="1" t="s">
        <v>213</v>
      </c>
      <c r="F1101" s="4">
        <v>5425.0</v>
      </c>
      <c r="I1101" s="4">
        <v>115200.0</v>
      </c>
      <c r="J1101" s="4">
        <v>2143.0</v>
      </c>
      <c r="K1101" s="4">
        <f t="shared" si="145"/>
        <v>122768</v>
      </c>
      <c r="L1101" s="4">
        <f t="shared" si="146"/>
        <v>27050</v>
      </c>
      <c r="N1101" s="4">
        <v>95718.0</v>
      </c>
      <c r="P1101" s="3"/>
      <c r="Q1101" s="3"/>
      <c r="R1101" s="3"/>
      <c r="S1101" s="3"/>
      <c r="T1101" s="3"/>
      <c r="U1101" s="3"/>
      <c r="V1101" s="3"/>
      <c r="W1101" s="3"/>
      <c r="X1101" s="3"/>
      <c r="Y1101" s="3"/>
      <c r="Z1101" s="3"/>
      <c r="AA1101" s="3"/>
      <c r="AB1101" s="3"/>
      <c r="AC1101" s="3"/>
      <c r="AD1101" s="3"/>
      <c r="AE1101" s="3"/>
      <c r="AF1101" s="3"/>
      <c r="AG1101" s="3"/>
    </row>
    <row r="1102">
      <c r="A1102" s="2">
        <v>2019.0</v>
      </c>
      <c r="B1102" s="1" t="s">
        <v>213</v>
      </c>
      <c r="F1102" s="4">
        <v>7283.0</v>
      </c>
      <c r="I1102" s="4">
        <v>18550.0</v>
      </c>
      <c r="J1102" s="5">
        <v>387.0</v>
      </c>
      <c r="K1102" s="4">
        <f t="shared" si="145"/>
        <v>26220</v>
      </c>
      <c r="L1102" s="4">
        <f t="shared" si="146"/>
        <v>20400</v>
      </c>
      <c r="N1102" s="4">
        <v>5820.0</v>
      </c>
      <c r="P1102" s="3"/>
      <c r="Q1102" s="3"/>
      <c r="R1102" s="3"/>
      <c r="S1102" s="3"/>
      <c r="T1102" s="3"/>
      <c r="U1102" s="3"/>
      <c r="V1102" s="3"/>
      <c r="W1102" s="3"/>
      <c r="X1102" s="3"/>
      <c r="Y1102" s="3"/>
      <c r="Z1102" s="3"/>
      <c r="AA1102" s="3"/>
      <c r="AB1102" s="3"/>
      <c r="AC1102" s="3"/>
      <c r="AD1102" s="3"/>
      <c r="AE1102" s="3"/>
      <c r="AF1102" s="3"/>
      <c r="AG1102" s="3"/>
    </row>
    <row r="1103">
      <c r="A1103" s="2">
        <v>2019.0</v>
      </c>
      <c r="B1103" s="1" t="s">
        <v>213</v>
      </c>
      <c r="D1103" s="5" t="s">
        <v>36</v>
      </c>
      <c r="F1103" s="4">
        <f>SUM(F1098:F1102)</f>
        <v>459557</v>
      </c>
      <c r="I1103" s="4">
        <f t="shared" ref="I1103:L1103" si="147">SUM(I1098:I1102)</f>
        <v>1406825</v>
      </c>
      <c r="J1103" s="5">
        <f t="shared" si="147"/>
        <v>23423</v>
      </c>
      <c r="K1103" s="4">
        <f t="shared" si="147"/>
        <v>1889805</v>
      </c>
      <c r="L1103" s="4">
        <f t="shared" si="147"/>
        <v>1168928</v>
      </c>
      <c r="N1103" s="4">
        <f>SUM(N1098:N1102)</f>
        <v>720877</v>
      </c>
      <c r="P1103" s="3"/>
      <c r="Q1103" s="3"/>
      <c r="R1103" s="3"/>
      <c r="S1103" s="3"/>
      <c r="T1103" s="3"/>
      <c r="U1103" s="3"/>
      <c r="V1103" s="3"/>
      <c r="W1103" s="3"/>
      <c r="X1103" s="3"/>
      <c r="Y1103" s="3"/>
      <c r="Z1103" s="3"/>
      <c r="AA1103" s="3"/>
      <c r="AB1103" s="3"/>
      <c r="AC1103" s="3"/>
      <c r="AD1103" s="3"/>
      <c r="AE1103" s="3"/>
      <c r="AF1103" s="3"/>
      <c r="AG1103" s="3"/>
    </row>
    <row r="1104">
      <c r="A1104" s="2">
        <v>2019.0</v>
      </c>
      <c r="B1104" s="1" t="s">
        <v>213</v>
      </c>
      <c r="F1104" s="5">
        <v>515376.0</v>
      </c>
      <c r="I1104" s="5">
        <v>1044000.0</v>
      </c>
      <c r="J1104" s="5">
        <v>40105.0</v>
      </c>
      <c r="K1104" s="4">
        <f t="shared" ref="K1104:K1109" si="148">SUM(F1104:J1104)</f>
        <v>1599481</v>
      </c>
      <c r="L1104" s="4">
        <f t="shared" ref="L1104:L1109" si="149">K1104-N1104</f>
        <v>175229</v>
      </c>
      <c r="N1104" s="5">
        <v>1424252.0</v>
      </c>
      <c r="P1104" s="3"/>
      <c r="Q1104" s="3"/>
      <c r="R1104" s="3"/>
      <c r="S1104" s="3"/>
      <c r="T1104" s="3"/>
      <c r="U1104" s="3"/>
      <c r="V1104" s="3"/>
      <c r="W1104" s="3"/>
      <c r="X1104" s="3"/>
      <c r="Y1104" s="3"/>
      <c r="Z1104" s="3"/>
      <c r="AA1104" s="3"/>
      <c r="AB1104" s="3"/>
      <c r="AC1104" s="3"/>
      <c r="AD1104" s="3"/>
      <c r="AE1104" s="3"/>
      <c r="AF1104" s="3"/>
      <c r="AG1104" s="3"/>
    </row>
    <row r="1105">
      <c r="A1105" s="2">
        <v>2019.0</v>
      </c>
      <c r="B1105" s="1" t="s">
        <v>213</v>
      </c>
      <c r="F1105" s="5">
        <v>174244.0</v>
      </c>
      <c r="I1105" s="5">
        <v>100000.0</v>
      </c>
      <c r="J1105" s="5">
        <v>9157.0</v>
      </c>
      <c r="K1105" s="4">
        <f t="shared" si="148"/>
        <v>283401</v>
      </c>
      <c r="L1105" s="4">
        <f t="shared" si="149"/>
        <v>246500</v>
      </c>
      <c r="N1105" s="5">
        <v>36901.0</v>
      </c>
      <c r="P1105" s="3"/>
      <c r="Q1105" s="3"/>
      <c r="R1105" s="3"/>
      <c r="S1105" s="3"/>
      <c r="T1105" s="3"/>
      <c r="U1105" s="3"/>
      <c r="V1105" s="3"/>
      <c r="W1105" s="3"/>
      <c r="X1105" s="3"/>
      <c r="Y1105" s="3"/>
      <c r="Z1105" s="3"/>
      <c r="AA1105" s="3"/>
      <c r="AB1105" s="3"/>
      <c r="AC1105" s="3"/>
      <c r="AD1105" s="3"/>
      <c r="AE1105" s="3"/>
      <c r="AF1105" s="3"/>
      <c r="AG1105" s="3"/>
    </row>
    <row r="1106">
      <c r="A1106" s="2">
        <v>2019.0</v>
      </c>
      <c r="B1106" s="1" t="s">
        <v>213</v>
      </c>
      <c r="F1106" s="5">
        <v>42261.0</v>
      </c>
      <c r="I1106" s="5">
        <v>152899.0</v>
      </c>
      <c r="J1106" s="5">
        <v>1940.0</v>
      </c>
      <c r="K1106" s="4">
        <f t="shared" si="148"/>
        <v>197100</v>
      </c>
      <c r="L1106" s="4">
        <f t="shared" si="149"/>
        <v>0</v>
      </c>
      <c r="N1106" s="5">
        <v>197100.0</v>
      </c>
      <c r="P1106" s="3"/>
      <c r="Q1106" s="3"/>
      <c r="R1106" s="3"/>
      <c r="S1106" s="3"/>
      <c r="T1106" s="3"/>
      <c r="U1106" s="3"/>
      <c r="V1106" s="3"/>
      <c r="W1106" s="3"/>
      <c r="X1106" s="3"/>
      <c r="Y1106" s="3"/>
      <c r="Z1106" s="3"/>
      <c r="AA1106" s="3"/>
      <c r="AB1106" s="3"/>
      <c r="AC1106" s="3"/>
      <c r="AD1106" s="3"/>
      <c r="AE1106" s="3"/>
      <c r="AF1106" s="3"/>
      <c r="AG1106" s="3"/>
    </row>
    <row r="1107">
      <c r="A1107" s="2">
        <v>2019.0</v>
      </c>
      <c r="B1107" s="1" t="s">
        <v>213</v>
      </c>
      <c r="F1107" s="5">
        <v>138399.0</v>
      </c>
      <c r="I1107" s="5">
        <v>159000.0</v>
      </c>
      <c r="J1107" s="5">
        <v>5185.0</v>
      </c>
      <c r="K1107" s="4">
        <f t="shared" si="148"/>
        <v>302584</v>
      </c>
      <c r="L1107" s="4">
        <f t="shared" si="149"/>
        <v>297399</v>
      </c>
      <c r="N1107" s="5">
        <v>5185.0</v>
      </c>
      <c r="P1107" s="3"/>
      <c r="Q1107" s="3"/>
      <c r="R1107" s="3"/>
      <c r="S1107" s="3"/>
      <c r="T1107" s="3"/>
      <c r="U1107" s="3"/>
      <c r="V1107" s="3"/>
      <c r="W1107" s="3"/>
      <c r="X1107" s="3"/>
      <c r="Y1107" s="3"/>
      <c r="Z1107" s="3"/>
      <c r="AA1107" s="3"/>
      <c r="AB1107" s="3"/>
      <c r="AC1107" s="3"/>
      <c r="AD1107" s="3"/>
      <c r="AE1107" s="3"/>
      <c r="AF1107" s="3"/>
      <c r="AG1107" s="3"/>
    </row>
    <row r="1108">
      <c r="A1108" s="2">
        <v>2019.0</v>
      </c>
      <c r="B1108" s="1" t="s">
        <v>213</v>
      </c>
      <c r="F1108" s="5">
        <v>5424.0</v>
      </c>
      <c r="I1108" s="5">
        <v>50000.0</v>
      </c>
      <c r="J1108" s="5">
        <v>687.0</v>
      </c>
      <c r="K1108" s="4">
        <f t="shared" si="148"/>
        <v>56111</v>
      </c>
      <c r="L1108" s="4">
        <f t="shared" si="149"/>
        <v>51817</v>
      </c>
      <c r="N1108" s="5">
        <v>4294.0</v>
      </c>
      <c r="P1108" s="3"/>
      <c r="Q1108" s="3"/>
      <c r="R1108" s="3"/>
      <c r="S1108" s="3"/>
      <c r="T1108" s="3"/>
      <c r="U1108" s="3"/>
      <c r="V1108" s="3"/>
      <c r="W1108" s="3"/>
      <c r="X1108" s="3"/>
      <c r="Y1108" s="3"/>
      <c r="Z1108" s="3"/>
      <c r="AA1108" s="3"/>
      <c r="AB1108" s="3"/>
      <c r="AC1108" s="3"/>
      <c r="AD1108" s="3"/>
      <c r="AE1108" s="3"/>
      <c r="AF1108" s="3"/>
      <c r="AG1108" s="3"/>
    </row>
    <row r="1109">
      <c r="A1109" s="2">
        <v>2019.0</v>
      </c>
      <c r="B1109" s="1" t="s">
        <v>213</v>
      </c>
      <c r="F1109" s="5">
        <v>21455.0</v>
      </c>
      <c r="I1109" s="5">
        <v>115200.0</v>
      </c>
      <c r="J1109" s="5">
        <v>577.0</v>
      </c>
      <c r="K1109" s="4">
        <f t="shared" si="148"/>
        <v>137232</v>
      </c>
      <c r="L1109" s="4">
        <f t="shared" si="149"/>
        <v>128019</v>
      </c>
      <c r="N1109" s="5">
        <v>9213.0</v>
      </c>
      <c r="P1109" s="3"/>
      <c r="Q1109" s="3"/>
      <c r="R1109" s="3"/>
      <c r="S1109" s="3"/>
      <c r="T1109" s="3"/>
      <c r="U1109" s="3"/>
      <c r="V1109" s="3"/>
      <c r="W1109" s="3"/>
      <c r="X1109" s="3"/>
      <c r="Y1109" s="3"/>
      <c r="Z1109" s="3"/>
      <c r="AA1109" s="3"/>
      <c r="AB1109" s="3"/>
      <c r="AC1109" s="3"/>
      <c r="AD1109" s="3"/>
      <c r="AE1109" s="3"/>
      <c r="AF1109" s="3"/>
      <c r="AG1109" s="3"/>
    </row>
    <row r="1110">
      <c r="A1110" s="2">
        <v>2019.0</v>
      </c>
      <c r="B1110" s="1" t="s">
        <v>213</v>
      </c>
      <c r="D1110" s="5" t="s">
        <v>48</v>
      </c>
      <c r="F1110" s="5">
        <f>SUM(F1104:F1109)</f>
        <v>897159</v>
      </c>
      <c r="I1110" s="5">
        <f t="shared" ref="I1110:L1110" si="150">SUM(I1104:I1109)</f>
        <v>1621099</v>
      </c>
      <c r="J1110" s="5">
        <f t="shared" si="150"/>
        <v>57651</v>
      </c>
      <c r="K1110" s="4">
        <f t="shared" si="150"/>
        <v>2575909</v>
      </c>
      <c r="L1110" s="4">
        <f t="shared" si="150"/>
        <v>898964</v>
      </c>
      <c r="N1110" s="5">
        <f>SUM(N1104:N1109)</f>
        <v>1676945</v>
      </c>
      <c r="P1110" s="3"/>
      <c r="Q1110" s="3"/>
      <c r="R1110" s="3"/>
      <c r="S1110" s="3"/>
      <c r="T1110" s="3"/>
      <c r="U1110" s="3"/>
      <c r="V1110" s="3"/>
      <c r="W1110" s="3"/>
      <c r="X1110" s="3"/>
      <c r="Y1110" s="3"/>
      <c r="Z1110" s="3"/>
      <c r="AA1110" s="3"/>
      <c r="AB1110" s="3"/>
      <c r="AC1110" s="3"/>
      <c r="AD1110" s="3"/>
      <c r="AE1110" s="3"/>
      <c r="AF1110" s="3"/>
      <c r="AG1110" s="3"/>
    </row>
    <row r="1111">
      <c r="A1111" s="2">
        <v>2019.0</v>
      </c>
      <c r="B1111" s="1" t="s">
        <v>213</v>
      </c>
      <c r="F1111" s="5">
        <v>1175.0</v>
      </c>
      <c r="I1111" s="5">
        <v>52850.0</v>
      </c>
      <c r="J1111" s="5">
        <v>0.0</v>
      </c>
      <c r="K1111" s="4">
        <f t="shared" ref="K1111:K1113" si="151">SUM(F1111:J1111)</f>
        <v>54025</v>
      </c>
      <c r="L1111" s="4">
        <f t="shared" ref="L1111:L1113" si="152">K1111-N1111</f>
        <v>49003</v>
      </c>
      <c r="N1111" s="5">
        <v>5022.0</v>
      </c>
      <c r="P1111" s="3"/>
      <c r="Q1111" s="3"/>
      <c r="R1111" s="3"/>
      <c r="S1111" s="3"/>
      <c r="T1111" s="3"/>
      <c r="U1111" s="3"/>
      <c r="V1111" s="3"/>
      <c r="W1111" s="3"/>
      <c r="X1111" s="3"/>
      <c r="Y1111" s="3"/>
      <c r="Z1111" s="3"/>
      <c r="AA1111" s="3"/>
      <c r="AB1111" s="3"/>
      <c r="AC1111" s="3"/>
      <c r="AD1111" s="3"/>
      <c r="AE1111" s="3"/>
      <c r="AF1111" s="3"/>
      <c r="AG1111" s="3"/>
    </row>
    <row r="1112">
      <c r="A1112" s="2">
        <v>2019.0</v>
      </c>
      <c r="B1112" s="1" t="s">
        <v>213</v>
      </c>
      <c r="F1112" s="5">
        <v>3643.0</v>
      </c>
      <c r="I1112" s="5">
        <v>1884000.0</v>
      </c>
      <c r="J1112" s="5">
        <v>11609.0</v>
      </c>
      <c r="K1112" s="4">
        <f t="shared" si="151"/>
        <v>1899252</v>
      </c>
      <c r="L1112" s="4">
        <f t="shared" si="152"/>
        <v>1812675</v>
      </c>
      <c r="N1112" s="5">
        <v>86577.0</v>
      </c>
      <c r="P1112" s="3"/>
      <c r="Q1112" s="3"/>
      <c r="R1112" s="3"/>
      <c r="S1112" s="3"/>
      <c r="T1112" s="3"/>
      <c r="U1112" s="3"/>
      <c r="V1112" s="3"/>
      <c r="W1112" s="3"/>
      <c r="X1112" s="3"/>
      <c r="Y1112" s="3"/>
      <c r="Z1112" s="3"/>
      <c r="AA1112" s="3"/>
      <c r="AB1112" s="3"/>
      <c r="AC1112" s="3"/>
      <c r="AD1112" s="3"/>
      <c r="AE1112" s="3"/>
      <c r="AF1112" s="3"/>
      <c r="AG1112" s="3"/>
    </row>
    <row r="1113">
      <c r="A1113" s="2">
        <v>2019.0</v>
      </c>
      <c r="B1113" s="1" t="s">
        <v>213</v>
      </c>
      <c r="F1113" s="5">
        <v>305936.0</v>
      </c>
      <c r="I1113" s="5">
        <v>13622.0</v>
      </c>
      <c r="J1113" s="5">
        <v>0.0</v>
      </c>
      <c r="K1113" s="4">
        <f t="shared" si="151"/>
        <v>319558</v>
      </c>
      <c r="L1113" s="4">
        <f t="shared" si="152"/>
        <v>318823</v>
      </c>
      <c r="N1113" s="5">
        <v>735.0</v>
      </c>
      <c r="P1113" s="3"/>
      <c r="Q1113" s="3"/>
      <c r="R1113" s="3"/>
      <c r="S1113" s="3"/>
      <c r="T1113" s="3"/>
      <c r="U1113" s="3"/>
      <c r="V1113" s="3"/>
      <c r="W1113" s="3"/>
      <c r="X1113" s="3"/>
      <c r="Y1113" s="3"/>
      <c r="Z1113" s="3"/>
      <c r="AA1113" s="3"/>
      <c r="AB1113" s="3"/>
      <c r="AC1113" s="3"/>
      <c r="AD1113" s="3"/>
      <c r="AE1113" s="3"/>
      <c r="AF1113" s="3"/>
      <c r="AG1113" s="3"/>
    </row>
    <row r="1114">
      <c r="A1114" s="2">
        <v>2019.0</v>
      </c>
      <c r="B1114" s="1" t="s">
        <v>213</v>
      </c>
      <c r="D1114" s="5" t="s">
        <v>57</v>
      </c>
      <c r="F1114" s="5">
        <f>SUM(F1111:F1113)</f>
        <v>310754</v>
      </c>
      <c r="I1114" s="5">
        <f t="shared" ref="I1114:L1114" si="153">SUM(I1111:I1113)</f>
        <v>1950472</v>
      </c>
      <c r="J1114" s="5">
        <f t="shared" si="153"/>
        <v>11609</v>
      </c>
      <c r="K1114" s="4">
        <f t="shared" si="153"/>
        <v>2272835</v>
      </c>
      <c r="L1114" s="4">
        <f t="shared" si="153"/>
        <v>2180501</v>
      </c>
      <c r="N1114" s="5">
        <f>SUM(N1111:N1113)</f>
        <v>92334</v>
      </c>
      <c r="P1114" s="3"/>
      <c r="Q1114" s="3"/>
      <c r="R1114" s="3"/>
      <c r="S1114" s="3"/>
      <c r="T1114" s="3"/>
      <c r="U1114" s="3"/>
      <c r="V1114" s="3"/>
      <c r="W1114" s="3"/>
      <c r="X1114" s="3"/>
      <c r="Y1114" s="3"/>
      <c r="Z1114" s="3"/>
      <c r="AA1114" s="3"/>
      <c r="AB1114" s="3"/>
      <c r="AC1114" s="3"/>
      <c r="AD1114" s="3"/>
      <c r="AE1114" s="3"/>
      <c r="AF1114" s="3"/>
      <c r="AG1114" s="3"/>
    </row>
    <row r="1115">
      <c r="A1115" s="2">
        <v>2019.0</v>
      </c>
      <c r="B1115" s="1" t="s">
        <v>213</v>
      </c>
      <c r="F1115" s="5">
        <v>54172.0</v>
      </c>
      <c r="I1115" s="5">
        <v>0.0</v>
      </c>
      <c r="J1115" s="5">
        <v>375.0</v>
      </c>
      <c r="K1115" s="4">
        <f t="shared" ref="K1115:K1120" si="154">SUM(F1115:J1115)</f>
        <v>54547</v>
      </c>
      <c r="L1115" s="4">
        <f t="shared" ref="L1115:L1120" si="155">K1115-N1115</f>
        <v>50000</v>
      </c>
      <c r="N1115" s="5">
        <v>4547.0</v>
      </c>
      <c r="P1115" s="3"/>
      <c r="Q1115" s="3"/>
      <c r="R1115" s="3"/>
      <c r="S1115" s="3"/>
      <c r="T1115" s="3"/>
      <c r="U1115" s="3"/>
      <c r="V1115" s="3"/>
      <c r="W1115" s="3"/>
      <c r="X1115" s="3"/>
      <c r="Y1115" s="3"/>
      <c r="Z1115" s="3"/>
      <c r="AA1115" s="3"/>
      <c r="AB1115" s="3"/>
      <c r="AC1115" s="3"/>
      <c r="AD1115" s="3"/>
      <c r="AE1115" s="3"/>
      <c r="AF1115" s="3"/>
      <c r="AG1115" s="3"/>
    </row>
    <row r="1116">
      <c r="A1116" s="2">
        <v>2019.0</v>
      </c>
      <c r="B1116" s="1" t="s">
        <v>213</v>
      </c>
      <c r="F1116" s="5">
        <v>34787.0</v>
      </c>
      <c r="I1116" s="5">
        <v>100000.0</v>
      </c>
      <c r="J1116" s="5">
        <v>0.0</v>
      </c>
      <c r="K1116" s="4">
        <f t="shared" si="154"/>
        <v>134787</v>
      </c>
      <c r="L1116" s="4">
        <f t="shared" si="155"/>
        <v>98547</v>
      </c>
      <c r="N1116" s="5">
        <v>36240.0</v>
      </c>
      <c r="P1116" s="3"/>
      <c r="Q1116" s="3"/>
      <c r="R1116" s="3"/>
      <c r="S1116" s="3"/>
      <c r="T1116" s="3"/>
      <c r="U1116" s="3"/>
      <c r="V1116" s="3"/>
      <c r="W1116" s="3"/>
      <c r="X1116" s="3"/>
      <c r="Y1116" s="3"/>
      <c r="Z1116" s="3"/>
      <c r="AA1116" s="3"/>
      <c r="AB1116" s="3"/>
      <c r="AC1116" s="3"/>
      <c r="AD1116" s="3"/>
      <c r="AE1116" s="3"/>
      <c r="AF1116" s="3"/>
      <c r="AG1116" s="3"/>
    </row>
    <row r="1117">
      <c r="A1117" s="2">
        <v>2019.0</v>
      </c>
      <c r="B1117" s="1" t="s">
        <v>213</v>
      </c>
      <c r="F1117" s="5">
        <v>380639.0</v>
      </c>
      <c r="I1117" s="5">
        <v>1486000.0</v>
      </c>
      <c r="J1117" s="5">
        <v>16096.0</v>
      </c>
      <c r="K1117" s="4">
        <f t="shared" si="154"/>
        <v>1882735</v>
      </c>
      <c r="L1117" s="4">
        <f t="shared" si="155"/>
        <v>1474103</v>
      </c>
      <c r="N1117" s="5">
        <v>408632.0</v>
      </c>
      <c r="P1117" s="3"/>
      <c r="Q1117" s="3"/>
      <c r="R1117" s="3"/>
      <c r="S1117" s="3"/>
      <c r="T1117" s="3"/>
      <c r="U1117" s="3"/>
      <c r="V1117" s="3"/>
      <c r="W1117" s="3"/>
      <c r="X1117" s="3"/>
      <c r="Y1117" s="3"/>
      <c r="Z1117" s="3"/>
      <c r="AA1117" s="3"/>
      <c r="AB1117" s="3"/>
      <c r="AC1117" s="3"/>
      <c r="AD1117" s="3"/>
      <c r="AE1117" s="3"/>
      <c r="AF1117" s="3"/>
      <c r="AG1117" s="3"/>
    </row>
    <row r="1118">
      <c r="A1118" s="2">
        <v>2019.0</v>
      </c>
      <c r="B1118" s="1" t="s">
        <v>213</v>
      </c>
      <c r="F1118" s="5">
        <v>1601.0</v>
      </c>
      <c r="I1118" s="5">
        <v>175014.0</v>
      </c>
      <c r="J1118" s="5">
        <v>65.0</v>
      </c>
      <c r="K1118" s="4">
        <f t="shared" si="154"/>
        <v>176680</v>
      </c>
      <c r="L1118" s="4">
        <f t="shared" si="155"/>
        <v>175014</v>
      </c>
      <c r="N1118" s="5">
        <v>1666.0</v>
      </c>
      <c r="P1118" s="3"/>
      <c r="Q1118" s="3"/>
      <c r="R1118" s="3"/>
      <c r="S1118" s="3"/>
      <c r="T1118" s="3"/>
      <c r="U1118" s="3"/>
      <c r="V1118" s="3"/>
      <c r="W1118" s="3"/>
      <c r="X1118" s="3"/>
      <c r="Y1118" s="3"/>
      <c r="Z1118" s="3"/>
      <c r="AA1118" s="3"/>
      <c r="AB1118" s="3"/>
      <c r="AC1118" s="3"/>
      <c r="AD1118" s="3"/>
      <c r="AE1118" s="3"/>
      <c r="AF1118" s="3"/>
      <c r="AG1118" s="3"/>
    </row>
    <row r="1119">
      <c r="A1119" s="2">
        <v>2019.0</v>
      </c>
      <c r="B1119" s="1" t="s">
        <v>213</v>
      </c>
      <c r="F1119" s="5">
        <v>148925.0</v>
      </c>
      <c r="I1119" s="5">
        <v>62537.0</v>
      </c>
      <c r="J1119" s="5">
        <v>7305.0</v>
      </c>
      <c r="K1119" s="4">
        <f t="shared" si="154"/>
        <v>218767</v>
      </c>
      <c r="L1119" s="4">
        <f t="shared" si="155"/>
        <v>0</v>
      </c>
      <c r="N1119" s="5">
        <v>218767.0</v>
      </c>
      <c r="P1119" s="3"/>
      <c r="Q1119" s="3"/>
      <c r="R1119" s="3"/>
      <c r="S1119" s="3"/>
      <c r="T1119" s="3"/>
      <c r="U1119" s="3"/>
      <c r="V1119" s="3"/>
      <c r="W1119" s="3"/>
      <c r="X1119" s="3"/>
      <c r="Y1119" s="3"/>
      <c r="Z1119" s="3"/>
      <c r="AA1119" s="3"/>
      <c r="AB1119" s="3"/>
      <c r="AC1119" s="3"/>
      <c r="AD1119" s="3"/>
      <c r="AE1119" s="3"/>
      <c r="AF1119" s="3"/>
      <c r="AG1119" s="3"/>
    </row>
    <row r="1120">
      <c r="A1120" s="2">
        <v>2019.0</v>
      </c>
      <c r="B1120" s="1" t="s">
        <v>213</v>
      </c>
      <c r="F1120" s="5">
        <v>500.0</v>
      </c>
      <c r="I1120" s="5">
        <v>39870.0</v>
      </c>
      <c r="J1120" s="5">
        <v>845.0</v>
      </c>
      <c r="K1120" s="4">
        <f t="shared" si="154"/>
        <v>41215</v>
      </c>
      <c r="L1120" s="4">
        <f t="shared" si="155"/>
        <v>0</v>
      </c>
      <c r="N1120" s="5">
        <v>41215.0</v>
      </c>
      <c r="P1120" s="3"/>
      <c r="Q1120" s="3"/>
      <c r="R1120" s="3"/>
      <c r="S1120" s="3"/>
      <c r="T1120" s="3"/>
      <c r="U1120" s="3"/>
      <c r="V1120" s="3"/>
      <c r="W1120" s="3"/>
      <c r="X1120" s="3"/>
      <c r="Y1120" s="3"/>
      <c r="Z1120" s="3"/>
      <c r="AA1120" s="3"/>
      <c r="AB1120" s="3"/>
      <c r="AC1120" s="3"/>
      <c r="AD1120" s="3"/>
      <c r="AE1120" s="3"/>
      <c r="AF1120" s="3"/>
      <c r="AG1120" s="3"/>
    </row>
    <row r="1121">
      <c r="A1121" s="2">
        <v>2019.0</v>
      </c>
      <c r="B1121" s="1" t="s">
        <v>213</v>
      </c>
      <c r="D1121" s="5" t="s">
        <v>64</v>
      </c>
      <c r="F1121" s="5">
        <f>SUM(F1115:F1120)</f>
        <v>620624</v>
      </c>
      <c r="I1121" s="5">
        <f t="shared" ref="I1121:L1121" si="156">SUM(I1115:I1120)</f>
        <v>1863421</v>
      </c>
      <c r="J1121" s="5">
        <f t="shared" si="156"/>
        <v>24686</v>
      </c>
      <c r="K1121" s="4">
        <f t="shared" si="156"/>
        <v>2508731</v>
      </c>
      <c r="L1121" s="4">
        <f t="shared" si="156"/>
        <v>1797664</v>
      </c>
      <c r="N1121" s="5">
        <f>SUM(N1115:N1120)</f>
        <v>711067</v>
      </c>
      <c r="P1121" s="3"/>
      <c r="Q1121" s="3"/>
      <c r="R1121" s="3"/>
      <c r="S1121" s="3"/>
      <c r="T1121" s="3"/>
      <c r="U1121" s="3"/>
      <c r="V1121" s="3"/>
      <c r="W1121" s="3"/>
      <c r="X1121" s="3"/>
      <c r="Y1121" s="3"/>
      <c r="Z1121" s="3"/>
      <c r="AA1121" s="3"/>
      <c r="AB1121" s="3"/>
      <c r="AC1121" s="3"/>
      <c r="AD1121" s="3"/>
      <c r="AE1121" s="3"/>
      <c r="AF1121" s="3"/>
      <c r="AG1121" s="3"/>
    </row>
    <row r="1122">
      <c r="A1122" s="2">
        <v>2019.0</v>
      </c>
      <c r="B1122" s="1" t="s">
        <v>213</v>
      </c>
      <c r="F1122" s="5">
        <v>49072.0</v>
      </c>
      <c r="I1122" s="5">
        <v>100000.0</v>
      </c>
      <c r="J1122" s="5">
        <v>1093.0</v>
      </c>
      <c r="K1122" s="4">
        <f t="shared" ref="K1122:K1126" si="157">SUM(F1122:J1122)</f>
        <v>150165</v>
      </c>
      <c r="L1122" s="4">
        <f t="shared" ref="L1122:L1126" si="158">K1122-N1122</f>
        <v>149093</v>
      </c>
      <c r="N1122" s="5">
        <v>1072.0</v>
      </c>
      <c r="P1122" s="3"/>
      <c r="Q1122" s="3"/>
      <c r="R1122" s="3"/>
      <c r="S1122" s="3"/>
      <c r="T1122" s="3"/>
      <c r="U1122" s="3"/>
      <c r="V1122" s="3"/>
      <c r="W1122" s="3"/>
      <c r="X1122" s="3"/>
      <c r="Y1122" s="3"/>
      <c r="Z1122" s="3"/>
      <c r="AA1122" s="3"/>
      <c r="AB1122" s="3"/>
      <c r="AC1122" s="3"/>
      <c r="AD1122" s="3"/>
      <c r="AE1122" s="3"/>
      <c r="AF1122" s="3"/>
      <c r="AG1122" s="3"/>
    </row>
    <row r="1123">
      <c r="A1123" s="2">
        <v>2019.0</v>
      </c>
      <c r="B1123" s="1" t="s">
        <v>213</v>
      </c>
      <c r="F1123" s="5">
        <v>4273.0</v>
      </c>
      <c r="I1123" s="5">
        <v>1234000.0</v>
      </c>
      <c r="J1123" s="5">
        <v>9730.0</v>
      </c>
      <c r="K1123" s="4">
        <f t="shared" si="157"/>
        <v>1248003</v>
      </c>
      <c r="L1123" s="4">
        <f t="shared" si="158"/>
        <v>795138</v>
      </c>
      <c r="N1123" s="5">
        <v>452865.0</v>
      </c>
      <c r="P1123" s="3"/>
      <c r="Q1123" s="3"/>
      <c r="R1123" s="3"/>
      <c r="S1123" s="3"/>
      <c r="T1123" s="3"/>
      <c r="U1123" s="3"/>
      <c r="V1123" s="3"/>
      <c r="W1123" s="3"/>
      <c r="X1123" s="3"/>
      <c r="Y1123" s="3"/>
      <c r="Z1123" s="3"/>
      <c r="AA1123" s="3"/>
      <c r="AB1123" s="3"/>
      <c r="AC1123" s="3"/>
      <c r="AD1123" s="3"/>
      <c r="AE1123" s="3"/>
      <c r="AF1123" s="3"/>
      <c r="AG1123" s="3"/>
    </row>
    <row r="1124">
      <c r="A1124" s="2">
        <v>2019.0</v>
      </c>
      <c r="B1124" s="1" t="s">
        <v>213</v>
      </c>
      <c r="K1124" s="4">
        <f t="shared" si="157"/>
        <v>0</v>
      </c>
      <c r="L1124" s="4">
        <f t="shared" si="158"/>
        <v>0</v>
      </c>
      <c r="N1124" s="5">
        <v>0.0</v>
      </c>
      <c r="P1124" s="3"/>
      <c r="Q1124" s="3"/>
      <c r="R1124" s="3"/>
      <c r="S1124" s="3"/>
      <c r="T1124" s="3"/>
      <c r="U1124" s="3"/>
      <c r="V1124" s="3"/>
      <c r="W1124" s="3"/>
      <c r="X1124" s="3"/>
      <c r="Y1124" s="3"/>
      <c r="Z1124" s="3"/>
      <c r="AA1124" s="3"/>
      <c r="AB1124" s="3"/>
      <c r="AC1124" s="3"/>
      <c r="AD1124" s="3"/>
      <c r="AE1124" s="3"/>
      <c r="AF1124" s="3"/>
      <c r="AG1124" s="3"/>
    </row>
    <row r="1125">
      <c r="A1125" s="2">
        <v>2019.0</v>
      </c>
      <c r="B1125" s="1" t="s">
        <v>213</v>
      </c>
      <c r="F1125" s="5">
        <v>4448.0</v>
      </c>
      <c r="I1125" s="5">
        <v>130915.0</v>
      </c>
      <c r="J1125" s="5">
        <v>275.0</v>
      </c>
      <c r="K1125" s="4">
        <f t="shared" si="157"/>
        <v>135638</v>
      </c>
      <c r="L1125" s="4">
        <f t="shared" si="158"/>
        <v>130200</v>
      </c>
      <c r="N1125" s="5">
        <v>5438.0</v>
      </c>
      <c r="P1125" s="3"/>
      <c r="Q1125" s="3"/>
      <c r="R1125" s="3"/>
      <c r="S1125" s="3"/>
      <c r="T1125" s="3"/>
      <c r="U1125" s="3"/>
      <c r="V1125" s="3"/>
      <c r="W1125" s="3"/>
      <c r="X1125" s="3"/>
      <c r="Y1125" s="3"/>
      <c r="Z1125" s="3"/>
      <c r="AA1125" s="3"/>
      <c r="AB1125" s="3"/>
      <c r="AC1125" s="3"/>
      <c r="AD1125" s="3"/>
      <c r="AE1125" s="3"/>
      <c r="AF1125" s="3"/>
      <c r="AG1125" s="3"/>
    </row>
    <row r="1126">
      <c r="A1126" s="2">
        <v>2019.0</v>
      </c>
      <c r="B1126" s="1" t="s">
        <v>213</v>
      </c>
      <c r="F1126" s="5">
        <v>0.0</v>
      </c>
      <c r="I1126" s="5">
        <v>21070.0</v>
      </c>
      <c r="J1126" s="5">
        <v>288.0</v>
      </c>
      <c r="K1126" s="4">
        <f t="shared" si="157"/>
        <v>21358</v>
      </c>
      <c r="L1126" s="4">
        <f t="shared" si="158"/>
        <v>250</v>
      </c>
      <c r="N1126" s="5">
        <v>21108.0</v>
      </c>
      <c r="P1126" s="3"/>
      <c r="Q1126" s="3"/>
      <c r="R1126" s="3"/>
      <c r="S1126" s="3"/>
      <c r="T1126" s="3"/>
      <c r="U1126" s="3"/>
      <c r="V1126" s="3"/>
      <c r="W1126" s="3"/>
      <c r="X1126" s="3"/>
      <c r="Y1126" s="3"/>
      <c r="Z1126" s="3"/>
      <c r="AA1126" s="3"/>
      <c r="AB1126" s="3"/>
      <c r="AC1126" s="3"/>
      <c r="AD1126" s="3"/>
      <c r="AE1126" s="3"/>
      <c r="AF1126" s="3"/>
      <c r="AG1126" s="3"/>
    </row>
    <row r="1127">
      <c r="A1127" s="2">
        <v>2019.0</v>
      </c>
      <c r="B1127" s="1" t="s">
        <v>213</v>
      </c>
      <c r="D1127" s="5" t="s">
        <v>68</v>
      </c>
      <c r="F1127" s="5">
        <f>SUM(F1122:F1126)</f>
        <v>57793</v>
      </c>
      <c r="I1127" s="5">
        <f t="shared" ref="I1127:L1127" si="159">SUM(I1122:I1126)</f>
        <v>1485985</v>
      </c>
      <c r="J1127" s="5">
        <f t="shared" si="159"/>
        <v>11386</v>
      </c>
      <c r="K1127" s="4">
        <f t="shared" si="159"/>
        <v>1555164</v>
      </c>
      <c r="L1127" s="4">
        <f t="shared" si="159"/>
        <v>1074681</v>
      </c>
      <c r="N1127" s="5">
        <f>SUM(N1122:N1126)</f>
        <v>480483</v>
      </c>
      <c r="P1127" s="3"/>
      <c r="Q1127" s="3"/>
      <c r="R1127" s="3"/>
      <c r="S1127" s="3"/>
      <c r="T1127" s="3"/>
      <c r="U1127" s="3"/>
      <c r="V1127" s="3"/>
      <c r="W1127" s="3"/>
      <c r="X1127" s="3"/>
      <c r="Y1127" s="3"/>
      <c r="Z1127" s="3"/>
      <c r="AA1127" s="3"/>
      <c r="AB1127" s="3"/>
      <c r="AC1127" s="3"/>
      <c r="AD1127" s="3"/>
      <c r="AE1127" s="3"/>
      <c r="AF1127" s="3"/>
      <c r="AG1127" s="3"/>
    </row>
    <row r="1128">
      <c r="A1128" s="2">
        <v>2019.0</v>
      </c>
      <c r="B1128" s="1" t="s">
        <v>213</v>
      </c>
      <c r="F1128" s="5">
        <v>2604.0</v>
      </c>
      <c r="I1128" s="5">
        <v>0.0</v>
      </c>
      <c r="J1128" s="5">
        <v>105.0</v>
      </c>
      <c r="K1128" s="4">
        <f t="shared" ref="K1128:K1132" si="160">SUM(F1128:J1128)</f>
        <v>2709</v>
      </c>
      <c r="L1128" s="4">
        <f t="shared" ref="L1128:L1132" si="161">K1128-N1128</f>
        <v>0</v>
      </c>
      <c r="N1128" s="5">
        <v>2709.0</v>
      </c>
      <c r="P1128" s="3"/>
      <c r="Q1128" s="3"/>
      <c r="R1128" s="3"/>
      <c r="S1128" s="3"/>
      <c r="T1128" s="3"/>
      <c r="U1128" s="3"/>
      <c r="V1128" s="3"/>
      <c r="W1128" s="3"/>
      <c r="X1128" s="3"/>
      <c r="Y1128" s="3"/>
      <c r="Z1128" s="3"/>
      <c r="AA1128" s="3"/>
      <c r="AB1128" s="3"/>
      <c r="AC1128" s="3"/>
      <c r="AD1128" s="3"/>
      <c r="AE1128" s="3"/>
      <c r="AF1128" s="3"/>
      <c r="AG1128" s="3"/>
    </row>
    <row r="1129">
      <c r="A1129" s="2">
        <v>2019.0</v>
      </c>
      <c r="B1129" s="1" t="s">
        <v>213</v>
      </c>
      <c r="F1129" s="5">
        <v>322931.0</v>
      </c>
      <c r="I1129" s="5">
        <v>100000.0</v>
      </c>
      <c r="J1129" s="5">
        <v>9672.0</v>
      </c>
      <c r="K1129" s="4">
        <f t="shared" si="160"/>
        <v>432603</v>
      </c>
      <c r="L1129" s="4">
        <f t="shared" si="161"/>
        <v>397683</v>
      </c>
      <c r="N1129" s="5">
        <v>34920.0</v>
      </c>
      <c r="P1129" s="3"/>
      <c r="Q1129" s="3"/>
      <c r="R1129" s="3"/>
      <c r="S1129" s="3"/>
      <c r="T1129" s="3"/>
      <c r="U1129" s="3"/>
      <c r="V1129" s="3"/>
      <c r="W1129" s="3"/>
      <c r="X1129" s="3"/>
      <c r="Y1129" s="3"/>
      <c r="Z1129" s="3"/>
      <c r="AA1129" s="3"/>
      <c r="AB1129" s="3"/>
      <c r="AC1129" s="3"/>
      <c r="AD1129" s="3"/>
      <c r="AE1129" s="3"/>
      <c r="AF1129" s="3"/>
      <c r="AG1129" s="3"/>
    </row>
    <row r="1130">
      <c r="A1130" s="2">
        <v>2019.0</v>
      </c>
      <c r="B1130" s="1" t="s">
        <v>213</v>
      </c>
      <c r="F1130" s="5">
        <v>530880.0</v>
      </c>
      <c r="I1130" s="5">
        <v>1319390.0</v>
      </c>
      <c r="J1130" s="5">
        <v>18007.0</v>
      </c>
      <c r="K1130" s="4">
        <f t="shared" si="160"/>
        <v>1868277</v>
      </c>
      <c r="L1130" s="4">
        <f t="shared" si="161"/>
        <v>1247593</v>
      </c>
      <c r="N1130" s="5">
        <v>620684.0</v>
      </c>
      <c r="P1130" s="3"/>
      <c r="Q1130" s="3"/>
      <c r="R1130" s="3"/>
      <c r="S1130" s="3"/>
      <c r="T1130" s="3"/>
      <c r="U1130" s="3"/>
      <c r="V1130" s="3"/>
      <c r="W1130" s="3"/>
      <c r="X1130" s="3"/>
      <c r="Y1130" s="3"/>
      <c r="Z1130" s="3"/>
      <c r="AA1130" s="3"/>
      <c r="AB1130" s="3"/>
      <c r="AC1130" s="3"/>
      <c r="AD1130" s="3"/>
      <c r="AE1130" s="3"/>
      <c r="AF1130" s="3"/>
      <c r="AG1130" s="3"/>
    </row>
    <row r="1131">
      <c r="A1131" s="2">
        <v>2019.0</v>
      </c>
      <c r="B1131" s="1" t="s">
        <v>213</v>
      </c>
      <c r="F1131" s="5">
        <v>144669.0</v>
      </c>
      <c r="I1131" s="5">
        <v>160550.0</v>
      </c>
      <c r="J1131" s="5">
        <v>8950.0</v>
      </c>
      <c r="K1131" s="4">
        <f t="shared" si="160"/>
        <v>314169</v>
      </c>
      <c r="L1131" s="4">
        <f t="shared" si="161"/>
        <v>0</v>
      </c>
      <c r="N1131" s="5">
        <v>314169.0</v>
      </c>
      <c r="P1131" s="3"/>
      <c r="Q1131" s="3"/>
      <c r="R1131" s="3"/>
      <c r="S1131" s="3"/>
      <c r="T1131" s="3"/>
      <c r="U1131" s="3"/>
      <c r="V1131" s="3"/>
      <c r="W1131" s="3"/>
      <c r="X1131" s="3"/>
      <c r="Y1131" s="3"/>
      <c r="Z1131" s="3"/>
      <c r="AA1131" s="3"/>
      <c r="AB1131" s="3"/>
      <c r="AC1131" s="3"/>
      <c r="AD1131" s="3"/>
      <c r="AE1131" s="3"/>
      <c r="AF1131" s="3"/>
      <c r="AG1131" s="3"/>
    </row>
    <row r="1132">
      <c r="A1132" s="2">
        <v>2019.0</v>
      </c>
      <c r="B1132" s="1" t="s">
        <v>213</v>
      </c>
      <c r="F1132" s="5">
        <v>314169.0</v>
      </c>
      <c r="I1132" s="5">
        <v>85800.0</v>
      </c>
      <c r="J1132" s="5">
        <v>13503.0</v>
      </c>
      <c r="K1132" s="4">
        <f t="shared" si="160"/>
        <v>413472</v>
      </c>
      <c r="L1132" s="4">
        <f t="shared" si="161"/>
        <v>106330</v>
      </c>
      <c r="N1132" s="5">
        <v>307142.0</v>
      </c>
      <c r="P1132" s="3"/>
      <c r="Q1132" s="3"/>
      <c r="R1132" s="3"/>
      <c r="S1132" s="3"/>
      <c r="T1132" s="3"/>
      <c r="U1132" s="3"/>
      <c r="V1132" s="3"/>
      <c r="W1132" s="3"/>
      <c r="X1132" s="3"/>
      <c r="Y1132" s="3"/>
      <c r="Z1132" s="3"/>
      <c r="AA1132" s="3"/>
      <c r="AB1132" s="3"/>
      <c r="AC1132" s="3"/>
      <c r="AD1132" s="3"/>
      <c r="AE1132" s="3"/>
      <c r="AF1132" s="3"/>
      <c r="AG1132" s="3"/>
    </row>
    <row r="1133">
      <c r="A1133" s="2">
        <v>2019.0</v>
      </c>
      <c r="B1133" s="1" t="s">
        <v>213</v>
      </c>
      <c r="D1133" s="5" t="s">
        <v>73</v>
      </c>
      <c r="F1133" s="5">
        <f>SUM(F1128:F1132)</f>
        <v>1315253</v>
      </c>
      <c r="I1133" s="5">
        <f t="shared" ref="I1133:L1133" si="162">SUM(I1128:I1132)</f>
        <v>1665740</v>
      </c>
      <c r="J1133" s="5">
        <f t="shared" si="162"/>
        <v>50237</v>
      </c>
      <c r="K1133" s="4">
        <f t="shared" si="162"/>
        <v>3031230</v>
      </c>
      <c r="L1133" s="4">
        <f t="shared" si="162"/>
        <v>1751606</v>
      </c>
      <c r="N1133" s="5">
        <f>SUM(N1128:N1132)</f>
        <v>1279624</v>
      </c>
      <c r="P1133" s="3"/>
      <c r="Q1133" s="3"/>
      <c r="R1133" s="3"/>
      <c r="S1133" s="3"/>
      <c r="T1133" s="3"/>
      <c r="U1133" s="3"/>
      <c r="V1133" s="3"/>
      <c r="W1133" s="3"/>
      <c r="X1133" s="3"/>
      <c r="Y1133" s="3"/>
      <c r="Z1133" s="3"/>
      <c r="AA1133" s="3"/>
      <c r="AB1133" s="3"/>
      <c r="AC1133" s="3"/>
      <c r="AD1133" s="3"/>
      <c r="AE1133" s="3"/>
      <c r="AF1133" s="3"/>
      <c r="AG1133" s="3"/>
    </row>
    <row r="1134">
      <c r="A1134" s="2">
        <v>2019.0</v>
      </c>
      <c r="B1134" s="1" t="s">
        <v>213</v>
      </c>
      <c r="F1134" s="5">
        <v>4593.0</v>
      </c>
      <c r="I1134" s="5">
        <v>0.0</v>
      </c>
      <c r="J1134" s="5">
        <v>188.0</v>
      </c>
      <c r="K1134" s="4">
        <f t="shared" ref="K1134:K1137" si="163">SUM(F1134:J1134)</f>
        <v>4781</v>
      </c>
      <c r="L1134" s="4">
        <f t="shared" ref="L1134:L1137" si="164">K1134-N1134</f>
        <v>0</v>
      </c>
      <c r="N1134" s="5">
        <v>4781.0</v>
      </c>
      <c r="P1134" s="3"/>
      <c r="Q1134" s="3"/>
      <c r="R1134" s="3"/>
      <c r="S1134" s="3"/>
      <c r="T1134" s="3"/>
      <c r="U1134" s="3"/>
      <c r="V1134" s="3"/>
      <c r="W1134" s="3"/>
      <c r="X1134" s="3"/>
      <c r="Y1134" s="3"/>
      <c r="Z1134" s="3"/>
      <c r="AA1134" s="3"/>
      <c r="AB1134" s="3"/>
      <c r="AC1134" s="3"/>
      <c r="AD1134" s="3"/>
      <c r="AE1134" s="3"/>
      <c r="AF1134" s="3"/>
      <c r="AG1134" s="3"/>
    </row>
    <row r="1135">
      <c r="A1135" s="2">
        <v>2019.0</v>
      </c>
      <c r="B1135" s="1" t="s">
        <v>213</v>
      </c>
      <c r="F1135" s="5">
        <v>313801.0</v>
      </c>
      <c r="I1135" s="5">
        <v>100000.0</v>
      </c>
      <c r="J1135" s="5">
        <v>2941.0</v>
      </c>
      <c r="K1135" s="4">
        <f t="shared" si="163"/>
        <v>416742</v>
      </c>
      <c r="L1135" s="4">
        <f t="shared" si="164"/>
        <v>396390</v>
      </c>
      <c r="N1135" s="5">
        <v>20352.0</v>
      </c>
      <c r="P1135" s="3"/>
      <c r="Q1135" s="3"/>
      <c r="R1135" s="3"/>
      <c r="S1135" s="3"/>
      <c r="T1135" s="3"/>
      <c r="U1135" s="3"/>
      <c r="V1135" s="3"/>
      <c r="W1135" s="3"/>
      <c r="X1135" s="3"/>
      <c r="Y1135" s="3"/>
      <c r="Z1135" s="3"/>
      <c r="AA1135" s="3"/>
      <c r="AB1135" s="3"/>
      <c r="AC1135" s="3"/>
      <c r="AD1135" s="3"/>
      <c r="AE1135" s="3"/>
      <c r="AF1135" s="3"/>
      <c r="AG1135" s="3"/>
    </row>
    <row r="1136">
      <c r="A1136" s="2">
        <v>2019.0</v>
      </c>
      <c r="B1136" s="1" t="s">
        <v>213</v>
      </c>
      <c r="F1136" s="5">
        <v>7362.0</v>
      </c>
      <c r="I1136" s="5">
        <v>1875915.0</v>
      </c>
      <c r="J1136" s="5">
        <v>10190.0</v>
      </c>
      <c r="K1136" s="4">
        <f t="shared" si="163"/>
        <v>1893467</v>
      </c>
      <c r="L1136" s="4">
        <f t="shared" si="164"/>
        <v>1885536</v>
      </c>
      <c r="N1136" s="5">
        <v>7931.0</v>
      </c>
      <c r="P1136" s="3"/>
      <c r="Q1136" s="3"/>
      <c r="R1136" s="3"/>
      <c r="S1136" s="3"/>
      <c r="T1136" s="3"/>
      <c r="U1136" s="3"/>
      <c r="V1136" s="3"/>
      <c r="W1136" s="3"/>
      <c r="X1136" s="3"/>
      <c r="Y1136" s="3"/>
      <c r="Z1136" s="3"/>
      <c r="AA1136" s="3"/>
      <c r="AB1136" s="3"/>
      <c r="AC1136" s="3"/>
      <c r="AD1136" s="3"/>
      <c r="AE1136" s="3"/>
      <c r="AF1136" s="3"/>
      <c r="AG1136" s="3"/>
    </row>
    <row r="1137">
      <c r="A1137" s="2">
        <v>2019.0</v>
      </c>
      <c r="B1137" s="1" t="s">
        <v>213</v>
      </c>
      <c r="F1137" s="5">
        <v>48430.0</v>
      </c>
      <c r="I1137" s="5">
        <v>74485.0</v>
      </c>
      <c r="J1137" s="5">
        <v>4084.0</v>
      </c>
      <c r="K1137" s="4">
        <f t="shared" si="163"/>
        <v>126999</v>
      </c>
      <c r="L1137" s="4">
        <f t="shared" si="164"/>
        <v>0</v>
      </c>
      <c r="N1137" s="5">
        <v>126999.0</v>
      </c>
      <c r="P1137" s="3"/>
      <c r="Q1137" s="3"/>
      <c r="R1137" s="3"/>
      <c r="S1137" s="3"/>
      <c r="T1137" s="3"/>
      <c r="U1137" s="3"/>
      <c r="V1137" s="3"/>
      <c r="W1137" s="3"/>
      <c r="X1137" s="3"/>
      <c r="Y1137" s="3"/>
      <c r="Z1137" s="3"/>
      <c r="AA1137" s="3"/>
      <c r="AB1137" s="3"/>
      <c r="AC1137" s="3"/>
      <c r="AD1137" s="3"/>
      <c r="AE1137" s="3"/>
      <c r="AF1137" s="3"/>
      <c r="AG1137" s="3"/>
    </row>
    <row r="1138">
      <c r="A1138" s="2">
        <v>2019.0</v>
      </c>
      <c r="B1138" s="1" t="s">
        <v>213</v>
      </c>
      <c r="D1138" s="5" t="s">
        <v>77</v>
      </c>
      <c r="F1138" s="5">
        <f>SUM(F1134:F1137)</f>
        <v>374186</v>
      </c>
      <c r="I1138" s="5">
        <f t="shared" ref="I1138:L1138" si="165">SUM(I1134:I1137)</f>
        <v>2050400</v>
      </c>
      <c r="J1138" s="5">
        <f t="shared" si="165"/>
        <v>17403</v>
      </c>
      <c r="K1138" s="4">
        <f t="shared" si="165"/>
        <v>2441989</v>
      </c>
      <c r="L1138" s="4">
        <f t="shared" si="165"/>
        <v>2281926</v>
      </c>
      <c r="N1138" s="5">
        <f>SUM(N1134:N1137)</f>
        <v>160063</v>
      </c>
      <c r="P1138" s="3"/>
      <c r="Q1138" s="3"/>
      <c r="R1138" s="3"/>
      <c r="S1138" s="3"/>
      <c r="T1138" s="3"/>
      <c r="U1138" s="3"/>
      <c r="V1138" s="3"/>
      <c r="W1138" s="3"/>
      <c r="X1138" s="3"/>
      <c r="Y1138" s="3"/>
      <c r="Z1138" s="3"/>
      <c r="AA1138" s="3"/>
      <c r="AB1138" s="3"/>
      <c r="AC1138" s="3"/>
      <c r="AD1138" s="3"/>
      <c r="AE1138" s="3"/>
      <c r="AF1138" s="3"/>
      <c r="AG1138" s="3"/>
    </row>
    <row r="1139">
      <c r="A1139" s="2">
        <v>2019.0</v>
      </c>
      <c r="B1139" s="1" t="s">
        <v>213</v>
      </c>
      <c r="F1139" s="5">
        <v>2233.0</v>
      </c>
      <c r="I1139" s="5">
        <v>0.0</v>
      </c>
      <c r="J1139" s="5">
        <v>91.0</v>
      </c>
      <c r="K1139" s="4">
        <f t="shared" ref="K1139:K1142" si="166">SUM(F1139:J1139)</f>
        <v>2324</v>
      </c>
      <c r="L1139" s="4">
        <f t="shared" ref="L1139:L1142" si="167">K1139-N1139</f>
        <v>0</v>
      </c>
      <c r="N1139" s="5">
        <v>2324.0</v>
      </c>
      <c r="P1139" s="3"/>
      <c r="Q1139" s="3"/>
      <c r="R1139" s="3"/>
      <c r="S1139" s="3"/>
      <c r="T1139" s="3"/>
      <c r="U1139" s="3"/>
      <c r="V1139" s="3"/>
      <c r="W1139" s="3"/>
      <c r="X1139" s="3"/>
      <c r="Y1139" s="3"/>
      <c r="Z1139" s="3"/>
      <c r="AA1139" s="3"/>
      <c r="AB1139" s="3"/>
      <c r="AC1139" s="3"/>
      <c r="AD1139" s="3"/>
      <c r="AE1139" s="3"/>
      <c r="AF1139" s="3"/>
      <c r="AG1139" s="3"/>
    </row>
    <row r="1140">
      <c r="A1140" s="2">
        <v>2019.0</v>
      </c>
      <c r="B1140" s="1" t="s">
        <v>213</v>
      </c>
      <c r="F1140" s="5">
        <v>18622.0</v>
      </c>
      <c r="I1140" s="5">
        <v>100000.0</v>
      </c>
      <c r="J1140" s="5">
        <v>3242.0</v>
      </c>
      <c r="K1140" s="4">
        <f t="shared" si="166"/>
        <v>121864</v>
      </c>
      <c r="L1140" s="4">
        <f t="shared" si="167"/>
        <v>99896</v>
      </c>
      <c r="N1140" s="5">
        <v>21968.0</v>
      </c>
      <c r="P1140" s="3"/>
      <c r="Q1140" s="3"/>
      <c r="R1140" s="3"/>
      <c r="S1140" s="3"/>
      <c r="T1140" s="3"/>
      <c r="U1140" s="3"/>
      <c r="V1140" s="3"/>
      <c r="W1140" s="3"/>
      <c r="X1140" s="3"/>
      <c r="Y1140" s="3"/>
      <c r="Z1140" s="3"/>
      <c r="AA1140" s="3"/>
      <c r="AB1140" s="3"/>
      <c r="AC1140" s="3"/>
      <c r="AD1140" s="3"/>
      <c r="AE1140" s="3"/>
      <c r="AF1140" s="3"/>
      <c r="AG1140" s="3"/>
    </row>
    <row r="1141">
      <c r="A1141" s="2">
        <v>2019.0</v>
      </c>
      <c r="B1141" s="1" t="s">
        <v>213</v>
      </c>
      <c r="F1141" s="5">
        <v>393136.0</v>
      </c>
      <c r="I1141" s="5">
        <v>1056355.0</v>
      </c>
      <c r="J1141" s="5">
        <v>19322.0</v>
      </c>
      <c r="K1141" s="4">
        <f t="shared" si="166"/>
        <v>1468813</v>
      </c>
      <c r="L1141" s="4">
        <f t="shared" si="167"/>
        <v>1081005</v>
      </c>
      <c r="N1141" s="5">
        <v>387808.0</v>
      </c>
      <c r="P1141" s="3"/>
      <c r="Q1141" s="3"/>
      <c r="R1141" s="3"/>
      <c r="S1141" s="3"/>
      <c r="T1141" s="3"/>
      <c r="U1141" s="3"/>
      <c r="V1141" s="3"/>
      <c r="W1141" s="3"/>
      <c r="X1141" s="3"/>
      <c r="Y1141" s="3"/>
      <c r="Z1141" s="3"/>
      <c r="AA1141" s="3"/>
      <c r="AB1141" s="3"/>
      <c r="AC1141" s="3"/>
      <c r="AD1141" s="3"/>
      <c r="AE1141" s="3"/>
      <c r="AF1141" s="3"/>
      <c r="AG1141" s="3"/>
    </row>
    <row r="1142">
      <c r="A1142" s="2">
        <v>2019.0</v>
      </c>
      <c r="B1142" s="1" t="s">
        <v>213</v>
      </c>
      <c r="F1142" s="5">
        <v>28259.0</v>
      </c>
      <c r="I1142" s="5">
        <v>145476.0</v>
      </c>
      <c r="J1142" s="5">
        <v>0.0</v>
      </c>
      <c r="K1142" s="4">
        <f t="shared" si="166"/>
        <v>173735</v>
      </c>
      <c r="L1142" s="4">
        <f t="shared" si="167"/>
        <v>100000</v>
      </c>
      <c r="N1142" s="5">
        <v>73735.0</v>
      </c>
      <c r="P1142" s="3"/>
      <c r="Q1142" s="3"/>
      <c r="R1142" s="3"/>
      <c r="S1142" s="3"/>
      <c r="T1142" s="3"/>
      <c r="U1142" s="3"/>
      <c r="V1142" s="3"/>
      <c r="W1142" s="3"/>
      <c r="X1142" s="3"/>
      <c r="Y1142" s="3"/>
      <c r="Z1142" s="3"/>
      <c r="AA1142" s="3"/>
      <c r="AB1142" s="3"/>
      <c r="AC1142" s="3"/>
      <c r="AD1142" s="3"/>
      <c r="AE1142" s="3"/>
      <c r="AF1142" s="3"/>
      <c r="AG1142" s="3"/>
    </row>
    <row r="1143">
      <c r="A1143" s="2">
        <v>2019.0</v>
      </c>
      <c r="B1143" s="1" t="s">
        <v>213</v>
      </c>
      <c r="D1143" s="5" t="s">
        <v>84</v>
      </c>
      <c r="F1143" s="5">
        <f>SUM(F1139:F1142)</f>
        <v>442250</v>
      </c>
      <c r="I1143" s="5">
        <f t="shared" ref="I1143:L1143" si="168">SUM(I1139:I1142)</f>
        <v>1301831</v>
      </c>
      <c r="J1143" s="5">
        <f t="shared" si="168"/>
        <v>22655</v>
      </c>
      <c r="K1143" s="4">
        <f t="shared" si="168"/>
        <v>1766736</v>
      </c>
      <c r="L1143" s="4">
        <f t="shared" si="168"/>
        <v>1280901</v>
      </c>
      <c r="N1143" s="5">
        <f>SUM(N1139:N1142)</f>
        <v>485835</v>
      </c>
      <c r="P1143" s="3"/>
      <c r="Q1143" s="3"/>
      <c r="R1143" s="3"/>
      <c r="S1143" s="3"/>
      <c r="T1143" s="3"/>
      <c r="U1143" s="3"/>
      <c r="V1143" s="3"/>
      <c r="W1143" s="3"/>
      <c r="X1143" s="3"/>
      <c r="Y1143" s="3"/>
      <c r="Z1143" s="3"/>
      <c r="AA1143" s="3"/>
      <c r="AB1143" s="3"/>
      <c r="AC1143" s="3"/>
      <c r="AD1143" s="3"/>
      <c r="AE1143" s="3"/>
      <c r="AF1143" s="3"/>
      <c r="AG1143" s="3"/>
    </row>
    <row r="1144">
      <c r="A1144" s="2">
        <v>2019.0</v>
      </c>
      <c r="B1144" s="1" t="s">
        <v>213</v>
      </c>
      <c r="F1144" s="5">
        <v>313.0</v>
      </c>
      <c r="J1144" s="5">
        <v>24.0</v>
      </c>
      <c r="K1144" s="4">
        <f t="shared" ref="K1144:K1147" si="169">SUM(F1144:J1144)</f>
        <v>337</v>
      </c>
      <c r="L1144" s="4">
        <f t="shared" ref="L1144:L1147" si="170">K1144-N1144</f>
        <v>0</v>
      </c>
      <c r="N1144" s="5">
        <v>337.0</v>
      </c>
      <c r="P1144" s="3"/>
      <c r="Q1144" s="3"/>
      <c r="R1144" s="3"/>
      <c r="S1144" s="3"/>
      <c r="T1144" s="3"/>
      <c r="U1144" s="3"/>
      <c r="V1144" s="3"/>
      <c r="W1144" s="3"/>
      <c r="X1144" s="3"/>
      <c r="Y1144" s="3"/>
      <c r="Z1144" s="3"/>
      <c r="AA1144" s="3"/>
      <c r="AB1144" s="3"/>
      <c r="AC1144" s="3"/>
      <c r="AD1144" s="3"/>
      <c r="AE1144" s="3"/>
      <c r="AF1144" s="3"/>
      <c r="AG1144" s="3"/>
    </row>
    <row r="1145">
      <c r="A1145" s="2">
        <v>2019.0</v>
      </c>
      <c r="B1145" s="1" t="s">
        <v>213</v>
      </c>
      <c r="F1145" s="4">
        <v>52346.0</v>
      </c>
      <c r="I1145" s="5">
        <v>203000.0</v>
      </c>
      <c r="J1145" s="4">
        <v>4544.0</v>
      </c>
      <c r="K1145" s="4">
        <f t="shared" si="169"/>
        <v>259890</v>
      </c>
      <c r="L1145" s="4">
        <f t="shared" si="170"/>
        <v>259116</v>
      </c>
      <c r="N1145" s="5">
        <v>774.0</v>
      </c>
      <c r="P1145" s="3"/>
      <c r="Q1145" s="3"/>
      <c r="R1145" s="3"/>
      <c r="S1145" s="3"/>
      <c r="T1145" s="3"/>
      <c r="U1145" s="3"/>
      <c r="V1145" s="3"/>
      <c r="W1145" s="3"/>
      <c r="X1145" s="3"/>
      <c r="Y1145" s="3"/>
      <c r="Z1145" s="3"/>
      <c r="AA1145" s="3"/>
      <c r="AB1145" s="3"/>
      <c r="AC1145" s="3"/>
      <c r="AD1145" s="3"/>
      <c r="AE1145" s="3"/>
      <c r="AF1145" s="3"/>
      <c r="AG1145" s="3"/>
    </row>
    <row r="1146">
      <c r="A1146" s="2">
        <v>2019.0</v>
      </c>
      <c r="B1146" s="1" t="s">
        <v>213</v>
      </c>
      <c r="F1146" s="5">
        <v>305355.0</v>
      </c>
      <c r="I1146" s="5">
        <v>1836400.0</v>
      </c>
      <c r="J1146" s="4">
        <v>5775.0</v>
      </c>
      <c r="K1146" s="4">
        <f t="shared" si="169"/>
        <v>2147530</v>
      </c>
      <c r="L1146" s="4">
        <f t="shared" si="170"/>
        <v>2105582</v>
      </c>
      <c r="N1146" s="4">
        <v>41948.0</v>
      </c>
      <c r="P1146" s="3"/>
      <c r="Q1146" s="3"/>
      <c r="R1146" s="3"/>
      <c r="S1146" s="3"/>
      <c r="T1146" s="3"/>
      <c r="U1146" s="3"/>
      <c r="V1146" s="3"/>
      <c r="W1146" s="3"/>
      <c r="X1146" s="3"/>
      <c r="Y1146" s="3"/>
      <c r="Z1146" s="3"/>
      <c r="AA1146" s="3"/>
      <c r="AB1146" s="3"/>
      <c r="AC1146" s="3"/>
      <c r="AD1146" s="3"/>
      <c r="AE1146" s="3"/>
      <c r="AF1146" s="3"/>
      <c r="AG1146" s="3"/>
    </row>
    <row r="1147">
      <c r="A1147" s="2">
        <v>2019.0</v>
      </c>
      <c r="B1147" s="1" t="s">
        <v>213</v>
      </c>
      <c r="F1147" s="4">
        <v>24610.0</v>
      </c>
      <c r="I1147" s="4">
        <v>59067.0</v>
      </c>
      <c r="J1147" s="5">
        <v>1790.0</v>
      </c>
      <c r="K1147" s="4">
        <f t="shared" si="169"/>
        <v>85467</v>
      </c>
      <c r="L1147" s="4">
        <f t="shared" si="170"/>
        <v>20000</v>
      </c>
      <c r="N1147" s="4">
        <v>65467.0</v>
      </c>
      <c r="P1147" s="3"/>
      <c r="Q1147" s="3"/>
      <c r="R1147" s="3"/>
      <c r="S1147" s="3"/>
      <c r="T1147" s="3"/>
      <c r="U1147" s="3"/>
      <c r="V1147" s="3"/>
      <c r="W1147" s="3"/>
      <c r="X1147" s="3"/>
      <c r="Y1147" s="3"/>
      <c r="Z1147" s="3"/>
      <c r="AA1147" s="3"/>
      <c r="AB1147" s="3"/>
      <c r="AC1147" s="3"/>
      <c r="AD1147" s="3"/>
      <c r="AE1147" s="3"/>
      <c r="AF1147" s="3"/>
      <c r="AG1147" s="3"/>
    </row>
    <row r="1148">
      <c r="A1148" s="2">
        <v>2019.0</v>
      </c>
      <c r="B1148" s="1" t="s">
        <v>213</v>
      </c>
      <c r="D1148" s="5" t="s">
        <v>89</v>
      </c>
      <c r="F1148" s="4">
        <f>SUM(F1144:F1147)</f>
        <v>382624</v>
      </c>
      <c r="I1148" s="4">
        <f t="shared" ref="I1148:L1148" si="171">SUM(I1144:I1147)</f>
        <v>2098467</v>
      </c>
      <c r="J1148" s="5">
        <f t="shared" si="171"/>
        <v>12133</v>
      </c>
      <c r="K1148" s="4">
        <f t="shared" si="171"/>
        <v>2493224</v>
      </c>
      <c r="L1148" s="4">
        <f t="shared" si="171"/>
        <v>2384698</v>
      </c>
      <c r="N1148" s="4">
        <f>SUM(N1144:N1147)</f>
        <v>108526</v>
      </c>
      <c r="P1148" s="3"/>
      <c r="Q1148" s="3"/>
      <c r="R1148" s="3"/>
      <c r="S1148" s="3"/>
      <c r="T1148" s="3"/>
      <c r="U1148" s="3"/>
      <c r="V1148" s="3"/>
      <c r="W1148" s="3"/>
      <c r="X1148" s="3"/>
      <c r="Y1148" s="3"/>
      <c r="Z1148" s="3"/>
      <c r="AA1148" s="3"/>
      <c r="AB1148" s="3"/>
      <c r="AC1148" s="3"/>
      <c r="AD1148" s="3"/>
      <c r="AE1148" s="3"/>
      <c r="AF1148" s="3"/>
      <c r="AG1148" s="3"/>
    </row>
    <row r="1149">
      <c r="A1149" s="2">
        <v>2019.0</v>
      </c>
      <c r="B1149" s="1" t="s">
        <v>213</v>
      </c>
      <c r="F1149" s="5">
        <v>1437.0</v>
      </c>
      <c r="I1149" s="5">
        <v>1752715.0</v>
      </c>
      <c r="J1149" s="5">
        <v>8795.0</v>
      </c>
      <c r="K1149" s="4">
        <f t="shared" ref="K1149:K1151" si="172">SUM(F1149:J1149)</f>
        <v>1762947</v>
      </c>
      <c r="L1149" s="4">
        <f t="shared" ref="L1149:L1151" si="173">K1149-N1149</f>
        <v>1741074</v>
      </c>
      <c r="N1149" s="5">
        <v>21873.0</v>
      </c>
      <c r="P1149" s="3"/>
      <c r="Q1149" s="3"/>
      <c r="R1149" s="3"/>
      <c r="S1149" s="3"/>
      <c r="T1149" s="3"/>
      <c r="U1149" s="3"/>
      <c r="V1149" s="3"/>
      <c r="W1149" s="3"/>
      <c r="X1149" s="3"/>
      <c r="Y1149" s="3"/>
      <c r="Z1149" s="3"/>
      <c r="AA1149" s="3"/>
      <c r="AB1149" s="3"/>
      <c r="AC1149" s="3"/>
      <c r="AD1149" s="3"/>
      <c r="AE1149" s="3"/>
      <c r="AF1149" s="3"/>
      <c r="AG1149" s="3"/>
    </row>
    <row r="1150">
      <c r="A1150" s="2">
        <v>2019.0</v>
      </c>
      <c r="B1150" s="1" t="s">
        <v>213</v>
      </c>
      <c r="F1150" s="5">
        <v>9702.0</v>
      </c>
      <c r="I1150" s="5">
        <v>100000.0</v>
      </c>
      <c r="J1150" s="5">
        <v>1084.0</v>
      </c>
      <c r="K1150" s="4">
        <f t="shared" si="172"/>
        <v>110786</v>
      </c>
      <c r="L1150" s="4">
        <f t="shared" si="173"/>
        <v>107380</v>
      </c>
      <c r="N1150" s="5">
        <v>3406.0</v>
      </c>
      <c r="P1150" s="3"/>
      <c r="Q1150" s="3"/>
      <c r="R1150" s="3"/>
      <c r="S1150" s="3"/>
      <c r="T1150" s="3"/>
      <c r="U1150" s="3"/>
      <c r="V1150" s="3"/>
      <c r="W1150" s="3"/>
      <c r="X1150" s="3"/>
      <c r="Y1150" s="3"/>
      <c r="Z1150" s="3"/>
      <c r="AA1150" s="3"/>
      <c r="AB1150" s="3"/>
      <c r="AC1150" s="3"/>
      <c r="AD1150" s="3"/>
      <c r="AE1150" s="3"/>
      <c r="AF1150" s="3"/>
      <c r="AG1150" s="3"/>
    </row>
    <row r="1151">
      <c r="A1151" s="2">
        <v>2019.0</v>
      </c>
      <c r="B1151" s="1" t="s">
        <v>213</v>
      </c>
      <c r="F1151" s="5">
        <v>292245.0</v>
      </c>
      <c r="I1151" s="5">
        <v>59397.0</v>
      </c>
      <c r="J1151" s="5" t="s">
        <v>401</v>
      </c>
      <c r="K1151" s="4">
        <f t="shared" si="172"/>
        <v>351642</v>
      </c>
      <c r="L1151" s="4">
        <f t="shared" si="173"/>
        <v>0</v>
      </c>
      <c r="N1151" s="5">
        <v>351642.0</v>
      </c>
      <c r="P1151" s="3"/>
      <c r="Q1151" s="3"/>
      <c r="R1151" s="3"/>
      <c r="S1151" s="3"/>
      <c r="T1151" s="3"/>
      <c r="U1151" s="3"/>
      <c r="V1151" s="3"/>
      <c r="W1151" s="3"/>
      <c r="X1151" s="3"/>
      <c r="Y1151" s="3"/>
      <c r="Z1151" s="3"/>
      <c r="AA1151" s="3"/>
      <c r="AB1151" s="3"/>
      <c r="AC1151" s="3"/>
      <c r="AD1151" s="3"/>
      <c r="AE1151" s="3"/>
      <c r="AF1151" s="3"/>
      <c r="AG1151" s="3"/>
    </row>
    <row r="1152">
      <c r="A1152" s="2">
        <v>2019.0</v>
      </c>
      <c r="B1152" s="1" t="s">
        <v>213</v>
      </c>
      <c r="D1152" s="5" t="s">
        <v>101</v>
      </c>
      <c r="F1152" s="5">
        <f>SUM(F1149:F1151)</f>
        <v>303384</v>
      </c>
      <c r="I1152" s="5">
        <f t="shared" ref="I1152:L1152" si="174">SUM(I1149:I1151)</f>
        <v>1912112</v>
      </c>
      <c r="J1152" s="5">
        <f t="shared" si="174"/>
        <v>9879</v>
      </c>
      <c r="K1152" s="4">
        <f t="shared" si="174"/>
        <v>2225375</v>
      </c>
      <c r="L1152" s="4">
        <f t="shared" si="174"/>
        <v>1848454</v>
      </c>
      <c r="N1152" s="5">
        <f>SUM(N1149:N1151)</f>
        <v>376921</v>
      </c>
      <c r="P1152" s="3"/>
      <c r="Q1152" s="3"/>
      <c r="R1152" s="3"/>
      <c r="S1152" s="3"/>
      <c r="T1152" s="3"/>
      <c r="U1152" s="3"/>
      <c r="V1152" s="3"/>
      <c r="W1152" s="3"/>
      <c r="X1152" s="3"/>
      <c r="Y1152" s="3"/>
      <c r="Z1152" s="3"/>
      <c r="AA1152" s="3"/>
      <c r="AB1152" s="3"/>
      <c r="AC1152" s="3"/>
      <c r="AD1152" s="3"/>
      <c r="AE1152" s="3"/>
      <c r="AF1152" s="3"/>
      <c r="AG1152" s="3"/>
    </row>
    <row r="1153">
      <c r="A1153" s="2">
        <v>2019.0</v>
      </c>
      <c r="B1153" s="1" t="s">
        <v>213</v>
      </c>
      <c r="F1153" s="5">
        <v>205975.0</v>
      </c>
      <c r="I1153" s="5">
        <v>0.0</v>
      </c>
      <c r="J1153" s="5">
        <v>4072.0</v>
      </c>
      <c r="K1153" s="4">
        <f t="shared" ref="K1153:K1155" si="175">SUM(F1153:J1153)</f>
        <v>210047</v>
      </c>
      <c r="L1153" s="4">
        <f t="shared" ref="L1153:L1156" si="176">K1153-N1153</f>
        <v>99901</v>
      </c>
      <c r="N1153" s="5">
        <v>110146.0</v>
      </c>
      <c r="P1153" s="3"/>
      <c r="Q1153" s="3"/>
      <c r="R1153" s="3"/>
      <c r="S1153" s="3"/>
      <c r="T1153" s="3"/>
      <c r="U1153" s="3"/>
      <c r="V1153" s="3"/>
      <c r="W1153" s="3"/>
      <c r="X1153" s="3"/>
      <c r="Y1153" s="3"/>
      <c r="Z1153" s="3"/>
      <c r="AA1153" s="3"/>
      <c r="AB1153" s="3"/>
      <c r="AC1153" s="3"/>
      <c r="AD1153" s="3"/>
      <c r="AE1153" s="3"/>
      <c r="AF1153" s="3"/>
      <c r="AG1153" s="3"/>
    </row>
    <row r="1154">
      <c r="A1154" s="2">
        <v>2019.0</v>
      </c>
      <c r="B1154" s="1" t="s">
        <v>213</v>
      </c>
      <c r="F1154" s="5">
        <v>799348.0</v>
      </c>
      <c r="I1154" s="5">
        <v>300000.0</v>
      </c>
      <c r="J1154" s="5">
        <v>30451.0</v>
      </c>
      <c r="K1154" s="4">
        <f t="shared" si="175"/>
        <v>1129799</v>
      </c>
      <c r="L1154" s="4">
        <f t="shared" si="176"/>
        <v>661931</v>
      </c>
      <c r="N1154" s="5">
        <v>467868.0</v>
      </c>
      <c r="P1154" s="3"/>
      <c r="Q1154" s="3"/>
      <c r="R1154" s="3"/>
      <c r="S1154" s="3"/>
      <c r="T1154" s="3"/>
      <c r="U1154" s="3"/>
      <c r="V1154" s="3"/>
      <c r="W1154" s="3"/>
      <c r="X1154" s="3"/>
      <c r="Y1154" s="3"/>
      <c r="Z1154" s="3"/>
      <c r="AA1154" s="3"/>
      <c r="AB1154" s="3"/>
      <c r="AC1154" s="3"/>
      <c r="AD1154" s="3"/>
      <c r="AE1154" s="3"/>
      <c r="AF1154" s="3"/>
      <c r="AG1154" s="3"/>
    </row>
    <row r="1155">
      <c r="A1155" s="2">
        <v>2019.0</v>
      </c>
      <c r="B1155" s="1" t="s">
        <v>213</v>
      </c>
      <c r="F1155" s="5">
        <v>45535.0</v>
      </c>
      <c r="I1155" s="5">
        <v>115200.0</v>
      </c>
      <c r="J1155" s="5">
        <v>566.0</v>
      </c>
      <c r="K1155" s="4">
        <f t="shared" si="175"/>
        <v>161301</v>
      </c>
      <c r="L1155" s="4">
        <f t="shared" si="176"/>
        <v>128784</v>
      </c>
      <c r="N1155" s="5">
        <v>32517.0</v>
      </c>
      <c r="P1155" s="3"/>
      <c r="Q1155" s="3"/>
      <c r="R1155" s="3"/>
      <c r="S1155" s="3"/>
      <c r="T1155" s="3"/>
      <c r="U1155" s="3"/>
      <c r="V1155" s="3"/>
      <c r="W1155" s="3"/>
      <c r="X1155" s="3"/>
      <c r="Y1155" s="3"/>
      <c r="Z1155" s="3"/>
      <c r="AA1155" s="3"/>
      <c r="AB1155" s="3"/>
      <c r="AC1155" s="3"/>
      <c r="AD1155" s="3"/>
      <c r="AE1155" s="3"/>
      <c r="AF1155" s="3"/>
      <c r="AG1155" s="3"/>
    </row>
    <row r="1156">
      <c r="A1156" s="2">
        <v>2019.0</v>
      </c>
      <c r="B1156" s="1" t="s">
        <v>213</v>
      </c>
      <c r="F1156" s="5">
        <v>79954.0</v>
      </c>
      <c r="I1156" s="5">
        <v>44230.0</v>
      </c>
      <c r="J1156" s="5">
        <v>0.0</v>
      </c>
      <c r="K1156" s="5">
        <v>124184.0</v>
      </c>
      <c r="L1156" s="4">
        <f t="shared" si="176"/>
        <v>9300</v>
      </c>
      <c r="N1156" s="5">
        <v>114884.0</v>
      </c>
      <c r="P1156" s="3"/>
      <c r="Q1156" s="3"/>
      <c r="R1156" s="3"/>
      <c r="S1156" s="3"/>
      <c r="T1156" s="3"/>
      <c r="U1156" s="3"/>
      <c r="V1156" s="3"/>
      <c r="W1156" s="3"/>
      <c r="X1156" s="3"/>
      <c r="Y1156" s="3"/>
      <c r="Z1156" s="3"/>
      <c r="AA1156" s="3"/>
      <c r="AB1156" s="3"/>
      <c r="AC1156" s="3"/>
      <c r="AD1156" s="3"/>
      <c r="AE1156" s="3"/>
      <c r="AF1156" s="3"/>
      <c r="AG1156" s="3"/>
    </row>
    <row r="1157">
      <c r="A1157" s="2">
        <v>2019.0</v>
      </c>
      <c r="B1157" s="1" t="s">
        <v>213</v>
      </c>
      <c r="D1157" s="5" t="s">
        <v>107</v>
      </c>
      <c r="F1157" s="5">
        <f>SUM(F1153:F1156)</f>
        <v>1130812</v>
      </c>
      <c r="I1157" s="5">
        <f t="shared" ref="I1157:L1157" si="177">SUM(I1153:I1156)</f>
        <v>459430</v>
      </c>
      <c r="J1157" s="5">
        <f t="shared" si="177"/>
        <v>35089</v>
      </c>
      <c r="K1157" s="4">
        <f t="shared" si="177"/>
        <v>1625331</v>
      </c>
      <c r="L1157" s="4">
        <f t="shared" si="177"/>
        <v>899916</v>
      </c>
      <c r="N1157" s="5">
        <f>SUM(N1153:N1156)</f>
        <v>725415</v>
      </c>
      <c r="P1157" s="3"/>
      <c r="Q1157" s="3"/>
      <c r="R1157" s="3"/>
      <c r="S1157" s="3"/>
      <c r="T1157" s="3"/>
      <c r="U1157" s="3"/>
      <c r="V1157" s="3"/>
      <c r="W1157" s="3"/>
      <c r="X1157" s="3"/>
      <c r="Y1157" s="3"/>
      <c r="Z1157" s="3"/>
      <c r="AA1157" s="3"/>
      <c r="AB1157" s="3"/>
      <c r="AC1157" s="3"/>
      <c r="AD1157" s="3"/>
      <c r="AE1157" s="3"/>
      <c r="AF1157" s="3"/>
      <c r="AG1157" s="3"/>
    </row>
    <row r="1158">
      <c r="A1158" s="2">
        <v>2019.0</v>
      </c>
      <c r="B1158" s="1" t="s">
        <v>213</v>
      </c>
      <c r="F1158" s="5">
        <v>825203.0</v>
      </c>
      <c r="I1158" s="5">
        <v>2410400.0</v>
      </c>
      <c r="J1158" s="5">
        <v>44176.0</v>
      </c>
      <c r="K1158" s="4">
        <f t="shared" ref="K1158:K1159" si="178">SUM(F1158:J1158)</f>
        <v>3279779</v>
      </c>
      <c r="L1158" s="4">
        <f t="shared" ref="L1158:L1159" si="179">K1158-N1158</f>
        <v>1097932</v>
      </c>
      <c r="N1158" s="5">
        <v>2181847.0</v>
      </c>
      <c r="P1158" s="3"/>
      <c r="Q1158" s="3"/>
      <c r="R1158" s="3"/>
      <c r="S1158" s="3"/>
      <c r="T1158" s="3"/>
      <c r="U1158" s="3"/>
      <c r="V1158" s="3"/>
      <c r="W1158" s="3"/>
      <c r="X1158" s="3"/>
      <c r="Y1158" s="3"/>
      <c r="Z1158" s="3"/>
      <c r="AA1158" s="3"/>
      <c r="AB1158" s="3"/>
      <c r="AC1158" s="3"/>
      <c r="AD1158" s="3"/>
      <c r="AE1158" s="3"/>
      <c r="AF1158" s="3"/>
      <c r="AG1158" s="3"/>
    </row>
    <row r="1159">
      <c r="A1159" s="2">
        <v>2019.0</v>
      </c>
      <c r="B1159" s="1" t="s">
        <v>213</v>
      </c>
      <c r="F1159" s="5">
        <v>158163.0</v>
      </c>
      <c r="I1159" s="5">
        <v>61630.0</v>
      </c>
      <c r="J1159" s="5">
        <v>8161.0</v>
      </c>
      <c r="K1159" s="4">
        <f t="shared" si="178"/>
        <v>227954</v>
      </c>
      <c r="L1159" s="4">
        <f t="shared" si="179"/>
        <v>1000</v>
      </c>
      <c r="N1159" s="5">
        <v>226954.0</v>
      </c>
      <c r="P1159" s="3"/>
      <c r="Q1159" s="3"/>
      <c r="R1159" s="3"/>
      <c r="S1159" s="3"/>
      <c r="T1159" s="3"/>
      <c r="U1159" s="3"/>
      <c r="V1159" s="3"/>
      <c r="W1159" s="3"/>
      <c r="X1159" s="3"/>
      <c r="Y1159" s="3"/>
      <c r="Z1159" s="3"/>
      <c r="AA1159" s="3"/>
      <c r="AB1159" s="3"/>
      <c r="AC1159" s="3"/>
      <c r="AD1159" s="3"/>
      <c r="AE1159" s="3"/>
      <c r="AF1159" s="3"/>
      <c r="AG1159" s="3"/>
    </row>
    <row r="1160">
      <c r="A1160" s="2">
        <v>2019.0</v>
      </c>
      <c r="B1160" s="1" t="s">
        <v>213</v>
      </c>
      <c r="D1160" s="5" t="s">
        <v>111</v>
      </c>
      <c r="F1160" s="5">
        <f>SUM(F1158:F1159)</f>
        <v>983366</v>
      </c>
      <c r="I1160" s="5">
        <f t="shared" ref="I1160:L1160" si="180">SUM(I1158:I1159)</f>
        <v>2472030</v>
      </c>
      <c r="J1160" s="5">
        <f t="shared" si="180"/>
        <v>52337</v>
      </c>
      <c r="K1160" s="4">
        <f t="shared" si="180"/>
        <v>3507733</v>
      </c>
      <c r="L1160" s="4">
        <f t="shared" si="180"/>
        <v>1098932</v>
      </c>
      <c r="N1160" s="5">
        <f>SUM(N1158:N1159)</f>
        <v>2408801</v>
      </c>
      <c r="P1160" s="3"/>
      <c r="Q1160" s="3"/>
      <c r="R1160" s="3"/>
      <c r="S1160" s="3"/>
      <c r="T1160" s="3"/>
      <c r="U1160" s="3"/>
      <c r="V1160" s="3"/>
      <c r="W1160" s="3"/>
      <c r="X1160" s="3"/>
      <c r="Y1160" s="3"/>
      <c r="Z1160" s="3"/>
      <c r="AA1160" s="3"/>
      <c r="AB1160" s="3"/>
      <c r="AC1160" s="3"/>
      <c r="AD1160" s="3"/>
      <c r="AE1160" s="3"/>
      <c r="AF1160" s="3"/>
      <c r="AG1160" s="3"/>
    </row>
    <row r="1161">
      <c r="A1161" s="2">
        <v>2019.0</v>
      </c>
      <c r="B1161" s="1" t="s">
        <v>213</v>
      </c>
      <c r="F1161" s="5">
        <v>3941.0</v>
      </c>
      <c r="I1161" s="5">
        <v>1919915.0</v>
      </c>
      <c r="J1161" s="5">
        <v>8280.0</v>
      </c>
      <c r="K1161" s="4">
        <f t="shared" ref="K1161:K1162" si="181">SUM(F1161:J1161)</f>
        <v>1932136</v>
      </c>
      <c r="L1161" s="4">
        <f t="shared" ref="L1161:L1162" si="182">K1161-N1161</f>
        <v>1819586</v>
      </c>
      <c r="N1161" s="5">
        <v>112550.0</v>
      </c>
      <c r="P1161" s="3"/>
      <c r="Q1161" s="3"/>
      <c r="R1161" s="3"/>
      <c r="S1161" s="3"/>
      <c r="T1161" s="3"/>
      <c r="U1161" s="3"/>
      <c r="V1161" s="3"/>
      <c r="W1161" s="3"/>
      <c r="X1161" s="3"/>
      <c r="Y1161" s="3"/>
      <c r="Z1161" s="3"/>
      <c r="AA1161" s="3"/>
      <c r="AB1161" s="3"/>
      <c r="AC1161" s="3"/>
      <c r="AD1161" s="3"/>
      <c r="AE1161" s="3"/>
      <c r="AF1161" s="3"/>
      <c r="AG1161" s="3"/>
    </row>
    <row r="1162">
      <c r="A1162" s="2">
        <v>2019.0</v>
      </c>
      <c r="B1162" s="1" t="s">
        <v>213</v>
      </c>
      <c r="F1162" s="5">
        <v>1939.0</v>
      </c>
      <c r="I1162" s="5">
        <v>80748.0</v>
      </c>
      <c r="J1162" s="5">
        <v>330.0</v>
      </c>
      <c r="K1162" s="4">
        <f t="shared" si="181"/>
        <v>83017</v>
      </c>
      <c r="L1162" s="4">
        <f t="shared" si="182"/>
        <v>69337</v>
      </c>
      <c r="N1162" s="5">
        <v>13680.0</v>
      </c>
      <c r="P1162" s="3"/>
      <c r="Q1162" s="3"/>
      <c r="R1162" s="3"/>
      <c r="S1162" s="3"/>
      <c r="T1162" s="3"/>
      <c r="U1162" s="3"/>
      <c r="V1162" s="3"/>
      <c r="W1162" s="3"/>
      <c r="X1162" s="3"/>
      <c r="Y1162" s="3"/>
      <c r="Z1162" s="3"/>
      <c r="AA1162" s="3"/>
      <c r="AB1162" s="3"/>
      <c r="AC1162" s="3"/>
      <c r="AD1162" s="3"/>
      <c r="AE1162" s="3"/>
      <c r="AF1162" s="3"/>
      <c r="AG1162" s="3"/>
    </row>
    <row r="1163">
      <c r="A1163" s="2">
        <v>2019.0</v>
      </c>
      <c r="B1163" s="1" t="s">
        <v>213</v>
      </c>
      <c r="D1163" s="5" t="s">
        <v>116</v>
      </c>
      <c r="F1163" s="5">
        <f>SUM(F1161:F1162)</f>
        <v>5880</v>
      </c>
      <c r="I1163" s="5">
        <f t="shared" ref="I1163:L1163" si="183">SUM(I1161:I1162)</f>
        <v>2000663</v>
      </c>
      <c r="J1163" s="5">
        <f t="shared" si="183"/>
        <v>8610</v>
      </c>
      <c r="K1163" s="4">
        <f t="shared" si="183"/>
        <v>2015153</v>
      </c>
      <c r="L1163" s="4">
        <f t="shared" si="183"/>
        <v>1888923</v>
      </c>
      <c r="N1163" s="5">
        <f>SUM(N1161:N1162)</f>
        <v>126230</v>
      </c>
      <c r="P1163" s="3"/>
      <c r="Q1163" s="3"/>
      <c r="R1163" s="3"/>
      <c r="S1163" s="3"/>
      <c r="T1163" s="3"/>
      <c r="U1163" s="3"/>
      <c r="V1163" s="3"/>
      <c r="W1163" s="3"/>
      <c r="X1163" s="3"/>
      <c r="Y1163" s="3"/>
      <c r="Z1163" s="3"/>
      <c r="AA1163" s="3"/>
      <c r="AB1163" s="3"/>
      <c r="AC1163" s="3"/>
      <c r="AD1163" s="3"/>
      <c r="AE1163" s="3"/>
      <c r="AF1163" s="3"/>
      <c r="AG1163" s="3"/>
    </row>
    <row r="1164">
      <c r="A1164" s="2">
        <v>2019.0</v>
      </c>
      <c r="B1164" s="1" t="s">
        <v>213</v>
      </c>
      <c r="F1164" s="5">
        <v>617901.0</v>
      </c>
      <c r="I1164" s="5">
        <v>917901.0</v>
      </c>
      <c r="J1164" s="5">
        <v>16106.0</v>
      </c>
      <c r="K1164" s="5">
        <f t="shared" ref="K1164:K1166" si="184">SUM(F1164:J1164)</f>
        <v>1551908</v>
      </c>
      <c r="L1164" s="5">
        <v>1513572.0</v>
      </c>
      <c r="N1164" s="5">
        <f t="shared" ref="N1164:N1166" si="185">K1164-L1164</f>
        <v>38336</v>
      </c>
      <c r="P1164" s="3"/>
      <c r="Q1164" s="3"/>
      <c r="R1164" s="3"/>
      <c r="S1164" s="3"/>
      <c r="T1164" s="3"/>
      <c r="U1164" s="3"/>
      <c r="V1164" s="3"/>
      <c r="W1164" s="3"/>
      <c r="X1164" s="3"/>
      <c r="Y1164" s="3"/>
      <c r="Z1164" s="3"/>
      <c r="AA1164" s="3"/>
      <c r="AB1164" s="3"/>
      <c r="AC1164" s="3"/>
      <c r="AD1164" s="3"/>
      <c r="AE1164" s="3"/>
      <c r="AF1164" s="3"/>
      <c r="AG1164" s="3"/>
    </row>
    <row r="1165">
      <c r="A1165" s="2">
        <v>2019.0</v>
      </c>
      <c r="B1165" s="1" t="s">
        <v>213</v>
      </c>
      <c r="F1165" s="5">
        <v>2735.0</v>
      </c>
      <c r="I1165" s="5">
        <v>1234000.0</v>
      </c>
      <c r="J1165" s="5">
        <v>18694.0</v>
      </c>
      <c r="K1165" s="5">
        <f t="shared" si="184"/>
        <v>1255429</v>
      </c>
      <c r="L1165" s="5">
        <v>352735.0</v>
      </c>
      <c r="N1165" s="5">
        <f t="shared" si="185"/>
        <v>902694</v>
      </c>
      <c r="P1165" s="3"/>
      <c r="Q1165" s="3"/>
      <c r="R1165" s="3"/>
      <c r="S1165" s="3"/>
      <c r="T1165" s="3"/>
      <c r="U1165" s="3"/>
      <c r="V1165" s="3"/>
      <c r="W1165" s="3"/>
      <c r="X1165" s="3"/>
      <c r="Y1165" s="3"/>
      <c r="Z1165" s="3"/>
      <c r="AA1165" s="3"/>
      <c r="AB1165" s="3"/>
      <c r="AC1165" s="3"/>
      <c r="AD1165" s="3"/>
      <c r="AE1165" s="3"/>
      <c r="AF1165" s="3"/>
      <c r="AG1165" s="3"/>
    </row>
    <row r="1166">
      <c r="A1166" s="2">
        <v>2019.0</v>
      </c>
      <c r="B1166" s="1" t="s">
        <v>213</v>
      </c>
      <c r="F1166" s="5">
        <v>125238.0</v>
      </c>
      <c r="I1166" s="5">
        <v>291744.0</v>
      </c>
      <c r="J1166" s="5">
        <v>7283.0</v>
      </c>
      <c r="K1166" s="5">
        <f t="shared" si="184"/>
        <v>424265</v>
      </c>
      <c r="L1166" s="5">
        <v>125239.0</v>
      </c>
      <c r="N1166" s="5">
        <f t="shared" si="185"/>
        <v>299026</v>
      </c>
      <c r="P1166" s="3"/>
      <c r="Q1166" s="3"/>
      <c r="R1166" s="3"/>
      <c r="S1166" s="3"/>
      <c r="T1166" s="3"/>
      <c r="U1166" s="3"/>
      <c r="V1166" s="3"/>
      <c r="W1166" s="3"/>
      <c r="X1166" s="3"/>
      <c r="Y1166" s="3"/>
      <c r="Z1166" s="3"/>
      <c r="AA1166" s="3"/>
      <c r="AB1166" s="3"/>
      <c r="AC1166" s="3"/>
      <c r="AD1166" s="3"/>
      <c r="AE1166" s="3"/>
      <c r="AF1166" s="3"/>
      <c r="AG1166" s="3"/>
    </row>
    <row r="1167">
      <c r="A1167" s="2">
        <v>2019.0</v>
      </c>
      <c r="B1167" s="1" t="s">
        <v>213</v>
      </c>
      <c r="D1167" s="5" t="s">
        <v>121</v>
      </c>
      <c r="F1167" s="5">
        <f>SUM(F1164:F1166)</f>
        <v>745874</v>
      </c>
      <c r="I1167" s="5">
        <f t="shared" ref="I1167:L1167" si="186">SUM(I1164:I1166)</f>
        <v>2443645</v>
      </c>
      <c r="J1167" s="5">
        <f t="shared" si="186"/>
        <v>42083</v>
      </c>
      <c r="K1167" s="5">
        <f t="shared" si="186"/>
        <v>3231602</v>
      </c>
      <c r="L1167" s="5">
        <f t="shared" si="186"/>
        <v>1991546</v>
      </c>
      <c r="N1167" s="5">
        <f>SUM(N1164:N1166)</f>
        <v>1240056</v>
      </c>
      <c r="P1167" s="3"/>
      <c r="Q1167" s="3"/>
      <c r="R1167" s="3"/>
      <c r="S1167" s="3"/>
      <c r="T1167" s="3"/>
      <c r="U1167" s="3"/>
      <c r="V1167" s="3"/>
      <c r="W1167" s="3"/>
      <c r="X1167" s="3"/>
      <c r="Y1167" s="3"/>
      <c r="Z1167" s="3"/>
      <c r="AA1167" s="3"/>
      <c r="AB1167" s="3"/>
      <c r="AC1167" s="3"/>
      <c r="AD1167" s="3"/>
      <c r="AE1167" s="3"/>
      <c r="AF1167" s="3"/>
      <c r="AG1167" s="3"/>
    </row>
    <row r="1168">
      <c r="A1168" s="2">
        <v>2019.0</v>
      </c>
      <c r="B1168" s="1" t="s">
        <v>213</v>
      </c>
      <c r="F1168" s="5">
        <v>495656.0</v>
      </c>
      <c r="I1168" s="5">
        <v>100000.0</v>
      </c>
      <c r="J1168" s="5">
        <v>13864.0</v>
      </c>
      <c r="K1168" s="5">
        <f t="shared" ref="K1168:K1170" si="187">SUM(F1168:J1168)</f>
        <v>609520</v>
      </c>
      <c r="L1168" s="5">
        <v>508344.0</v>
      </c>
      <c r="N1168" s="5">
        <f t="shared" ref="N1168:N1171" si="188">K1168-L1168</f>
        <v>101176</v>
      </c>
      <c r="P1168" s="3"/>
      <c r="Q1168" s="3"/>
      <c r="R1168" s="3"/>
      <c r="S1168" s="3"/>
      <c r="T1168" s="3"/>
      <c r="U1168" s="3"/>
      <c r="V1168" s="3"/>
      <c r="W1168" s="3"/>
      <c r="X1168" s="3"/>
      <c r="Y1168" s="3"/>
      <c r="Z1168" s="3"/>
      <c r="AA1168" s="3"/>
      <c r="AB1168" s="3"/>
      <c r="AC1168" s="3"/>
      <c r="AD1168" s="3"/>
      <c r="AE1168" s="3"/>
      <c r="AF1168" s="3"/>
      <c r="AG1168" s="3"/>
    </row>
    <row r="1169">
      <c r="A1169" s="2">
        <v>2019.0</v>
      </c>
      <c r="B1169" s="1" t="s">
        <v>213</v>
      </c>
      <c r="F1169" s="5">
        <v>80690.0</v>
      </c>
      <c r="I1169" s="5">
        <v>2213515.0</v>
      </c>
      <c r="J1169" s="5">
        <v>19037.0</v>
      </c>
      <c r="K1169" s="5">
        <f t="shared" si="187"/>
        <v>2313242</v>
      </c>
      <c r="L1169" s="5">
        <v>1410132.0</v>
      </c>
      <c r="N1169" s="5">
        <f t="shared" si="188"/>
        <v>903110</v>
      </c>
      <c r="P1169" s="3"/>
      <c r="Q1169" s="3"/>
      <c r="R1169" s="3"/>
      <c r="S1169" s="3"/>
      <c r="T1169" s="3"/>
      <c r="U1169" s="3"/>
      <c r="V1169" s="3"/>
      <c r="W1169" s="3"/>
      <c r="X1169" s="3"/>
      <c r="Y1169" s="3"/>
      <c r="Z1169" s="3"/>
      <c r="AA1169" s="3"/>
      <c r="AB1169" s="3"/>
      <c r="AC1169" s="3"/>
      <c r="AD1169" s="3"/>
      <c r="AE1169" s="3"/>
      <c r="AF1169" s="3"/>
      <c r="AG1169" s="3"/>
    </row>
    <row r="1170">
      <c r="A1170" s="2">
        <v>2019.0</v>
      </c>
      <c r="B1170" s="1" t="s">
        <v>213</v>
      </c>
      <c r="F1170" s="5">
        <v>24303.0</v>
      </c>
      <c r="I1170" s="5">
        <v>115200.0</v>
      </c>
      <c r="J1170" s="5">
        <v>856.0</v>
      </c>
      <c r="K1170" s="5">
        <f t="shared" si="187"/>
        <v>140359</v>
      </c>
      <c r="L1170" s="5">
        <v>115314.0</v>
      </c>
      <c r="N1170" s="5">
        <f t="shared" si="188"/>
        <v>25045</v>
      </c>
      <c r="P1170" s="3"/>
      <c r="Q1170" s="3"/>
      <c r="R1170" s="3"/>
      <c r="S1170" s="3"/>
      <c r="T1170" s="3"/>
      <c r="U1170" s="3"/>
      <c r="V1170" s="3"/>
      <c r="W1170" s="3"/>
      <c r="X1170" s="3"/>
      <c r="Y1170" s="3"/>
      <c r="Z1170" s="3"/>
      <c r="AA1170" s="3"/>
      <c r="AB1170" s="3"/>
      <c r="AC1170" s="3"/>
      <c r="AD1170" s="3"/>
      <c r="AE1170" s="3"/>
      <c r="AF1170" s="3"/>
      <c r="AG1170" s="3"/>
    </row>
    <row r="1171">
      <c r="A1171" s="2">
        <v>2019.0</v>
      </c>
      <c r="B1171" s="1" t="s">
        <v>213</v>
      </c>
      <c r="F1171" s="5" t="s">
        <v>1305</v>
      </c>
      <c r="K1171" s="5">
        <f>SUM(I1171:J1171)</f>
        <v>0</v>
      </c>
      <c r="N1171" s="5">
        <f t="shared" si="188"/>
        <v>0</v>
      </c>
      <c r="P1171" s="3"/>
      <c r="Q1171" s="3"/>
      <c r="R1171" s="3"/>
      <c r="S1171" s="3"/>
      <c r="T1171" s="3"/>
      <c r="U1171" s="3"/>
      <c r="V1171" s="3"/>
      <c r="W1171" s="3"/>
      <c r="X1171" s="3"/>
      <c r="Y1171" s="3"/>
      <c r="Z1171" s="3"/>
      <c r="AA1171" s="3"/>
      <c r="AB1171" s="3"/>
      <c r="AC1171" s="3"/>
      <c r="AD1171" s="3"/>
      <c r="AE1171" s="3"/>
      <c r="AF1171" s="3"/>
      <c r="AG1171" s="3"/>
    </row>
    <row r="1172">
      <c r="A1172" s="2">
        <v>2019.0</v>
      </c>
      <c r="B1172" s="1" t="s">
        <v>213</v>
      </c>
      <c r="D1172" s="5" t="s">
        <v>120</v>
      </c>
      <c r="F1172" s="5">
        <f>SUM(F1168:F1171)</f>
        <v>600649</v>
      </c>
      <c r="I1172" s="5">
        <f t="shared" ref="I1172:L1172" si="189">SUM(I1168:I1171)</f>
        <v>2428715</v>
      </c>
      <c r="J1172" s="5">
        <f t="shared" si="189"/>
        <v>33757</v>
      </c>
      <c r="K1172" s="5">
        <f t="shared" si="189"/>
        <v>3063121</v>
      </c>
      <c r="L1172" s="5">
        <f t="shared" si="189"/>
        <v>2033790</v>
      </c>
      <c r="N1172" s="5">
        <f>SUM(N1168:N1171)</f>
        <v>1029331</v>
      </c>
      <c r="P1172" s="3"/>
      <c r="Q1172" s="3"/>
      <c r="R1172" s="3"/>
      <c r="S1172" s="3"/>
      <c r="T1172" s="3"/>
      <c r="U1172" s="3"/>
      <c r="V1172" s="3"/>
      <c r="W1172" s="3"/>
      <c r="X1172" s="3"/>
      <c r="Y1172" s="3"/>
      <c r="Z1172" s="3"/>
      <c r="AA1172" s="3"/>
      <c r="AB1172" s="3"/>
      <c r="AC1172" s="3"/>
      <c r="AD1172" s="3"/>
      <c r="AE1172" s="3"/>
      <c r="AF1172" s="3"/>
      <c r="AG1172" s="3"/>
    </row>
    <row r="1173">
      <c r="A1173" s="2">
        <v>2019.0</v>
      </c>
      <c r="B1173" s="1" t="s">
        <v>213</v>
      </c>
      <c r="F1173" s="5">
        <v>35072.0</v>
      </c>
      <c r="I1173" s="5">
        <v>2069515.0</v>
      </c>
      <c r="J1173" s="5">
        <v>17135.0</v>
      </c>
      <c r="K1173" s="5">
        <f t="shared" ref="K1173:K1175" si="190">SUM(F1173:J1173)</f>
        <v>2121722</v>
      </c>
      <c r="L1173" s="5">
        <v>1746293.0</v>
      </c>
      <c r="N1173" s="5">
        <f t="shared" ref="N1173:N1175" si="191">K1173-L1173</f>
        <v>375429</v>
      </c>
      <c r="P1173" s="3"/>
      <c r="Q1173" s="3"/>
      <c r="R1173" s="3"/>
      <c r="S1173" s="3"/>
      <c r="T1173" s="3"/>
      <c r="U1173" s="3"/>
      <c r="V1173" s="3"/>
      <c r="W1173" s="3"/>
      <c r="X1173" s="3"/>
      <c r="Y1173" s="3"/>
      <c r="Z1173" s="3"/>
      <c r="AA1173" s="3"/>
      <c r="AB1173" s="3"/>
      <c r="AC1173" s="3"/>
      <c r="AD1173" s="3"/>
      <c r="AE1173" s="3"/>
      <c r="AF1173" s="3"/>
      <c r="AG1173" s="3"/>
    </row>
    <row r="1174">
      <c r="A1174" s="2">
        <v>2019.0</v>
      </c>
      <c r="B1174" s="1" t="s">
        <v>213</v>
      </c>
      <c r="F1174" s="5">
        <v>6963.0</v>
      </c>
      <c r="I1174" s="5">
        <v>426590.0</v>
      </c>
      <c r="J1174" s="5">
        <v>965.0</v>
      </c>
      <c r="K1174" s="5">
        <f t="shared" si="190"/>
        <v>434518</v>
      </c>
      <c r="L1174" s="5">
        <v>426590.0</v>
      </c>
      <c r="N1174" s="5">
        <f t="shared" si="191"/>
        <v>7928</v>
      </c>
      <c r="P1174" s="3"/>
      <c r="Q1174" s="3"/>
      <c r="R1174" s="3"/>
      <c r="S1174" s="3"/>
      <c r="T1174" s="3"/>
      <c r="U1174" s="3"/>
      <c r="V1174" s="3"/>
      <c r="W1174" s="3"/>
      <c r="X1174" s="3"/>
      <c r="Y1174" s="3"/>
      <c r="Z1174" s="3"/>
      <c r="AA1174" s="3"/>
      <c r="AB1174" s="3"/>
      <c r="AC1174" s="3"/>
      <c r="AD1174" s="3"/>
      <c r="AE1174" s="3"/>
      <c r="AF1174" s="3"/>
      <c r="AG1174" s="3"/>
    </row>
    <row r="1175">
      <c r="A1175" s="2">
        <v>2019.0</v>
      </c>
      <c r="B1175" s="1" t="s">
        <v>213</v>
      </c>
      <c r="F1175" s="5">
        <v>39558.0</v>
      </c>
      <c r="I1175" s="5">
        <v>39690.0</v>
      </c>
      <c r="J1175" s="5">
        <v>1784.0</v>
      </c>
      <c r="K1175" s="5">
        <f t="shared" si="190"/>
        <v>81032</v>
      </c>
      <c r="L1175" s="5">
        <v>41226.0</v>
      </c>
      <c r="N1175" s="5">
        <f t="shared" si="191"/>
        <v>39806</v>
      </c>
      <c r="P1175" s="3"/>
      <c r="Q1175" s="3"/>
      <c r="R1175" s="3"/>
      <c r="S1175" s="3"/>
      <c r="T1175" s="3"/>
      <c r="U1175" s="3"/>
      <c r="V1175" s="3"/>
      <c r="W1175" s="3"/>
      <c r="X1175" s="3"/>
      <c r="Y1175" s="3"/>
      <c r="Z1175" s="3"/>
      <c r="AA1175" s="3"/>
      <c r="AB1175" s="3"/>
      <c r="AC1175" s="3"/>
      <c r="AD1175" s="3"/>
      <c r="AE1175" s="3"/>
      <c r="AF1175" s="3"/>
      <c r="AG1175" s="3"/>
    </row>
    <row r="1176">
      <c r="A1176" s="2">
        <v>2019.0</v>
      </c>
      <c r="B1176" s="1" t="s">
        <v>213</v>
      </c>
      <c r="D1176" s="5" t="s">
        <v>266</v>
      </c>
      <c r="F1176" s="5">
        <f>SUM(F1173:F1175)</f>
        <v>81593</v>
      </c>
      <c r="I1176" s="5">
        <f t="shared" ref="I1176:L1176" si="192">SUM(I1173:I1175)</f>
        <v>2535795</v>
      </c>
      <c r="J1176" s="5">
        <f t="shared" si="192"/>
        <v>19884</v>
      </c>
      <c r="K1176" s="5">
        <f t="shared" si="192"/>
        <v>2637272</v>
      </c>
      <c r="L1176" s="5">
        <f t="shared" si="192"/>
        <v>2214109</v>
      </c>
      <c r="N1176" s="5">
        <f>SUM(N1173:N1175)</f>
        <v>423163</v>
      </c>
      <c r="P1176" s="3"/>
      <c r="Q1176" s="3"/>
      <c r="R1176" s="3"/>
      <c r="S1176" s="3"/>
      <c r="T1176" s="3"/>
      <c r="U1176" s="3"/>
      <c r="V1176" s="3"/>
      <c r="W1176" s="3"/>
      <c r="X1176" s="3"/>
      <c r="Y1176" s="3"/>
      <c r="Z1176" s="3"/>
      <c r="AA1176" s="3"/>
      <c r="AB1176" s="3"/>
      <c r="AC1176" s="3"/>
      <c r="AD1176" s="3"/>
      <c r="AE1176" s="3"/>
      <c r="AF1176" s="3"/>
      <c r="AG1176" s="3"/>
    </row>
    <row r="1177">
      <c r="A1177" s="2">
        <v>2019.0</v>
      </c>
      <c r="B1177" s="1" t="s">
        <v>213</v>
      </c>
      <c r="F1177" s="5">
        <v>18617.0</v>
      </c>
      <c r="I1177" s="5">
        <v>0.0</v>
      </c>
      <c r="J1177" s="5">
        <v>753.0</v>
      </c>
      <c r="K1177" s="5">
        <f t="shared" ref="K1177:K1179" si="193">SUM(F1177:J1177)</f>
        <v>19370</v>
      </c>
      <c r="L1177" s="5">
        <v>0.0</v>
      </c>
      <c r="N1177" s="5">
        <f t="shared" ref="N1177:N1179" si="194">K1177-L1177</f>
        <v>19370</v>
      </c>
      <c r="P1177" s="3"/>
      <c r="Q1177" s="3"/>
      <c r="R1177" s="3"/>
      <c r="S1177" s="3"/>
      <c r="T1177" s="3"/>
      <c r="U1177" s="3"/>
      <c r="V1177" s="3"/>
      <c r="W1177" s="3"/>
      <c r="X1177" s="3"/>
      <c r="Y1177" s="3"/>
      <c r="Z1177" s="3"/>
      <c r="AA1177" s="3"/>
      <c r="AB1177" s="3"/>
      <c r="AC1177" s="3"/>
      <c r="AD1177" s="3"/>
      <c r="AE1177" s="3"/>
      <c r="AF1177" s="3"/>
      <c r="AG1177" s="3"/>
    </row>
    <row r="1178">
      <c r="A1178" s="2">
        <v>2019.0</v>
      </c>
      <c r="B1178" s="1" t="s">
        <v>213</v>
      </c>
      <c r="F1178" s="5">
        <v>598460.0</v>
      </c>
      <c r="I1178" s="5">
        <v>1410000.0</v>
      </c>
      <c r="J1178" s="5">
        <v>37827.0</v>
      </c>
      <c r="K1178" s="5">
        <f t="shared" si="193"/>
        <v>2046287</v>
      </c>
      <c r="L1178" s="5">
        <v>803707.0</v>
      </c>
      <c r="N1178" s="5">
        <f t="shared" si="194"/>
        <v>1242580</v>
      </c>
      <c r="P1178" s="3"/>
      <c r="Q1178" s="3"/>
      <c r="R1178" s="3"/>
      <c r="S1178" s="3"/>
      <c r="T1178" s="3"/>
      <c r="U1178" s="3"/>
      <c r="V1178" s="3"/>
      <c r="W1178" s="3"/>
      <c r="X1178" s="3"/>
      <c r="Y1178" s="3"/>
      <c r="Z1178" s="3"/>
      <c r="AA1178" s="3"/>
      <c r="AB1178" s="3"/>
      <c r="AC1178" s="3"/>
      <c r="AD1178" s="3"/>
      <c r="AE1178" s="3"/>
      <c r="AF1178" s="3"/>
      <c r="AG1178" s="3"/>
    </row>
    <row r="1179">
      <c r="A1179" s="2">
        <v>2019.0</v>
      </c>
      <c r="B1179" s="1" t="s">
        <v>213</v>
      </c>
      <c r="F1179" s="5">
        <v>33501.0</v>
      </c>
      <c r="I1179" s="5">
        <v>50000.0</v>
      </c>
      <c r="J1179" s="5">
        <v>1487.0</v>
      </c>
      <c r="K1179" s="5">
        <f t="shared" si="193"/>
        <v>84988</v>
      </c>
      <c r="L1179" s="5">
        <v>84452.0</v>
      </c>
      <c r="N1179" s="5">
        <f t="shared" si="194"/>
        <v>536</v>
      </c>
      <c r="P1179" s="3"/>
      <c r="Q1179" s="3"/>
      <c r="R1179" s="3"/>
      <c r="S1179" s="3"/>
      <c r="T1179" s="3"/>
      <c r="U1179" s="3"/>
      <c r="V1179" s="3"/>
      <c r="W1179" s="3"/>
      <c r="X1179" s="3"/>
      <c r="Y1179" s="3"/>
      <c r="Z1179" s="3"/>
      <c r="AA1179" s="3"/>
      <c r="AB1179" s="3"/>
      <c r="AC1179" s="3"/>
      <c r="AD1179" s="3"/>
      <c r="AE1179" s="3"/>
      <c r="AF1179" s="3"/>
      <c r="AG1179" s="3"/>
    </row>
    <row r="1180">
      <c r="A1180" s="2">
        <v>2019.0</v>
      </c>
      <c r="B1180" s="1" t="s">
        <v>213</v>
      </c>
      <c r="J1180" s="5" t="s">
        <v>1305</v>
      </c>
      <c r="P1180" s="3"/>
      <c r="Q1180" s="3"/>
      <c r="R1180" s="3"/>
      <c r="S1180" s="3"/>
      <c r="T1180" s="3"/>
      <c r="U1180" s="3"/>
      <c r="V1180" s="3"/>
      <c r="W1180" s="3"/>
      <c r="X1180" s="3"/>
      <c r="Y1180" s="3"/>
      <c r="Z1180" s="3"/>
      <c r="AA1180" s="3"/>
      <c r="AB1180" s="3"/>
      <c r="AC1180" s="3"/>
      <c r="AD1180" s="3"/>
      <c r="AE1180" s="3"/>
      <c r="AF1180" s="3"/>
      <c r="AG1180" s="3"/>
    </row>
    <row r="1181">
      <c r="A1181" s="2">
        <v>2019.0</v>
      </c>
      <c r="B1181" s="1" t="s">
        <v>213</v>
      </c>
      <c r="D1181" s="5" t="s">
        <v>125</v>
      </c>
      <c r="F1181" s="5">
        <f>SUM(F1177:F1180)</f>
        <v>650578</v>
      </c>
      <c r="I1181" s="5">
        <f t="shared" ref="I1181:L1181" si="195">SUM(I1177:I1180)</f>
        <v>1460000</v>
      </c>
      <c r="J1181" s="5">
        <f t="shared" si="195"/>
        <v>40067</v>
      </c>
      <c r="K1181" s="5">
        <f t="shared" si="195"/>
        <v>2150645</v>
      </c>
      <c r="L1181" s="5">
        <f t="shared" si="195"/>
        <v>888159</v>
      </c>
      <c r="N1181" s="5">
        <f>SUM(N1177:N1180)</f>
        <v>1262486</v>
      </c>
      <c r="P1181" s="3"/>
      <c r="Q1181" s="3"/>
      <c r="R1181" s="3"/>
      <c r="S1181" s="3"/>
      <c r="T1181" s="3"/>
      <c r="U1181" s="3"/>
      <c r="V1181" s="3"/>
      <c r="W1181" s="3"/>
      <c r="X1181" s="3"/>
      <c r="Y1181" s="3"/>
      <c r="Z1181" s="3"/>
      <c r="AA1181" s="3"/>
      <c r="AB1181" s="3"/>
      <c r="AC1181" s="3"/>
      <c r="AD1181" s="3"/>
      <c r="AE1181" s="3"/>
      <c r="AF1181" s="3"/>
      <c r="AG1181" s="3"/>
    </row>
    <row r="1182">
      <c r="A1182" s="2">
        <v>2019.0</v>
      </c>
      <c r="B1182" s="1" t="s">
        <v>213</v>
      </c>
      <c r="F1182" s="5">
        <v>257175.0</v>
      </c>
      <c r="I1182" s="5">
        <v>230400.0</v>
      </c>
      <c r="J1182" s="5">
        <v>11641.0</v>
      </c>
      <c r="K1182" s="5">
        <f t="shared" ref="K1182:K1183" si="196">SUM(F1182:J1182)</f>
        <v>499216</v>
      </c>
      <c r="L1182" s="5">
        <v>310497.0</v>
      </c>
      <c r="N1182" s="5">
        <f t="shared" ref="N1182:N1183" si="197">K1182-L1182</f>
        <v>188719</v>
      </c>
      <c r="P1182" s="3"/>
      <c r="Q1182" s="3"/>
      <c r="R1182" s="3"/>
      <c r="S1182" s="3"/>
      <c r="T1182" s="3"/>
      <c r="U1182" s="3"/>
      <c r="V1182" s="3"/>
      <c r="W1182" s="3"/>
      <c r="X1182" s="3"/>
      <c r="Y1182" s="3"/>
      <c r="Z1182" s="3"/>
      <c r="AA1182" s="3"/>
      <c r="AB1182" s="3"/>
      <c r="AC1182" s="3"/>
      <c r="AD1182" s="3"/>
      <c r="AE1182" s="3"/>
      <c r="AF1182" s="3"/>
      <c r="AG1182" s="3"/>
    </row>
    <row r="1183">
      <c r="A1183" s="2">
        <v>2019.0</v>
      </c>
      <c r="B1183" s="1" t="s">
        <v>213</v>
      </c>
      <c r="F1183" s="5">
        <v>213756.0</v>
      </c>
      <c r="I1183" s="5">
        <v>1507515.0</v>
      </c>
      <c r="J1183" s="5">
        <v>19970.0</v>
      </c>
      <c r="K1183" s="5">
        <f t="shared" si="196"/>
        <v>1741241</v>
      </c>
      <c r="L1183" s="5">
        <v>1482181.0</v>
      </c>
      <c r="N1183" s="5">
        <f t="shared" si="197"/>
        <v>259060</v>
      </c>
      <c r="P1183" s="3"/>
      <c r="Q1183" s="3"/>
      <c r="R1183" s="3"/>
      <c r="S1183" s="3"/>
      <c r="T1183" s="3"/>
      <c r="U1183" s="3"/>
      <c r="V1183" s="3"/>
      <c r="W1183" s="3"/>
      <c r="X1183" s="3"/>
      <c r="Y1183" s="3"/>
      <c r="Z1183" s="3"/>
      <c r="AA1183" s="3"/>
      <c r="AB1183" s="3"/>
      <c r="AC1183" s="3"/>
      <c r="AD1183" s="3"/>
      <c r="AE1183" s="3"/>
      <c r="AF1183" s="3"/>
      <c r="AG1183" s="3"/>
    </row>
    <row r="1184">
      <c r="A1184" s="2">
        <v>2019.0</v>
      </c>
      <c r="B1184" s="1" t="s">
        <v>213</v>
      </c>
      <c r="D1184" s="5" t="s">
        <v>130</v>
      </c>
      <c r="F1184" s="5">
        <f>SUM(F1182:F1183)</f>
        <v>470931</v>
      </c>
      <c r="I1184" s="5">
        <f t="shared" ref="I1184:L1184" si="198">SUM(I1182:I1183)</f>
        <v>1737915</v>
      </c>
      <c r="J1184" s="5">
        <f t="shared" si="198"/>
        <v>31611</v>
      </c>
      <c r="K1184" s="5">
        <f t="shared" si="198"/>
        <v>2240457</v>
      </c>
      <c r="L1184" s="5">
        <f t="shared" si="198"/>
        <v>1792678</v>
      </c>
      <c r="N1184" s="5">
        <f>SUM(N1182:N1183)</f>
        <v>447779</v>
      </c>
      <c r="P1184" s="3"/>
      <c r="Q1184" s="3"/>
      <c r="R1184" s="3"/>
      <c r="S1184" s="3"/>
      <c r="T1184" s="3"/>
      <c r="U1184" s="3"/>
      <c r="V1184" s="3"/>
      <c r="W1184" s="3"/>
      <c r="X1184" s="3"/>
      <c r="Y1184" s="3"/>
      <c r="Z1184" s="3"/>
      <c r="AA1184" s="3"/>
      <c r="AB1184" s="3"/>
      <c r="AC1184" s="3"/>
      <c r="AD1184" s="3"/>
      <c r="AE1184" s="3"/>
      <c r="AF1184" s="3"/>
      <c r="AG1184" s="3"/>
    </row>
    <row r="1185">
      <c r="A1185" s="2">
        <v>2019.0</v>
      </c>
      <c r="B1185" s="1" t="s">
        <v>213</v>
      </c>
      <c r="F1185" s="5">
        <v>624972.0</v>
      </c>
      <c r="I1185" s="5">
        <v>100000.0</v>
      </c>
      <c r="J1185" s="5">
        <v>21582.0</v>
      </c>
      <c r="K1185" s="5">
        <f t="shared" ref="K1185:K1187" si="199">SUM(F1185:J1185)</f>
        <v>746554</v>
      </c>
      <c r="L1185" s="5">
        <v>622105.0</v>
      </c>
      <c r="N1185" s="5">
        <f t="shared" ref="N1185:N1187" si="200">K1185-L1185</f>
        <v>124449</v>
      </c>
      <c r="P1185" s="3"/>
      <c r="Q1185" s="3"/>
      <c r="R1185" s="3"/>
      <c r="S1185" s="3"/>
      <c r="T1185" s="3"/>
      <c r="U1185" s="3"/>
      <c r="V1185" s="3"/>
      <c r="W1185" s="3"/>
      <c r="X1185" s="3"/>
      <c r="Y1185" s="3"/>
      <c r="Z1185" s="3"/>
      <c r="AA1185" s="3"/>
      <c r="AB1185" s="3"/>
      <c r="AC1185" s="3"/>
      <c r="AD1185" s="3"/>
      <c r="AE1185" s="3"/>
      <c r="AF1185" s="3"/>
      <c r="AG1185" s="3"/>
    </row>
    <row r="1186">
      <c r="A1186" s="2">
        <v>2019.0</v>
      </c>
      <c r="B1186" s="1" t="s">
        <v>213</v>
      </c>
      <c r="F1186" s="5">
        <v>603747.0</v>
      </c>
      <c r="I1186" s="5">
        <v>1532915.0</v>
      </c>
      <c r="J1186" s="5">
        <v>40211.0</v>
      </c>
      <c r="K1186" s="5">
        <f t="shared" si="199"/>
        <v>2176873</v>
      </c>
      <c r="L1186" s="5">
        <v>1012280.0</v>
      </c>
      <c r="N1186" s="5">
        <f t="shared" si="200"/>
        <v>1164593</v>
      </c>
      <c r="P1186" s="3"/>
      <c r="Q1186" s="3"/>
      <c r="R1186" s="3"/>
      <c r="S1186" s="3"/>
      <c r="T1186" s="3"/>
      <c r="U1186" s="3"/>
      <c r="V1186" s="3"/>
      <c r="W1186" s="3"/>
      <c r="X1186" s="3"/>
      <c r="Y1186" s="3"/>
      <c r="Z1186" s="3"/>
      <c r="AA1186" s="3"/>
      <c r="AB1186" s="3"/>
      <c r="AC1186" s="3"/>
      <c r="AD1186" s="3"/>
      <c r="AE1186" s="3"/>
      <c r="AF1186" s="3"/>
      <c r="AG1186" s="3"/>
    </row>
    <row r="1187">
      <c r="A1187" s="2">
        <v>2019.0</v>
      </c>
      <c r="B1187" s="1" t="s">
        <v>213</v>
      </c>
      <c r="F1187" s="5">
        <v>95741.0</v>
      </c>
      <c r="I1187" s="5">
        <v>134400.0</v>
      </c>
      <c r="J1187" s="5">
        <v>32161.0</v>
      </c>
      <c r="K1187" s="5">
        <f t="shared" si="199"/>
        <v>262302</v>
      </c>
      <c r="L1187" s="5">
        <v>154650.0</v>
      </c>
      <c r="N1187" s="5">
        <f t="shared" si="200"/>
        <v>107652</v>
      </c>
      <c r="P1187" s="3"/>
      <c r="Q1187" s="3"/>
      <c r="R1187" s="3"/>
      <c r="S1187" s="3"/>
      <c r="T1187" s="3"/>
      <c r="U1187" s="3"/>
      <c r="V1187" s="3"/>
      <c r="W1187" s="3"/>
      <c r="X1187" s="3"/>
      <c r="Y1187" s="3"/>
      <c r="Z1187" s="3"/>
      <c r="AA1187" s="3"/>
      <c r="AB1187" s="3"/>
      <c r="AC1187" s="3"/>
      <c r="AD1187" s="3"/>
      <c r="AE1187" s="3"/>
      <c r="AF1187" s="3"/>
      <c r="AG1187" s="3"/>
    </row>
    <row r="1188">
      <c r="A1188" s="2">
        <v>2019.0</v>
      </c>
      <c r="B1188" s="1" t="s">
        <v>213</v>
      </c>
      <c r="D1188" s="5" t="s">
        <v>131</v>
      </c>
      <c r="F1188" s="5">
        <f>SUM(F1185:F1187)</f>
        <v>1324460</v>
      </c>
      <c r="I1188" s="5">
        <f t="shared" ref="I1188:L1188" si="201">SUM(I1185:I1187)</f>
        <v>1767315</v>
      </c>
      <c r="J1188" s="5">
        <f t="shared" si="201"/>
        <v>93954</v>
      </c>
      <c r="K1188" s="5">
        <f t="shared" si="201"/>
        <v>3185729</v>
      </c>
      <c r="L1188" s="5">
        <f t="shared" si="201"/>
        <v>1789035</v>
      </c>
      <c r="N1188" s="5">
        <f>SUM(N1185:N1187)</f>
        <v>1396694</v>
      </c>
      <c r="P1188" s="3"/>
      <c r="Q1188" s="3"/>
      <c r="R1188" s="3"/>
      <c r="S1188" s="3"/>
      <c r="T1188" s="3"/>
      <c r="U1188" s="3"/>
      <c r="V1188" s="3"/>
      <c r="W1188" s="3"/>
      <c r="X1188" s="3"/>
      <c r="Y1188" s="3"/>
      <c r="Z1188" s="3"/>
      <c r="AA1188" s="3"/>
      <c r="AB1188" s="3"/>
      <c r="AC1188" s="3"/>
      <c r="AD1188" s="3"/>
      <c r="AE1188" s="3"/>
      <c r="AF1188" s="3"/>
      <c r="AG1188" s="3"/>
    </row>
    <row r="1189">
      <c r="A1189" s="2">
        <v>2019.0</v>
      </c>
      <c r="B1189" s="1" t="s">
        <v>213</v>
      </c>
      <c r="F1189" s="5">
        <v>128179.0</v>
      </c>
      <c r="I1189" s="5">
        <v>1695515.0</v>
      </c>
      <c r="J1189" s="5">
        <v>14142.0</v>
      </c>
      <c r="K1189" s="5">
        <f t="shared" ref="K1189:K1192" si="202">SUM(F1189:J1189)</f>
        <v>1837836</v>
      </c>
      <c r="L1189" s="5">
        <v>1152697.0</v>
      </c>
      <c r="N1189" s="5">
        <f t="shared" ref="N1189:N1192" si="203">K1189-L1189</f>
        <v>685139</v>
      </c>
      <c r="P1189" s="3"/>
      <c r="Q1189" s="3"/>
      <c r="R1189" s="3"/>
      <c r="S1189" s="3"/>
      <c r="T1189" s="3"/>
      <c r="U1189" s="3"/>
      <c r="V1189" s="3"/>
      <c r="W1189" s="3"/>
      <c r="X1189" s="3"/>
      <c r="Y1189" s="3"/>
      <c r="Z1189" s="3"/>
      <c r="AA1189" s="3"/>
      <c r="AB1189" s="3"/>
      <c r="AC1189" s="3"/>
      <c r="AD1189" s="3"/>
      <c r="AE1189" s="3"/>
      <c r="AF1189" s="3"/>
      <c r="AG1189" s="3"/>
    </row>
    <row r="1190">
      <c r="A1190" s="2">
        <v>2019.0</v>
      </c>
      <c r="B1190" s="1" t="s">
        <v>213</v>
      </c>
      <c r="F1190" s="5">
        <v>330883.0</v>
      </c>
      <c r="J1190" s="5">
        <v>5812.0</v>
      </c>
      <c r="K1190" s="5">
        <f t="shared" si="202"/>
        <v>336695</v>
      </c>
      <c r="L1190" s="5">
        <v>316675.0</v>
      </c>
      <c r="N1190" s="5">
        <f t="shared" si="203"/>
        <v>20020</v>
      </c>
      <c r="P1190" s="3"/>
      <c r="Q1190" s="3"/>
      <c r="R1190" s="3"/>
      <c r="S1190" s="3"/>
      <c r="T1190" s="3"/>
      <c r="U1190" s="3"/>
      <c r="V1190" s="3"/>
      <c r="W1190" s="3"/>
      <c r="X1190" s="3"/>
      <c r="Y1190" s="3"/>
      <c r="Z1190" s="3"/>
      <c r="AA1190" s="3"/>
      <c r="AB1190" s="3"/>
      <c r="AC1190" s="3"/>
      <c r="AD1190" s="3"/>
      <c r="AE1190" s="3"/>
      <c r="AF1190" s="3"/>
      <c r="AG1190" s="3"/>
    </row>
    <row r="1191">
      <c r="A1191" s="2">
        <v>2019.0</v>
      </c>
      <c r="B1191" s="1" t="s">
        <v>213</v>
      </c>
      <c r="F1191" s="5">
        <v>39591.0</v>
      </c>
      <c r="I1191" s="5">
        <v>511200.0</v>
      </c>
      <c r="J1191" s="5">
        <v>1132.0</v>
      </c>
      <c r="K1191" s="5">
        <f t="shared" si="202"/>
        <v>551923</v>
      </c>
      <c r="L1191" s="5">
        <v>376457.0</v>
      </c>
      <c r="N1191" s="5">
        <f t="shared" si="203"/>
        <v>175466</v>
      </c>
      <c r="P1191" s="3"/>
      <c r="Q1191" s="3"/>
      <c r="R1191" s="3"/>
      <c r="S1191" s="3"/>
      <c r="T1191" s="3"/>
      <c r="U1191" s="3"/>
      <c r="V1191" s="3"/>
      <c r="W1191" s="3"/>
      <c r="X1191" s="3"/>
      <c r="Y1191" s="3"/>
      <c r="Z1191" s="3"/>
      <c r="AA1191" s="3"/>
      <c r="AB1191" s="3"/>
      <c r="AC1191" s="3"/>
      <c r="AD1191" s="3"/>
      <c r="AE1191" s="3"/>
      <c r="AF1191" s="3"/>
      <c r="AG1191" s="3"/>
    </row>
    <row r="1192">
      <c r="A1192" s="2">
        <v>2019.0</v>
      </c>
      <c r="B1192" s="1" t="s">
        <v>213</v>
      </c>
      <c r="F1192" s="5">
        <v>10240.0</v>
      </c>
      <c r="I1192" s="5">
        <v>45749.0</v>
      </c>
      <c r="J1192" s="5" t="s">
        <v>401</v>
      </c>
      <c r="K1192" s="5">
        <f t="shared" si="202"/>
        <v>55989</v>
      </c>
      <c r="L1192" s="5">
        <v>6600.0</v>
      </c>
      <c r="N1192" s="5">
        <f t="shared" si="203"/>
        <v>49389</v>
      </c>
      <c r="P1192" s="3"/>
      <c r="Q1192" s="3"/>
      <c r="R1192" s="3"/>
      <c r="S1192" s="3"/>
      <c r="T1192" s="3"/>
      <c r="U1192" s="3"/>
      <c r="V1192" s="3"/>
      <c r="W1192" s="3"/>
      <c r="X1192" s="3"/>
      <c r="Y1192" s="3"/>
      <c r="Z1192" s="3"/>
      <c r="AA1192" s="3"/>
      <c r="AB1192" s="3"/>
      <c r="AC1192" s="3"/>
      <c r="AD1192" s="3"/>
      <c r="AE1192" s="3"/>
      <c r="AF1192" s="3"/>
      <c r="AG1192" s="3"/>
    </row>
    <row r="1193">
      <c r="A1193" s="2">
        <v>2019.0</v>
      </c>
      <c r="B1193" s="1" t="s">
        <v>213</v>
      </c>
      <c r="D1193" s="5" t="s">
        <v>132</v>
      </c>
      <c r="F1193" s="5">
        <f>SUM(F1189:F1192)</f>
        <v>508893</v>
      </c>
      <c r="I1193" s="5">
        <f t="shared" ref="I1193:L1193" si="204">SUM(I1189:I1192)</f>
        <v>2252464</v>
      </c>
      <c r="J1193" s="5">
        <f t="shared" si="204"/>
        <v>21086</v>
      </c>
      <c r="K1193" s="5">
        <f t="shared" si="204"/>
        <v>2782443</v>
      </c>
      <c r="L1193" s="5">
        <f t="shared" si="204"/>
        <v>1852429</v>
      </c>
      <c r="N1193" s="5">
        <f>SUM(N1189:N1192)</f>
        <v>930014</v>
      </c>
      <c r="P1193" s="3"/>
      <c r="Q1193" s="3"/>
      <c r="R1193" s="3"/>
      <c r="S1193" s="3"/>
      <c r="T1193" s="3"/>
      <c r="U1193" s="3"/>
      <c r="V1193" s="3"/>
      <c r="W1193" s="3"/>
      <c r="X1193" s="3"/>
      <c r="Y1193" s="3"/>
      <c r="Z1193" s="3"/>
      <c r="AA1193" s="3"/>
      <c r="AB1193" s="3"/>
      <c r="AC1193" s="3"/>
      <c r="AD1193" s="3"/>
      <c r="AE1193" s="3"/>
      <c r="AF1193" s="3"/>
      <c r="AG1193" s="3"/>
    </row>
    <row r="1194">
      <c r="A1194" s="2">
        <v>2019.0</v>
      </c>
      <c r="B1194" s="1" t="s">
        <v>213</v>
      </c>
      <c r="F1194" s="5">
        <v>285028.0</v>
      </c>
      <c r="I1194" s="5">
        <v>1593127.0</v>
      </c>
      <c r="J1194" s="5">
        <v>18063.0</v>
      </c>
      <c r="K1194" s="5">
        <f t="shared" ref="K1194:K1196" si="205">SUM(F1194:J1194)</f>
        <v>1896218</v>
      </c>
      <c r="L1194" s="5">
        <v>1510778.0</v>
      </c>
      <c r="N1194" s="5">
        <f t="shared" ref="N1194:N1195" si="206">(K1194-L1194)</f>
        <v>385440</v>
      </c>
      <c r="P1194" s="3"/>
      <c r="Q1194" s="3"/>
      <c r="R1194" s="3"/>
      <c r="S1194" s="3"/>
      <c r="T1194" s="3"/>
      <c r="U1194" s="3"/>
      <c r="V1194" s="3"/>
      <c r="W1194" s="3"/>
      <c r="X1194" s="3"/>
      <c r="Y1194" s="3"/>
      <c r="Z1194" s="3"/>
      <c r="AA1194" s="3"/>
      <c r="AB1194" s="3"/>
      <c r="AC1194" s="3"/>
      <c r="AD1194" s="3"/>
      <c r="AE1194" s="3"/>
      <c r="AF1194" s="3"/>
      <c r="AG1194" s="3"/>
    </row>
    <row r="1195">
      <c r="A1195" s="2">
        <v>2019.0</v>
      </c>
      <c r="B1195" s="1" t="s">
        <v>213</v>
      </c>
      <c r="F1195" s="5">
        <v>359433.0</v>
      </c>
      <c r="I1195" s="5">
        <v>100000.0</v>
      </c>
      <c r="J1195" s="5">
        <v>6356.0</v>
      </c>
      <c r="K1195" s="5">
        <f t="shared" si="205"/>
        <v>465789</v>
      </c>
      <c r="L1195" s="5">
        <v>453327.0</v>
      </c>
      <c r="N1195" s="5">
        <f t="shared" si="206"/>
        <v>12462</v>
      </c>
      <c r="P1195" s="3"/>
      <c r="Q1195" s="3"/>
      <c r="R1195" s="3"/>
      <c r="S1195" s="3"/>
      <c r="T1195" s="3"/>
      <c r="U1195" s="3"/>
      <c r="V1195" s="3"/>
      <c r="W1195" s="3"/>
      <c r="X1195" s="3"/>
      <c r="Y1195" s="3"/>
      <c r="Z1195" s="3"/>
      <c r="AA1195" s="3"/>
      <c r="AB1195" s="3"/>
      <c r="AC1195" s="3"/>
      <c r="AD1195" s="3"/>
      <c r="AE1195" s="3"/>
      <c r="AF1195" s="3"/>
      <c r="AG1195" s="3"/>
    </row>
    <row r="1196">
      <c r="A1196" s="2">
        <v>2019.0</v>
      </c>
      <c r="B1196" s="1" t="s">
        <v>213</v>
      </c>
      <c r="F1196" s="5">
        <v>607988.0</v>
      </c>
      <c r="I1196" s="5">
        <v>365039.0</v>
      </c>
      <c r="J1196" s="5">
        <v>22786.0</v>
      </c>
      <c r="K1196" s="5">
        <f t="shared" si="205"/>
        <v>995813</v>
      </c>
      <c r="L1196" s="5">
        <v>872617.0</v>
      </c>
      <c r="N1196" s="5">
        <f>K1196-L1196</f>
        <v>123196</v>
      </c>
      <c r="P1196" s="3"/>
      <c r="Q1196" s="3"/>
      <c r="R1196" s="3"/>
      <c r="S1196" s="3"/>
      <c r="T1196" s="3"/>
      <c r="U1196" s="3"/>
      <c r="V1196" s="3"/>
      <c r="W1196" s="3"/>
      <c r="X1196" s="3"/>
      <c r="Y1196" s="3"/>
      <c r="Z1196" s="3"/>
      <c r="AA1196" s="3"/>
      <c r="AB1196" s="3"/>
      <c r="AC1196" s="3"/>
      <c r="AD1196" s="3"/>
      <c r="AE1196" s="3"/>
      <c r="AF1196" s="3"/>
      <c r="AG1196" s="3"/>
    </row>
    <row r="1197">
      <c r="A1197" s="2">
        <v>2019.0</v>
      </c>
      <c r="B1197" s="1" t="s">
        <v>213</v>
      </c>
      <c r="D1197" s="5" t="s">
        <v>135</v>
      </c>
      <c r="F1197" s="5">
        <f>SUM(F1194:F1196)</f>
        <v>1252449</v>
      </c>
      <c r="I1197" s="5">
        <f t="shared" ref="I1197:L1197" si="207">SUM(I1194:I1196)</f>
        <v>2058166</v>
      </c>
      <c r="J1197" s="5">
        <f t="shared" si="207"/>
        <v>47205</v>
      </c>
      <c r="K1197" s="5">
        <f t="shared" si="207"/>
        <v>3357820</v>
      </c>
      <c r="L1197" s="5">
        <f t="shared" si="207"/>
        <v>2836722</v>
      </c>
      <c r="N1197" s="5">
        <f>SUM(N1194:N1196)</f>
        <v>521098</v>
      </c>
      <c r="P1197" s="3"/>
      <c r="Q1197" s="3"/>
      <c r="R1197" s="3"/>
      <c r="S1197" s="3"/>
      <c r="T1197" s="3"/>
      <c r="U1197" s="3"/>
      <c r="V1197" s="3"/>
      <c r="W1197" s="3"/>
      <c r="X1197" s="3"/>
      <c r="Y1197" s="3"/>
      <c r="Z1197" s="3"/>
      <c r="AA1197" s="3"/>
      <c r="AB1197" s="3"/>
      <c r="AC1197" s="3"/>
      <c r="AD1197" s="3"/>
      <c r="AE1197" s="3"/>
      <c r="AF1197" s="3"/>
      <c r="AG1197" s="3"/>
    </row>
    <row r="1198">
      <c r="A1198" s="2">
        <v>2019.0</v>
      </c>
      <c r="B1198" s="1" t="s">
        <v>213</v>
      </c>
      <c r="D1198" s="5" t="s">
        <v>135</v>
      </c>
      <c r="F1198" s="5">
        <v>401101.0</v>
      </c>
      <c r="I1198" s="5">
        <v>1653127.0</v>
      </c>
      <c r="J1198" s="5">
        <v>23478.0</v>
      </c>
      <c r="K1198" s="5">
        <f t="shared" ref="K1198:K1201" si="208">SUM(F1198:J1198)</f>
        <v>2077706</v>
      </c>
      <c r="L1198" s="5">
        <f>927526+368</f>
        <v>927894</v>
      </c>
      <c r="N1198" s="5">
        <f t="shared" ref="N1198:N1199" si="209">(K1198-L1198)</f>
        <v>1149812</v>
      </c>
      <c r="P1198" s="3"/>
      <c r="Q1198" s="3"/>
      <c r="R1198" s="3"/>
      <c r="S1198" s="3"/>
      <c r="T1198" s="3"/>
      <c r="U1198" s="3"/>
      <c r="V1198" s="3"/>
      <c r="W1198" s="3"/>
      <c r="X1198" s="3"/>
      <c r="Y1198" s="3"/>
      <c r="Z1198" s="3"/>
      <c r="AA1198" s="3"/>
      <c r="AB1198" s="3"/>
      <c r="AC1198" s="3"/>
      <c r="AD1198" s="3"/>
      <c r="AE1198" s="3"/>
      <c r="AF1198" s="3"/>
      <c r="AG1198" s="3"/>
    </row>
    <row r="1199">
      <c r="A1199" s="2">
        <v>2019.0</v>
      </c>
      <c r="B1199" s="1" t="s">
        <v>213</v>
      </c>
      <c r="D1199" s="5" t="s">
        <v>135</v>
      </c>
      <c r="F1199" s="5">
        <v>38953.0</v>
      </c>
      <c r="I1199" s="5">
        <v>143000.0</v>
      </c>
      <c r="J1199" s="5">
        <v>385.0</v>
      </c>
      <c r="K1199" s="5">
        <f t="shared" si="208"/>
        <v>182338</v>
      </c>
      <c r="L1199" s="5">
        <f>178712+254</f>
        <v>178966</v>
      </c>
      <c r="N1199" s="5">
        <f t="shared" si="209"/>
        <v>3372</v>
      </c>
      <c r="P1199" s="3"/>
      <c r="Q1199" s="3"/>
      <c r="R1199" s="3"/>
      <c r="S1199" s="3"/>
      <c r="T1199" s="3"/>
      <c r="U1199" s="3"/>
      <c r="V1199" s="3"/>
      <c r="W1199" s="3"/>
      <c r="X1199" s="3"/>
      <c r="Y1199" s="3"/>
      <c r="Z1199" s="3"/>
      <c r="AA1199" s="3"/>
      <c r="AB1199" s="3"/>
      <c r="AC1199" s="3"/>
      <c r="AD1199" s="3"/>
      <c r="AE1199" s="3"/>
      <c r="AF1199" s="3"/>
      <c r="AG1199" s="3"/>
    </row>
    <row r="1200">
      <c r="A1200" s="2">
        <v>2019.0</v>
      </c>
      <c r="B1200" s="1" t="s">
        <v>213</v>
      </c>
      <c r="D1200" s="5" t="s">
        <v>135</v>
      </c>
      <c r="F1200" s="5">
        <v>108221.0</v>
      </c>
      <c r="I1200" s="5">
        <v>270600.0</v>
      </c>
      <c r="J1200" s="5">
        <v>3819.0</v>
      </c>
      <c r="K1200" s="5">
        <f t="shared" si="208"/>
        <v>382640</v>
      </c>
      <c r="L1200" s="5">
        <v>56994.0</v>
      </c>
      <c r="N1200" s="5">
        <f>K1200-L1200</f>
        <v>325646</v>
      </c>
      <c r="P1200" s="3"/>
      <c r="Q1200" s="3"/>
      <c r="R1200" s="3"/>
      <c r="S1200" s="3"/>
      <c r="T1200" s="3"/>
      <c r="U1200" s="3"/>
      <c r="V1200" s="3"/>
      <c r="W1200" s="3"/>
      <c r="X1200" s="3"/>
      <c r="Y1200" s="3"/>
      <c r="Z1200" s="3"/>
      <c r="AA1200" s="3"/>
      <c r="AB1200" s="3"/>
      <c r="AC1200" s="3"/>
      <c r="AD1200" s="3"/>
      <c r="AE1200" s="3"/>
      <c r="AF1200" s="3"/>
      <c r="AG1200" s="3"/>
    </row>
    <row r="1201">
      <c r="A1201" s="2">
        <v>2019.0</v>
      </c>
      <c r="B1201" s="1" t="s">
        <v>213</v>
      </c>
      <c r="D1201" s="5" t="s">
        <v>135</v>
      </c>
      <c r="F1201" s="5">
        <v>115363.0</v>
      </c>
      <c r="I1201" s="5">
        <v>188662.0</v>
      </c>
      <c r="J1201" s="5">
        <v>2568.0</v>
      </c>
      <c r="K1201" s="5">
        <f t="shared" si="208"/>
        <v>306593</v>
      </c>
      <c r="L1201" s="5">
        <f>(K1201-N1201)</f>
        <v>181488</v>
      </c>
      <c r="N1201" s="5">
        <v>125105.0</v>
      </c>
      <c r="P1201" s="3"/>
      <c r="Q1201" s="3"/>
      <c r="R1201" s="3"/>
      <c r="S1201" s="3"/>
      <c r="T1201" s="3"/>
      <c r="U1201" s="3"/>
      <c r="V1201" s="3"/>
      <c r="W1201" s="3"/>
      <c r="X1201" s="3"/>
      <c r="Y1201" s="3"/>
      <c r="Z1201" s="3"/>
      <c r="AA1201" s="3"/>
      <c r="AB1201" s="3"/>
      <c r="AC1201" s="3"/>
      <c r="AD1201" s="3"/>
      <c r="AE1201" s="3"/>
      <c r="AF1201" s="3"/>
      <c r="AG1201" s="3"/>
    </row>
    <row r="1202">
      <c r="A1202" s="2">
        <v>2019.0</v>
      </c>
      <c r="B1202" s="1" t="s">
        <v>213</v>
      </c>
      <c r="D1202" s="5" t="s">
        <v>136</v>
      </c>
      <c r="F1202" s="5">
        <f>SUM(F1198:F1201)</f>
        <v>663638</v>
      </c>
      <c r="I1202" s="5">
        <f t="shared" ref="I1202:L1202" si="210">SUM(I1198:I1201)</f>
        <v>2255389</v>
      </c>
      <c r="J1202" s="5">
        <f t="shared" si="210"/>
        <v>30250</v>
      </c>
      <c r="K1202" s="5">
        <f t="shared" si="210"/>
        <v>2949277</v>
      </c>
      <c r="L1202" s="5">
        <f t="shared" si="210"/>
        <v>1345342</v>
      </c>
      <c r="N1202" s="5">
        <f>SUM(N1198:N1201)</f>
        <v>1603935</v>
      </c>
      <c r="P1202" s="3"/>
      <c r="Q1202" s="3"/>
      <c r="R1202" s="3"/>
      <c r="S1202" s="3"/>
      <c r="T1202" s="3"/>
      <c r="U1202" s="3"/>
      <c r="V1202" s="3"/>
      <c r="W1202" s="3"/>
      <c r="X1202" s="3"/>
      <c r="Y1202" s="3"/>
      <c r="Z1202" s="3"/>
      <c r="AA1202" s="3"/>
      <c r="AB1202" s="3"/>
      <c r="AC1202" s="3"/>
      <c r="AD1202" s="3"/>
      <c r="AE1202" s="3"/>
      <c r="AF1202" s="3"/>
      <c r="AG1202" s="3"/>
    </row>
    <row r="1203">
      <c r="A1203" s="2">
        <v>2019.0</v>
      </c>
      <c r="B1203" s="1" t="s">
        <v>213</v>
      </c>
      <c r="D1203" s="5" t="s">
        <v>136</v>
      </c>
      <c r="F1203" s="5">
        <v>192236.0</v>
      </c>
      <c r="I1203" s="5">
        <f>2025327</f>
        <v>2025327</v>
      </c>
      <c r="J1203" s="5">
        <v>20032.0</v>
      </c>
      <c r="K1203" s="5">
        <f t="shared" ref="K1203:K1205" si="211">SUM(F1203:J1203)</f>
        <v>2237595</v>
      </c>
      <c r="L1203" s="5">
        <v>1874446.0</v>
      </c>
      <c r="N1203" s="5">
        <f t="shared" ref="N1203:N1204" si="212">(K1203-L1203)</f>
        <v>363149</v>
      </c>
      <c r="P1203" s="3"/>
      <c r="Q1203" s="3"/>
      <c r="R1203" s="3"/>
      <c r="S1203" s="3"/>
      <c r="T1203" s="3"/>
      <c r="U1203" s="3"/>
      <c r="V1203" s="3"/>
      <c r="W1203" s="3"/>
      <c r="X1203" s="3"/>
      <c r="Y1203" s="3"/>
      <c r="Z1203" s="3"/>
      <c r="AA1203" s="3"/>
      <c r="AB1203" s="3"/>
      <c r="AC1203" s="3"/>
      <c r="AD1203" s="3"/>
      <c r="AE1203" s="3"/>
      <c r="AF1203" s="3"/>
      <c r="AG1203" s="3"/>
    </row>
    <row r="1204">
      <c r="A1204" s="2">
        <v>2019.0</v>
      </c>
      <c r="B1204" s="1" t="s">
        <v>213</v>
      </c>
      <c r="D1204" s="5" t="s">
        <v>136</v>
      </c>
      <c r="F1204" s="5">
        <v>203246.0</v>
      </c>
      <c r="I1204" s="5">
        <f>4076</f>
        <v>4076</v>
      </c>
      <c r="K1204" s="5">
        <f t="shared" si="211"/>
        <v>207322</v>
      </c>
      <c r="L1204" s="5">
        <v>185569.0</v>
      </c>
      <c r="N1204" s="5">
        <f t="shared" si="212"/>
        <v>21753</v>
      </c>
      <c r="P1204" s="3"/>
      <c r="Q1204" s="3"/>
      <c r="R1204" s="3"/>
      <c r="S1204" s="3"/>
      <c r="T1204" s="3"/>
      <c r="U1204" s="3"/>
      <c r="V1204" s="3"/>
      <c r="W1204" s="3"/>
      <c r="X1204" s="3"/>
      <c r="Y1204" s="3"/>
      <c r="Z1204" s="3"/>
      <c r="AA1204" s="3"/>
      <c r="AB1204" s="3"/>
      <c r="AC1204" s="3"/>
      <c r="AD1204" s="3"/>
      <c r="AE1204" s="3"/>
      <c r="AF1204" s="3"/>
      <c r="AG1204" s="3"/>
    </row>
    <row r="1205">
      <c r="A1205" s="2">
        <v>2019.0</v>
      </c>
      <c r="B1205" s="1" t="s">
        <v>213</v>
      </c>
      <c r="D1205" s="5" t="s">
        <v>136</v>
      </c>
      <c r="F1205" s="5">
        <v>28317.0</v>
      </c>
      <c r="I1205" s="5">
        <f>12380</f>
        <v>12380</v>
      </c>
      <c r="K1205" s="5">
        <f t="shared" si="211"/>
        <v>40697</v>
      </c>
      <c r="L1205" s="5">
        <v>14000.0</v>
      </c>
      <c r="N1205" s="5">
        <f>K1205-L1205</f>
        <v>26697</v>
      </c>
      <c r="P1205" s="3"/>
      <c r="Q1205" s="3"/>
      <c r="R1205" s="3"/>
      <c r="S1205" s="3"/>
      <c r="T1205" s="3"/>
      <c r="U1205" s="3"/>
      <c r="V1205" s="3"/>
      <c r="W1205" s="3"/>
      <c r="X1205" s="3"/>
      <c r="Y1205" s="3"/>
      <c r="Z1205" s="3"/>
      <c r="AA1205" s="3"/>
      <c r="AB1205" s="3"/>
      <c r="AC1205" s="3"/>
      <c r="AD1205" s="3"/>
      <c r="AE1205" s="3"/>
      <c r="AF1205" s="3"/>
      <c r="AG1205" s="3"/>
    </row>
    <row r="1206">
      <c r="A1206" s="2">
        <v>2019.0</v>
      </c>
      <c r="B1206" s="1" t="s">
        <v>213</v>
      </c>
      <c r="D1206" s="5" t="s">
        <v>1546</v>
      </c>
      <c r="F1206" s="5">
        <f>SUM(F1203:F1205)</f>
        <v>423799</v>
      </c>
      <c r="I1206" s="5">
        <f t="shared" ref="I1206:L1206" si="213">SUM(I1203:I1205)</f>
        <v>2041783</v>
      </c>
      <c r="J1206" s="5">
        <f t="shared" si="213"/>
        <v>20032</v>
      </c>
      <c r="K1206" s="5">
        <f t="shared" si="213"/>
        <v>2485614</v>
      </c>
      <c r="L1206" s="5">
        <f t="shared" si="213"/>
        <v>2074015</v>
      </c>
      <c r="N1206" s="5">
        <f>SUM(N1203:N1205)</f>
        <v>411599</v>
      </c>
      <c r="P1206" s="3"/>
      <c r="Q1206" s="3"/>
      <c r="R1206" s="3"/>
      <c r="S1206" s="3"/>
      <c r="T1206" s="3"/>
      <c r="U1206" s="3"/>
      <c r="V1206" s="3"/>
      <c r="W1206" s="3"/>
      <c r="X1206" s="3"/>
      <c r="Y1206" s="3"/>
      <c r="Z1206" s="3"/>
      <c r="AA1206" s="3"/>
      <c r="AB1206" s="3"/>
      <c r="AC1206" s="3"/>
      <c r="AD1206" s="3"/>
      <c r="AE1206" s="3"/>
      <c r="AF1206" s="3"/>
      <c r="AG1206" s="3"/>
    </row>
    <row r="1207">
      <c r="A1207" s="2">
        <v>2019.0</v>
      </c>
      <c r="B1207" s="1" t="s">
        <v>213</v>
      </c>
      <c r="D1207" s="5" t="s">
        <v>1546</v>
      </c>
      <c r="F1207" s="5">
        <v>3786.0</v>
      </c>
      <c r="I1207" s="5">
        <v>297900.0</v>
      </c>
      <c r="J1207" s="5">
        <v>92.0</v>
      </c>
      <c r="K1207" s="5">
        <f t="shared" ref="K1207:K1210" si="214">SUM(F1207:J1207)</f>
        <v>301778</v>
      </c>
      <c r="L1207" s="5">
        <v>0.0</v>
      </c>
      <c r="N1207" s="5">
        <f t="shared" ref="N1207:N1208" si="215">(K1207-L1207)</f>
        <v>301778</v>
      </c>
      <c r="P1207" s="3"/>
      <c r="Q1207" s="3"/>
      <c r="R1207" s="3"/>
      <c r="S1207" s="3"/>
      <c r="T1207" s="3"/>
      <c r="U1207" s="3"/>
      <c r="V1207" s="3"/>
      <c r="W1207" s="3"/>
      <c r="X1207" s="3"/>
      <c r="Y1207" s="3"/>
      <c r="Z1207" s="3"/>
      <c r="AA1207" s="3"/>
      <c r="AB1207" s="3"/>
      <c r="AC1207" s="3"/>
      <c r="AD1207" s="3"/>
      <c r="AE1207" s="3"/>
      <c r="AF1207" s="3"/>
      <c r="AG1207" s="3"/>
    </row>
    <row r="1208">
      <c r="A1208" s="2">
        <v>2019.0</v>
      </c>
      <c r="B1208" s="1" t="s">
        <v>213</v>
      </c>
      <c r="D1208" s="5" t="s">
        <v>1546</v>
      </c>
      <c r="F1208" s="5">
        <v>298502.0</v>
      </c>
      <c r="I1208" s="5">
        <v>100000.0</v>
      </c>
      <c r="J1208" s="5">
        <v>6732.0</v>
      </c>
      <c r="K1208" s="5">
        <f t="shared" si="214"/>
        <v>405234</v>
      </c>
      <c r="L1208" s="5">
        <v>346537.0</v>
      </c>
      <c r="N1208" s="5">
        <f t="shared" si="215"/>
        <v>58697</v>
      </c>
      <c r="P1208" s="3"/>
      <c r="Q1208" s="3"/>
      <c r="R1208" s="3"/>
      <c r="S1208" s="3"/>
      <c r="T1208" s="3"/>
      <c r="U1208" s="3"/>
      <c r="V1208" s="3"/>
      <c r="W1208" s="3"/>
      <c r="X1208" s="3"/>
      <c r="Y1208" s="3"/>
      <c r="Z1208" s="3"/>
      <c r="AA1208" s="3"/>
      <c r="AB1208" s="3"/>
      <c r="AC1208" s="3"/>
      <c r="AD1208" s="3"/>
      <c r="AE1208" s="3"/>
      <c r="AF1208" s="3"/>
      <c r="AG1208" s="3"/>
    </row>
    <row r="1209">
      <c r="A1209" s="2">
        <v>2019.0</v>
      </c>
      <c r="B1209" s="1" t="s">
        <v>213</v>
      </c>
      <c r="D1209" s="5" t="s">
        <v>1546</v>
      </c>
      <c r="F1209" s="5">
        <v>369346.0</v>
      </c>
      <c r="I1209" s="5">
        <v>653127.0</v>
      </c>
      <c r="J1209" s="5">
        <v>22879.0</v>
      </c>
      <c r="K1209" s="5">
        <f t="shared" si="214"/>
        <v>1045352</v>
      </c>
      <c r="L1209" s="5">
        <v>841723.0</v>
      </c>
      <c r="N1209" s="5">
        <f t="shared" ref="N1209:N1210" si="216">K1209-L1209</f>
        <v>203629</v>
      </c>
      <c r="P1209" s="3"/>
      <c r="Q1209" s="3"/>
      <c r="R1209" s="3"/>
      <c r="S1209" s="3"/>
      <c r="T1209" s="3"/>
      <c r="U1209" s="3"/>
      <c r="V1209" s="3"/>
      <c r="W1209" s="3"/>
      <c r="X1209" s="3"/>
      <c r="Y1209" s="3"/>
      <c r="Z1209" s="3"/>
      <c r="AA1209" s="3"/>
      <c r="AB1209" s="3"/>
      <c r="AC1209" s="3"/>
      <c r="AD1209" s="3"/>
      <c r="AE1209" s="3"/>
      <c r="AF1209" s="3"/>
      <c r="AG1209" s="3"/>
    </row>
    <row r="1210">
      <c r="A1210" s="2">
        <v>2019.0</v>
      </c>
      <c r="B1210" s="1" t="s">
        <v>213</v>
      </c>
      <c r="D1210" s="5" t="s">
        <v>1546</v>
      </c>
      <c r="F1210" s="5">
        <v>563000.0</v>
      </c>
      <c r="I1210" s="5">
        <v>563000.0</v>
      </c>
      <c r="J1210" s="5">
        <v>8889.0</v>
      </c>
      <c r="K1210" s="5">
        <f t="shared" si="214"/>
        <v>1134889</v>
      </c>
      <c r="L1210" s="5">
        <v>159645.0</v>
      </c>
      <c r="N1210" s="5">
        <f t="shared" si="216"/>
        <v>975244</v>
      </c>
      <c r="P1210" s="3"/>
      <c r="Q1210" s="3"/>
      <c r="R1210" s="3"/>
      <c r="S1210" s="3"/>
      <c r="T1210" s="3"/>
      <c r="U1210" s="3"/>
      <c r="V1210" s="3"/>
      <c r="W1210" s="3"/>
      <c r="X1210" s="3"/>
      <c r="Y1210" s="3"/>
      <c r="Z1210" s="3"/>
      <c r="AA1210" s="3"/>
      <c r="AB1210" s="3"/>
      <c r="AC1210" s="3"/>
      <c r="AD1210" s="3"/>
      <c r="AE1210" s="3"/>
      <c r="AF1210" s="3"/>
      <c r="AG1210" s="3"/>
    </row>
    <row r="1211">
      <c r="A1211" s="2">
        <v>2019.0</v>
      </c>
      <c r="B1211" s="1" t="s">
        <v>213</v>
      </c>
      <c r="D1211" s="5" t="s">
        <v>277</v>
      </c>
      <c r="F1211" s="5">
        <f>SUM(F1207:F1210)</f>
        <v>1234634</v>
      </c>
      <c r="I1211" s="5">
        <f t="shared" ref="I1211:L1211" si="217">SUM(I1207:I1210)</f>
        <v>1614027</v>
      </c>
      <c r="J1211" s="5">
        <f t="shared" si="217"/>
        <v>38592</v>
      </c>
      <c r="K1211" s="5">
        <f t="shared" si="217"/>
        <v>2887253</v>
      </c>
      <c r="L1211" s="5">
        <f t="shared" si="217"/>
        <v>1347905</v>
      </c>
      <c r="N1211" s="5">
        <f>SUM(N1207:N1210)</f>
        <v>1539348</v>
      </c>
      <c r="P1211" s="3"/>
      <c r="Q1211" s="3"/>
      <c r="R1211" s="3"/>
      <c r="S1211" s="3"/>
      <c r="T1211" s="3"/>
      <c r="U1211" s="3"/>
      <c r="V1211" s="3"/>
      <c r="W1211" s="3"/>
      <c r="X1211" s="3"/>
      <c r="Y1211" s="3"/>
      <c r="Z1211" s="3"/>
      <c r="AA1211" s="3"/>
      <c r="AB1211" s="3"/>
      <c r="AC1211" s="3"/>
      <c r="AD1211" s="3"/>
      <c r="AE1211" s="3"/>
      <c r="AF1211" s="3"/>
      <c r="AG1211" s="3"/>
    </row>
    <row r="1212">
      <c r="A1212" s="2">
        <v>2019.0</v>
      </c>
      <c r="B1212" s="1" t="s">
        <v>213</v>
      </c>
      <c r="D1212" s="5" t="s">
        <v>277</v>
      </c>
      <c r="F1212" s="5">
        <v>284023.0</v>
      </c>
      <c r="I1212" s="5">
        <v>1393527.0</v>
      </c>
      <c r="J1212" s="5">
        <v>16793.0</v>
      </c>
      <c r="K1212" s="5">
        <v>1694343.0</v>
      </c>
      <c r="L1212" s="5">
        <v>1336583.0</v>
      </c>
      <c r="N1212" s="5">
        <v>357760.0</v>
      </c>
      <c r="P1212" s="3"/>
      <c r="Q1212" s="3"/>
      <c r="R1212" s="3"/>
      <c r="S1212" s="3"/>
      <c r="T1212" s="3"/>
      <c r="U1212" s="3"/>
      <c r="V1212" s="3"/>
      <c r="W1212" s="3"/>
      <c r="X1212" s="3"/>
      <c r="Y1212" s="3"/>
      <c r="Z1212" s="3"/>
      <c r="AA1212" s="3"/>
      <c r="AB1212" s="3"/>
      <c r="AC1212" s="3"/>
      <c r="AD1212" s="3"/>
      <c r="AE1212" s="3"/>
      <c r="AF1212" s="3"/>
      <c r="AG1212" s="3"/>
    </row>
    <row r="1213">
      <c r="A1213" s="2">
        <v>2019.0</v>
      </c>
      <c r="B1213" s="1" t="s">
        <v>213</v>
      </c>
      <c r="D1213" s="5" t="s">
        <v>277</v>
      </c>
      <c r="F1213" s="5">
        <v>161800.0</v>
      </c>
      <c r="I1213" s="5">
        <v>100000.0</v>
      </c>
      <c r="J1213" s="5">
        <v>4600.0</v>
      </c>
      <c r="K1213" s="5">
        <v>266400.0</v>
      </c>
      <c r="L1213" s="5">
        <v>186076.0</v>
      </c>
      <c r="N1213" s="5">
        <v>80324.0</v>
      </c>
      <c r="P1213" s="3"/>
      <c r="Q1213" s="3"/>
      <c r="R1213" s="3"/>
      <c r="S1213" s="3"/>
      <c r="T1213" s="3"/>
      <c r="U1213" s="3"/>
      <c r="V1213" s="3"/>
      <c r="W1213" s="3"/>
      <c r="X1213" s="3"/>
      <c r="Y1213" s="3"/>
      <c r="Z1213" s="3"/>
      <c r="AA1213" s="3"/>
      <c r="AB1213" s="3"/>
      <c r="AC1213" s="3"/>
      <c r="AD1213" s="3"/>
      <c r="AE1213" s="3"/>
      <c r="AF1213" s="3"/>
      <c r="AG1213" s="3"/>
    </row>
    <row r="1214">
      <c r="A1214" s="2">
        <v>2019.0</v>
      </c>
      <c r="B1214" s="1" t="s">
        <v>213</v>
      </c>
      <c r="D1214" s="5" t="s">
        <v>277</v>
      </c>
      <c r="F1214" s="5">
        <v>84372.0</v>
      </c>
      <c r="I1214" s="5">
        <v>64514.0</v>
      </c>
      <c r="J1214" s="5">
        <v>3947.0</v>
      </c>
      <c r="K1214" s="5">
        <v>152833.0</v>
      </c>
      <c r="L1214" s="5">
        <v>114000.0</v>
      </c>
      <c r="N1214" s="5">
        <v>38833.0</v>
      </c>
      <c r="P1214" s="3"/>
      <c r="Q1214" s="3"/>
      <c r="R1214" s="3"/>
      <c r="S1214" s="3"/>
      <c r="T1214" s="3"/>
      <c r="U1214" s="3"/>
      <c r="V1214" s="3"/>
      <c r="W1214" s="3"/>
      <c r="X1214" s="3"/>
      <c r="Y1214" s="3"/>
      <c r="Z1214" s="3"/>
      <c r="AA1214" s="3"/>
      <c r="AB1214" s="3"/>
      <c r="AC1214" s="3"/>
      <c r="AD1214" s="3"/>
      <c r="AE1214" s="3"/>
      <c r="AF1214" s="3"/>
      <c r="AG1214" s="3"/>
    </row>
    <row r="1215">
      <c r="A1215" s="2">
        <v>2019.0</v>
      </c>
      <c r="B1215" s="1" t="s">
        <v>213</v>
      </c>
      <c r="D1215" s="5" t="s">
        <v>141</v>
      </c>
      <c r="F1215" s="5">
        <f>SUM(F1212:F1214)</f>
        <v>530195</v>
      </c>
      <c r="I1215" s="5">
        <f t="shared" ref="I1215:L1215" si="218">SUM(I1212:I1214)</f>
        <v>1558041</v>
      </c>
      <c r="J1215" s="5">
        <f t="shared" si="218"/>
        <v>25340</v>
      </c>
      <c r="K1215" s="5">
        <f t="shared" si="218"/>
        <v>2113576</v>
      </c>
      <c r="L1215" s="5">
        <f t="shared" si="218"/>
        <v>1636659</v>
      </c>
      <c r="N1215" s="5">
        <f>SUM(N1212:N1214)</f>
        <v>476917</v>
      </c>
      <c r="P1215" s="3"/>
      <c r="Q1215" s="3"/>
      <c r="R1215" s="3"/>
      <c r="S1215" s="3"/>
      <c r="T1215" s="3"/>
      <c r="U1215" s="3"/>
      <c r="V1215" s="3"/>
      <c r="W1215" s="3"/>
      <c r="X1215" s="3"/>
      <c r="Y1215" s="3"/>
      <c r="Z1215" s="3"/>
      <c r="AA1215" s="3"/>
      <c r="AB1215" s="3"/>
      <c r="AC1215" s="3"/>
      <c r="AD1215" s="3"/>
      <c r="AE1215" s="3"/>
      <c r="AF1215" s="3"/>
      <c r="AG1215" s="3"/>
    </row>
    <row r="1216">
      <c r="A1216" s="2">
        <v>2019.0</v>
      </c>
      <c r="B1216" s="1" t="s">
        <v>213</v>
      </c>
      <c r="D1216" s="5" t="s">
        <v>141</v>
      </c>
      <c r="F1216" s="5">
        <v>53788.0</v>
      </c>
      <c r="I1216" s="5">
        <v>473703.0</v>
      </c>
      <c r="J1216" s="5">
        <v>3230.0</v>
      </c>
      <c r="K1216" s="5">
        <v>530721.0</v>
      </c>
      <c r="L1216" s="5">
        <v>361880.0</v>
      </c>
      <c r="N1216" s="5">
        <v>168841.0</v>
      </c>
      <c r="P1216" s="3"/>
      <c r="Q1216" s="3"/>
      <c r="R1216" s="3"/>
      <c r="S1216" s="3"/>
      <c r="T1216" s="3"/>
      <c r="U1216" s="3"/>
      <c r="V1216" s="3"/>
      <c r="W1216" s="3"/>
      <c r="X1216" s="3"/>
      <c r="Y1216" s="3"/>
      <c r="Z1216" s="3"/>
      <c r="AA1216" s="3"/>
      <c r="AB1216" s="3"/>
      <c r="AC1216" s="3"/>
      <c r="AD1216" s="3"/>
      <c r="AE1216" s="3"/>
      <c r="AF1216" s="3"/>
      <c r="AG1216" s="3"/>
    </row>
    <row r="1217">
      <c r="A1217" s="2">
        <v>2019.0</v>
      </c>
      <c r="B1217" s="1" t="s">
        <v>213</v>
      </c>
      <c r="D1217" s="5" t="s">
        <v>141</v>
      </c>
      <c r="F1217" s="5">
        <v>148602.0</v>
      </c>
      <c r="I1217" s="5">
        <v>194310.0</v>
      </c>
      <c r="J1217" s="5">
        <v>3826.0</v>
      </c>
      <c r="K1217" s="5">
        <v>346738.0</v>
      </c>
      <c r="L1217" s="5">
        <v>306976.0</v>
      </c>
      <c r="N1217" s="5">
        <v>39762.0</v>
      </c>
      <c r="P1217" s="3"/>
      <c r="Q1217" s="3"/>
      <c r="R1217" s="3"/>
      <c r="S1217" s="3"/>
      <c r="T1217" s="3"/>
      <c r="U1217" s="3"/>
      <c r="V1217" s="3"/>
      <c r="W1217" s="3"/>
      <c r="X1217" s="3"/>
      <c r="Y1217" s="3"/>
      <c r="Z1217" s="3"/>
      <c r="AA1217" s="3"/>
      <c r="AB1217" s="3"/>
      <c r="AC1217" s="3"/>
      <c r="AD1217" s="3"/>
      <c r="AE1217" s="3"/>
      <c r="AF1217" s="3"/>
      <c r="AG1217" s="3"/>
    </row>
    <row r="1218">
      <c r="A1218" s="2">
        <v>2019.0</v>
      </c>
      <c r="B1218" s="1" t="s">
        <v>213</v>
      </c>
      <c r="D1218" s="5" t="s">
        <v>141</v>
      </c>
      <c r="F1218" s="5">
        <v>303127.0</v>
      </c>
      <c r="I1218" s="5">
        <v>1474000.0</v>
      </c>
      <c r="J1218" s="5">
        <v>22968.0</v>
      </c>
      <c r="K1218" s="5">
        <v>1800095.0</v>
      </c>
      <c r="L1218" s="5">
        <v>886265.0</v>
      </c>
      <c r="N1218" s="5">
        <v>913830.0</v>
      </c>
      <c r="P1218" s="3"/>
      <c r="Q1218" s="3"/>
      <c r="R1218" s="3"/>
      <c r="S1218" s="3"/>
      <c r="T1218" s="3"/>
      <c r="U1218" s="3"/>
      <c r="V1218" s="3"/>
      <c r="W1218" s="3"/>
      <c r="X1218" s="3"/>
      <c r="Y1218" s="3"/>
      <c r="Z1218" s="3"/>
      <c r="AA1218" s="3"/>
      <c r="AB1218" s="3"/>
      <c r="AC1218" s="3"/>
      <c r="AD1218" s="3"/>
      <c r="AE1218" s="3"/>
      <c r="AF1218" s="3"/>
      <c r="AG1218" s="3"/>
    </row>
    <row r="1219">
      <c r="A1219" s="2">
        <v>2019.0</v>
      </c>
      <c r="B1219" s="1" t="s">
        <v>213</v>
      </c>
      <c r="D1219" s="5" t="s">
        <v>141</v>
      </c>
      <c r="F1219" s="5">
        <v>2333.0</v>
      </c>
      <c r="I1219" s="5">
        <v>144.0</v>
      </c>
      <c r="K1219" s="5">
        <v>2477.0</v>
      </c>
      <c r="L1219" s="5">
        <v>0.0</v>
      </c>
      <c r="N1219" s="5">
        <v>2477.0</v>
      </c>
      <c r="P1219" s="3"/>
      <c r="Q1219" s="3"/>
      <c r="R1219" s="3"/>
      <c r="S1219" s="3"/>
      <c r="T1219" s="3"/>
      <c r="U1219" s="3"/>
      <c r="V1219" s="3"/>
      <c r="W1219" s="3"/>
      <c r="X1219" s="3"/>
      <c r="Y1219" s="3"/>
      <c r="Z1219" s="3"/>
      <c r="AA1219" s="3"/>
      <c r="AB1219" s="3"/>
      <c r="AC1219" s="3"/>
      <c r="AD1219" s="3"/>
      <c r="AE1219" s="3"/>
      <c r="AF1219" s="3"/>
      <c r="AG1219" s="3"/>
    </row>
    <row r="1220">
      <c r="A1220" s="2">
        <v>2019.0</v>
      </c>
      <c r="B1220" s="1" t="s">
        <v>213</v>
      </c>
      <c r="D1220" s="5" t="s">
        <v>141</v>
      </c>
      <c r="F1220" s="5">
        <v>134667.0</v>
      </c>
      <c r="I1220" s="5">
        <v>2763.0</v>
      </c>
      <c r="K1220" s="5">
        <v>137430.0</v>
      </c>
      <c r="L1220" s="5">
        <v>100110.0</v>
      </c>
      <c r="N1220" s="5">
        <v>37320.0</v>
      </c>
      <c r="P1220" s="3"/>
      <c r="Q1220" s="3"/>
      <c r="R1220" s="3"/>
      <c r="S1220" s="3"/>
      <c r="T1220" s="3"/>
      <c r="U1220" s="3"/>
      <c r="V1220" s="3"/>
      <c r="W1220" s="3"/>
      <c r="X1220" s="3"/>
      <c r="Y1220" s="3"/>
      <c r="Z1220" s="3"/>
      <c r="AA1220" s="3"/>
      <c r="AB1220" s="3"/>
      <c r="AC1220" s="3"/>
      <c r="AD1220" s="3"/>
      <c r="AE1220" s="3"/>
      <c r="AF1220" s="3"/>
      <c r="AG1220" s="3"/>
    </row>
    <row r="1221">
      <c r="A1221" s="2">
        <v>2019.0</v>
      </c>
      <c r="B1221" s="1" t="s">
        <v>213</v>
      </c>
      <c r="D1221" s="5" t="s">
        <v>1342</v>
      </c>
      <c r="F1221" s="5">
        <f>SUM(F1216:F1220)</f>
        <v>642517</v>
      </c>
      <c r="I1221" s="5">
        <f t="shared" ref="I1221:L1221" si="219">SUM(I1216:I1220)</f>
        <v>2144920</v>
      </c>
      <c r="J1221" s="5">
        <f t="shared" si="219"/>
        <v>30024</v>
      </c>
      <c r="K1221" s="5">
        <f t="shared" si="219"/>
        <v>2817461</v>
      </c>
      <c r="L1221" s="5">
        <f t="shared" si="219"/>
        <v>1655231</v>
      </c>
      <c r="N1221" s="5">
        <f>SUM(N1216:N1220)</f>
        <v>1162230</v>
      </c>
      <c r="P1221" s="3"/>
      <c r="Q1221" s="3"/>
      <c r="R1221" s="3"/>
      <c r="S1221" s="3"/>
      <c r="T1221" s="3"/>
      <c r="U1221" s="3"/>
      <c r="V1221" s="3"/>
      <c r="W1221" s="3"/>
      <c r="X1221" s="3"/>
      <c r="Y1221" s="3"/>
      <c r="Z1221" s="3"/>
      <c r="AA1221" s="3"/>
      <c r="AB1221" s="3"/>
      <c r="AC1221" s="3"/>
      <c r="AD1221" s="3"/>
      <c r="AE1221" s="3"/>
      <c r="AF1221" s="3"/>
      <c r="AG1221" s="3"/>
    </row>
    <row r="1222">
      <c r="A1222" s="2">
        <v>2019.0</v>
      </c>
      <c r="B1222" s="1" t="s">
        <v>213</v>
      </c>
      <c r="D1222" s="5" t="s">
        <v>1342</v>
      </c>
      <c r="F1222" s="5">
        <v>15984.0</v>
      </c>
      <c r="I1222" s="5">
        <v>1407527.0</v>
      </c>
      <c r="J1222" s="5">
        <v>4524.0</v>
      </c>
      <c r="K1222" s="5">
        <v>1428035.0</v>
      </c>
      <c r="L1222" s="5">
        <v>1153104.0</v>
      </c>
      <c r="N1222" s="5">
        <v>274931.0</v>
      </c>
      <c r="P1222" s="3"/>
      <c r="Q1222" s="3"/>
      <c r="R1222" s="3"/>
      <c r="S1222" s="3"/>
      <c r="T1222" s="3"/>
      <c r="U1222" s="3"/>
      <c r="V1222" s="3"/>
      <c r="W1222" s="3"/>
      <c r="X1222" s="3"/>
      <c r="Y1222" s="3"/>
      <c r="Z1222" s="3"/>
      <c r="AA1222" s="3"/>
      <c r="AB1222" s="3"/>
      <c r="AC1222" s="3"/>
      <c r="AD1222" s="3"/>
      <c r="AE1222" s="3"/>
      <c r="AF1222" s="3"/>
      <c r="AG1222" s="3"/>
    </row>
    <row r="1223">
      <c r="A1223" s="2">
        <v>2019.0</v>
      </c>
      <c r="B1223" s="1" t="s">
        <v>213</v>
      </c>
      <c r="D1223" s="5" t="s">
        <v>1342</v>
      </c>
      <c r="F1223" s="5">
        <v>22617.0</v>
      </c>
      <c r="I1223" s="5">
        <v>100000.0</v>
      </c>
      <c r="J1223" s="5">
        <v>681.0</v>
      </c>
      <c r="K1223" s="5">
        <v>123298.0</v>
      </c>
      <c r="L1223" s="5">
        <v>120325.0</v>
      </c>
      <c r="N1223" s="5">
        <v>2973.0</v>
      </c>
      <c r="P1223" s="3"/>
      <c r="Q1223" s="3"/>
      <c r="R1223" s="3"/>
      <c r="S1223" s="3"/>
      <c r="T1223" s="3"/>
      <c r="U1223" s="3"/>
      <c r="V1223" s="3"/>
      <c r="W1223" s="3"/>
      <c r="X1223" s="3"/>
      <c r="Y1223" s="3"/>
      <c r="Z1223" s="3"/>
      <c r="AA1223" s="3"/>
      <c r="AB1223" s="3"/>
      <c r="AC1223" s="3"/>
      <c r="AD1223" s="3"/>
      <c r="AE1223" s="3"/>
      <c r="AF1223" s="3"/>
      <c r="AG1223" s="3"/>
    </row>
    <row r="1224">
      <c r="A1224" s="2">
        <v>2019.0</v>
      </c>
      <c r="B1224" s="1" t="s">
        <v>213</v>
      </c>
      <c r="D1224" s="5" t="s">
        <v>1342</v>
      </c>
      <c r="F1224" s="5">
        <v>305.0</v>
      </c>
      <c r="I1224" s="5">
        <v>50000.0</v>
      </c>
      <c r="J1224" s="5">
        <v>643.0</v>
      </c>
      <c r="K1224" s="5">
        <v>50948.0</v>
      </c>
      <c r="L1224" s="5">
        <v>49001.0</v>
      </c>
      <c r="N1224" s="5">
        <v>1947.0</v>
      </c>
      <c r="P1224" s="3"/>
      <c r="Q1224" s="3"/>
      <c r="R1224" s="3"/>
      <c r="S1224" s="3"/>
      <c r="T1224" s="3"/>
      <c r="U1224" s="3"/>
      <c r="V1224" s="3"/>
      <c r="W1224" s="3"/>
      <c r="X1224" s="3"/>
      <c r="Y1224" s="3"/>
      <c r="Z1224" s="3"/>
      <c r="AA1224" s="3"/>
      <c r="AB1224" s="3"/>
      <c r="AC1224" s="3"/>
      <c r="AD1224" s="3"/>
      <c r="AE1224" s="3"/>
      <c r="AF1224" s="3"/>
      <c r="AG1224" s="3"/>
    </row>
    <row r="1225">
      <c r="A1225" s="2">
        <v>2019.0</v>
      </c>
      <c r="B1225" s="1" t="s">
        <v>213</v>
      </c>
      <c r="D1225" s="5" t="s">
        <v>281</v>
      </c>
      <c r="F1225" s="5">
        <f>SUM(F1222:F1224)</f>
        <v>38906</v>
      </c>
      <c r="I1225" s="5">
        <f t="shared" ref="I1225:L1225" si="220">SUM(I1222:I1224)</f>
        <v>1557527</v>
      </c>
      <c r="J1225" s="5">
        <f t="shared" si="220"/>
        <v>5848</v>
      </c>
      <c r="K1225" s="5">
        <f t="shared" si="220"/>
        <v>1602281</v>
      </c>
      <c r="L1225" s="5">
        <f t="shared" si="220"/>
        <v>1322430</v>
      </c>
      <c r="N1225" s="5">
        <f>SUM(N1222:N1224)</f>
        <v>279851</v>
      </c>
      <c r="P1225" s="3"/>
      <c r="Q1225" s="3"/>
      <c r="R1225" s="3"/>
      <c r="S1225" s="3"/>
      <c r="T1225" s="3"/>
      <c r="U1225" s="3"/>
      <c r="V1225" s="3"/>
      <c r="W1225" s="3"/>
      <c r="X1225" s="3"/>
      <c r="Y1225" s="3"/>
      <c r="Z1225" s="3"/>
      <c r="AA1225" s="3"/>
      <c r="AB1225" s="3"/>
      <c r="AC1225" s="3"/>
      <c r="AD1225" s="3"/>
      <c r="AE1225" s="3"/>
      <c r="AF1225" s="3"/>
      <c r="AG1225" s="3"/>
    </row>
    <row r="1226">
      <c r="A1226" s="2">
        <v>2019.0</v>
      </c>
      <c r="B1226" s="1" t="s">
        <v>213</v>
      </c>
      <c r="D1226" s="5" t="s">
        <v>281</v>
      </c>
      <c r="F1226" s="5">
        <v>448773.0</v>
      </c>
      <c r="I1226" s="5">
        <v>1938027.0</v>
      </c>
      <c r="J1226" s="5">
        <v>31554.0</v>
      </c>
      <c r="K1226" s="5">
        <v>2418354.0</v>
      </c>
      <c r="L1226" s="5">
        <v>1476766.0</v>
      </c>
      <c r="N1226" s="5">
        <v>941588.0</v>
      </c>
      <c r="P1226" s="3"/>
      <c r="Q1226" s="3"/>
      <c r="R1226" s="3"/>
      <c r="S1226" s="3"/>
      <c r="T1226" s="3"/>
      <c r="U1226" s="3"/>
      <c r="V1226" s="3"/>
      <c r="W1226" s="3"/>
      <c r="X1226" s="3"/>
      <c r="Y1226" s="3"/>
      <c r="Z1226" s="3"/>
      <c r="AA1226" s="3"/>
      <c r="AB1226" s="3"/>
      <c r="AC1226" s="3"/>
      <c r="AD1226" s="3"/>
      <c r="AE1226" s="3"/>
      <c r="AF1226" s="3"/>
      <c r="AG1226" s="3"/>
    </row>
    <row r="1227">
      <c r="A1227" s="2">
        <v>2019.0</v>
      </c>
      <c r="B1227" s="1" t="s">
        <v>213</v>
      </c>
      <c r="D1227" s="5" t="s">
        <v>281</v>
      </c>
      <c r="F1227" s="5">
        <v>497551.0</v>
      </c>
      <c r="I1227" s="5">
        <v>100000.0</v>
      </c>
      <c r="J1227" s="5">
        <v>18919.0</v>
      </c>
      <c r="K1227" s="5">
        <v>616470.0</v>
      </c>
      <c r="L1227" s="5">
        <v>132120.0</v>
      </c>
      <c r="N1227" s="5">
        <v>484350.0</v>
      </c>
      <c r="P1227" s="3"/>
      <c r="Q1227" s="3"/>
      <c r="R1227" s="3"/>
      <c r="S1227" s="3"/>
      <c r="T1227" s="3"/>
      <c r="U1227" s="3"/>
      <c r="V1227" s="3"/>
      <c r="W1227" s="3"/>
      <c r="X1227" s="3"/>
      <c r="Y1227" s="3"/>
      <c r="Z1227" s="3"/>
      <c r="AA1227" s="3"/>
      <c r="AB1227" s="3"/>
      <c r="AC1227" s="3"/>
      <c r="AD1227" s="3"/>
      <c r="AE1227" s="3"/>
      <c r="AF1227" s="3"/>
      <c r="AG1227" s="3"/>
    </row>
    <row r="1228">
      <c r="A1228" s="2">
        <v>2019.0</v>
      </c>
      <c r="B1228" s="1" t="s">
        <v>213</v>
      </c>
      <c r="D1228" s="5" t="s">
        <v>281</v>
      </c>
      <c r="F1228" s="5">
        <v>23734.0</v>
      </c>
      <c r="I1228" s="5">
        <v>50000.0</v>
      </c>
      <c r="J1228" s="5">
        <v>1163.0</v>
      </c>
      <c r="K1228" s="5">
        <v>74897.0</v>
      </c>
      <c r="L1228" s="5">
        <v>68266.0</v>
      </c>
      <c r="N1228" s="5">
        <v>6631.0</v>
      </c>
      <c r="P1228" s="3"/>
      <c r="Q1228" s="3"/>
      <c r="R1228" s="3"/>
      <c r="S1228" s="3"/>
      <c r="T1228" s="3"/>
      <c r="U1228" s="3"/>
      <c r="V1228" s="3"/>
      <c r="W1228" s="3"/>
      <c r="X1228" s="3"/>
      <c r="Y1228" s="3"/>
      <c r="Z1228" s="3"/>
      <c r="AA1228" s="3"/>
      <c r="AB1228" s="3"/>
      <c r="AC1228" s="3"/>
      <c r="AD1228" s="3"/>
      <c r="AE1228" s="3"/>
      <c r="AF1228" s="3"/>
      <c r="AG1228" s="3"/>
    </row>
    <row r="1229">
      <c r="A1229" s="2">
        <v>2019.0</v>
      </c>
      <c r="B1229" s="1" t="s">
        <v>213</v>
      </c>
      <c r="D1229" s="5" t="s">
        <v>281</v>
      </c>
      <c r="F1229" s="5">
        <v>85840.0</v>
      </c>
      <c r="I1229" s="5">
        <v>72883.0</v>
      </c>
      <c r="J1229" s="5">
        <v>2414.0</v>
      </c>
      <c r="K1229" s="5">
        <v>161137.0</v>
      </c>
      <c r="L1229" s="5">
        <v>15057.0</v>
      </c>
      <c r="N1229" s="5">
        <v>146080.0</v>
      </c>
      <c r="P1229" s="3"/>
      <c r="Q1229" s="3"/>
      <c r="R1229" s="3"/>
      <c r="S1229" s="3"/>
      <c r="T1229" s="3"/>
      <c r="U1229" s="3"/>
      <c r="V1229" s="3"/>
      <c r="W1229" s="3"/>
      <c r="X1229" s="3"/>
      <c r="Y1229" s="3"/>
      <c r="Z1229" s="3"/>
      <c r="AA1229" s="3"/>
      <c r="AB1229" s="3"/>
      <c r="AC1229" s="3"/>
      <c r="AD1229" s="3"/>
      <c r="AE1229" s="3"/>
      <c r="AF1229" s="3"/>
      <c r="AG1229" s="3"/>
    </row>
    <row r="1230">
      <c r="A1230" s="2">
        <v>2019.0</v>
      </c>
      <c r="B1230" s="1" t="s">
        <v>213</v>
      </c>
      <c r="D1230" s="5" t="s">
        <v>146</v>
      </c>
      <c r="F1230" s="5">
        <f>SUM(F1226:F1229)</f>
        <v>1055898</v>
      </c>
      <c r="I1230" s="5">
        <f t="shared" ref="I1230:L1230" si="221">SUM(I1226:I1229)</f>
        <v>2160910</v>
      </c>
      <c r="J1230" s="5">
        <f t="shared" si="221"/>
        <v>54050</v>
      </c>
      <c r="K1230" s="5">
        <f t="shared" si="221"/>
        <v>3270858</v>
      </c>
      <c r="L1230" s="5">
        <f t="shared" si="221"/>
        <v>1692209</v>
      </c>
      <c r="N1230" s="5">
        <f>SUM(N1226:N1229)</f>
        <v>1578649</v>
      </c>
      <c r="P1230" s="3"/>
      <c r="Q1230" s="3"/>
      <c r="R1230" s="3"/>
      <c r="S1230" s="3"/>
      <c r="T1230" s="3"/>
      <c r="U1230" s="3"/>
      <c r="V1230" s="3"/>
      <c r="W1230" s="3"/>
      <c r="X1230" s="3"/>
      <c r="Y1230" s="3"/>
      <c r="Z1230" s="3"/>
      <c r="AA1230" s="3"/>
      <c r="AB1230" s="3"/>
      <c r="AC1230" s="3"/>
      <c r="AD1230" s="3"/>
      <c r="AE1230" s="3"/>
      <c r="AF1230" s="3"/>
      <c r="AG1230" s="3"/>
    </row>
    <row r="1231">
      <c r="A1231" s="2">
        <v>2019.0</v>
      </c>
      <c r="B1231" s="1" t="s">
        <v>213</v>
      </c>
      <c r="D1231" s="5" t="s">
        <v>146</v>
      </c>
      <c r="F1231" s="5">
        <v>27044.0</v>
      </c>
      <c r="I1231" s="5">
        <v>1559727.0</v>
      </c>
      <c r="J1231" s="5">
        <v>17891.0</v>
      </c>
      <c r="K1231" s="5">
        <v>1604662.0</v>
      </c>
      <c r="L1231" s="5">
        <v>898935.0</v>
      </c>
      <c r="N1231" s="5">
        <v>705727.0</v>
      </c>
      <c r="P1231" s="3"/>
      <c r="Q1231" s="3"/>
      <c r="R1231" s="3"/>
      <c r="S1231" s="3"/>
      <c r="T1231" s="3"/>
      <c r="U1231" s="3"/>
      <c r="V1231" s="3"/>
      <c r="W1231" s="3"/>
      <c r="X1231" s="3"/>
      <c r="Y1231" s="3"/>
      <c r="Z1231" s="3"/>
      <c r="AA1231" s="3"/>
      <c r="AB1231" s="3"/>
      <c r="AC1231" s="3"/>
      <c r="AD1231" s="3"/>
      <c r="AE1231" s="3"/>
      <c r="AF1231" s="3"/>
      <c r="AG1231" s="3"/>
    </row>
    <row r="1232">
      <c r="A1232" s="2">
        <v>2019.0</v>
      </c>
      <c r="B1232" s="1" t="s">
        <v>213</v>
      </c>
      <c r="D1232" s="5" t="s">
        <v>146</v>
      </c>
      <c r="F1232" s="5">
        <v>147736.0</v>
      </c>
      <c r="I1232" s="5">
        <v>100000.0</v>
      </c>
      <c r="J1232" s="5">
        <v>6744.0</v>
      </c>
      <c r="K1232" s="5">
        <v>254480.0</v>
      </c>
      <c r="L1232" s="5">
        <v>252615.0</v>
      </c>
      <c r="N1232" s="5">
        <v>1865.0</v>
      </c>
      <c r="P1232" s="3"/>
      <c r="Q1232" s="3"/>
      <c r="R1232" s="3"/>
      <c r="S1232" s="3"/>
      <c r="T1232" s="3"/>
      <c r="U1232" s="3"/>
      <c r="V1232" s="3"/>
      <c r="W1232" s="3"/>
      <c r="X1232" s="3"/>
      <c r="Y1232" s="3"/>
      <c r="Z1232" s="3"/>
      <c r="AA1232" s="3"/>
      <c r="AB1232" s="3"/>
      <c r="AC1232" s="3"/>
      <c r="AD1232" s="3"/>
      <c r="AE1232" s="3"/>
      <c r="AF1232" s="3"/>
      <c r="AG1232" s="3"/>
    </row>
    <row r="1233">
      <c r="A1233" s="2">
        <v>2019.0</v>
      </c>
      <c r="B1233" s="1" t="s">
        <v>213</v>
      </c>
      <c r="D1233" s="5" t="s">
        <v>146</v>
      </c>
      <c r="F1233" s="5">
        <v>6701.0</v>
      </c>
      <c r="I1233" s="5">
        <v>50000.0</v>
      </c>
      <c r="J1233" s="5">
        <v>770.0</v>
      </c>
      <c r="K1233" s="5">
        <v>57471.0</v>
      </c>
      <c r="L1233" s="5">
        <v>56287.0</v>
      </c>
      <c r="N1233" s="5">
        <v>1184.0</v>
      </c>
      <c r="P1233" s="3"/>
      <c r="Q1233" s="3"/>
      <c r="R1233" s="3"/>
      <c r="S1233" s="3"/>
      <c r="T1233" s="3"/>
      <c r="U1233" s="3"/>
      <c r="V1233" s="3"/>
      <c r="W1233" s="3"/>
      <c r="X1233" s="3"/>
      <c r="Y1233" s="3"/>
      <c r="Z1233" s="3"/>
      <c r="AA1233" s="3"/>
      <c r="AB1233" s="3"/>
      <c r="AC1233" s="3"/>
      <c r="AD1233" s="3"/>
      <c r="AE1233" s="3"/>
      <c r="AF1233" s="3"/>
      <c r="AG1233" s="3"/>
    </row>
    <row r="1234">
      <c r="A1234" s="2">
        <v>2019.0</v>
      </c>
      <c r="B1234" s="1" t="s">
        <v>213</v>
      </c>
      <c r="D1234" s="5" t="s">
        <v>146</v>
      </c>
      <c r="F1234" s="5">
        <v>106613.0</v>
      </c>
      <c r="I1234" s="5">
        <v>296152.0</v>
      </c>
      <c r="J1234" s="5">
        <v>4889.0</v>
      </c>
      <c r="K1234" s="5">
        <v>407654.0</v>
      </c>
      <c r="L1234" s="5">
        <v>347334.0</v>
      </c>
      <c r="N1234" s="5">
        <v>60320.0</v>
      </c>
      <c r="P1234" s="3"/>
      <c r="Q1234" s="3"/>
      <c r="R1234" s="3"/>
      <c r="S1234" s="3"/>
      <c r="T1234" s="3"/>
      <c r="U1234" s="3"/>
      <c r="V1234" s="3"/>
      <c r="W1234" s="3"/>
      <c r="X1234" s="3"/>
      <c r="Y1234" s="3"/>
      <c r="Z1234" s="3"/>
      <c r="AA1234" s="3"/>
      <c r="AB1234" s="3"/>
      <c r="AC1234" s="3"/>
      <c r="AD1234" s="3"/>
      <c r="AE1234" s="3"/>
      <c r="AF1234" s="3"/>
      <c r="AG1234" s="3"/>
    </row>
    <row r="1235">
      <c r="A1235" s="2">
        <v>2019.0</v>
      </c>
      <c r="B1235" s="1" t="s">
        <v>213</v>
      </c>
      <c r="D1235" s="5" t="s">
        <v>1547</v>
      </c>
      <c r="F1235" s="5">
        <f>SUM(F1231:F1234)</f>
        <v>288094</v>
      </c>
      <c r="I1235" s="5">
        <f t="shared" ref="I1235:L1235" si="222">SUM(I1231:I1234)</f>
        <v>2005879</v>
      </c>
      <c r="J1235" s="5">
        <f t="shared" si="222"/>
        <v>30294</v>
      </c>
      <c r="K1235" s="5">
        <f t="shared" si="222"/>
        <v>2324267</v>
      </c>
      <c r="L1235" s="5">
        <f t="shared" si="222"/>
        <v>1555171</v>
      </c>
      <c r="N1235" s="5">
        <f>SUM(N1231:N1234)</f>
        <v>769096</v>
      </c>
      <c r="P1235" s="3"/>
      <c r="Q1235" s="3"/>
      <c r="R1235" s="3"/>
      <c r="S1235" s="3"/>
      <c r="T1235" s="3"/>
      <c r="U1235" s="3"/>
      <c r="V1235" s="3"/>
      <c r="W1235" s="3"/>
      <c r="X1235" s="3"/>
      <c r="Y1235" s="3"/>
      <c r="Z1235" s="3"/>
      <c r="AA1235" s="3"/>
      <c r="AB1235" s="3"/>
      <c r="AC1235" s="3"/>
      <c r="AD1235" s="3"/>
      <c r="AE1235" s="3"/>
      <c r="AF1235" s="3"/>
      <c r="AG1235" s="3"/>
    </row>
    <row r="1236">
      <c r="A1236" s="2">
        <v>2019.0</v>
      </c>
      <c r="B1236" s="1" t="s">
        <v>213</v>
      </c>
      <c r="D1236" s="5" t="s">
        <v>1547</v>
      </c>
      <c r="F1236" s="5">
        <v>90766.0</v>
      </c>
      <c r="I1236" s="5">
        <v>2333927.0</v>
      </c>
      <c r="J1236" s="5">
        <v>23306.0</v>
      </c>
      <c r="K1236" s="5">
        <v>2447999.0</v>
      </c>
      <c r="L1236" s="5">
        <v>1610227.0</v>
      </c>
      <c r="N1236" s="5">
        <v>837772.0</v>
      </c>
      <c r="P1236" s="3"/>
      <c r="Q1236" s="3"/>
      <c r="R1236" s="3"/>
      <c r="S1236" s="3"/>
      <c r="T1236" s="3"/>
      <c r="U1236" s="3"/>
      <c r="V1236" s="3"/>
      <c r="W1236" s="3"/>
      <c r="X1236" s="3"/>
      <c r="Y1236" s="3"/>
      <c r="Z1236" s="3"/>
      <c r="AA1236" s="3"/>
      <c r="AB1236" s="3"/>
      <c r="AC1236" s="3"/>
      <c r="AD1236" s="3"/>
      <c r="AE1236" s="3"/>
      <c r="AF1236" s="3"/>
      <c r="AG1236" s="3"/>
    </row>
    <row r="1237">
      <c r="A1237" s="2">
        <v>2019.0</v>
      </c>
      <c r="B1237" s="1" t="s">
        <v>213</v>
      </c>
      <c r="D1237" s="5" t="s">
        <v>1547</v>
      </c>
      <c r="F1237" s="5">
        <v>146380.0</v>
      </c>
      <c r="I1237" s="5">
        <v>10253.0</v>
      </c>
      <c r="K1237" s="5">
        <v>156633.0</v>
      </c>
      <c r="L1237" s="5">
        <v>153500.0</v>
      </c>
      <c r="N1237" s="5">
        <v>3133.0</v>
      </c>
      <c r="P1237" s="3"/>
      <c r="Q1237" s="3"/>
      <c r="R1237" s="3"/>
      <c r="S1237" s="3"/>
      <c r="T1237" s="3"/>
      <c r="U1237" s="3"/>
      <c r="V1237" s="3"/>
      <c r="W1237" s="3"/>
      <c r="X1237" s="3"/>
      <c r="Y1237" s="3"/>
      <c r="Z1237" s="3"/>
      <c r="AA1237" s="3"/>
      <c r="AB1237" s="3"/>
      <c r="AC1237" s="3"/>
      <c r="AD1237" s="3"/>
      <c r="AE1237" s="3"/>
      <c r="AF1237" s="3"/>
      <c r="AG1237" s="3"/>
    </row>
    <row r="1238">
      <c r="A1238" s="2">
        <v>2019.0</v>
      </c>
      <c r="B1238" s="1" t="s">
        <v>213</v>
      </c>
      <c r="D1238" s="5" t="s">
        <v>1547</v>
      </c>
      <c r="F1238" s="5">
        <v>7536.0</v>
      </c>
      <c r="I1238" s="5">
        <v>50000.0</v>
      </c>
      <c r="J1238" s="5">
        <v>673.0</v>
      </c>
      <c r="K1238" s="5">
        <v>58209.0</v>
      </c>
      <c r="L1238" s="5">
        <v>51472.0</v>
      </c>
      <c r="N1238" s="5">
        <v>6737.0</v>
      </c>
      <c r="P1238" s="3"/>
      <c r="Q1238" s="3"/>
      <c r="R1238" s="3"/>
      <c r="S1238" s="3"/>
      <c r="T1238" s="3"/>
      <c r="U1238" s="3"/>
      <c r="V1238" s="3"/>
      <c r="W1238" s="3"/>
      <c r="X1238" s="3"/>
      <c r="Y1238" s="3"/>
      <c r="Z1238" s="3"/>
      <c r="AA1238" s="3"/>
      <c r="AB1238" s="3"/>
      <c r="AC1238" s="3"/>
      <c r="AD1238" s="3"/>
      <c r="AE1238" s="3"/>
      <c r="AF1238" s="3"/>
      <c r="AG1238" s="3"/>
    </row>
    <row r="1239">
      <c r="A1239" s="2">
        <v>2019.0</v>
      </c>
      <c r="B1239" s="1" t="s">
        <v>213</v>
      </c>
      <c r="D1239" s="5" t="s">
        <v>1547</v>
      </c>
      <c r="F1239" s="5">
        <v>191605.0</v>
      </c>
      <c r="I1239" s="5">
        <v>75315.0</v>
      </c>
      <c r="J1239" s="5">
        <v>5201.0</v>
      </c>
      <c r="K1239" s="5">
        <v>272121.0</v>
      </c>
      <c r="L1239" s="5">
        <v>261611.0</v>
      </c>
      <c r="N1239" s="5">
        <v>10510.0</v>
      </c>
      <c r="P1239" s="3"/>
      <c r="Q1239" s="3"/>
      <c r="R1239" s="3"/>
      <c r="S1239" s="3"/>
      <c r="T1239" s="3"/>
      <c r="U1239" s="3"/>
      <c r="V1239" s="3"/>
      <c r="W1239" s="3"/>
      <c r="X1239" s="3"/>
      <c r="Y1239" s="3"/>
      <c r="Z1239" s="3"/>
      <c r="AA1239" s="3"/>
      <c r="AB1239" s="3"/>
      <c r="AC1239" s="3"/>
      <c r="AD1239" s="3"/>
      <c r="AE1239" s="3"/>
      <c r="AF1239" s="3"/>
      <c r="AG1239" s="3"/>
    </row>
    <row r="1240">
      <c r="A1240" s="2">
        <v>2019.0</v>
      </c>
      <c r="B1240" s="1" t="s">
        <v>213</v>
      </c>
      <c r="D1240" s="5" t="s">
        <v>151</v>
      </c>
      <c r="F1240" s="5">
        <f>SUM(F1236:F1239)</f>
        <v>436287</v>
      </c>
      <c r="I1240" s="5">
        <f t="shared" ref="I1240:L1240" si="223">SUM(I1236:I1239)</f>
        <v>2469495</v>
      </c>
      <c r="J1240" s="5">
        <f t="shared" si="223"/>
        <v>29180</v>
      </c>
      <c r="K1240" s="5">
        <f t="shared" si="223"/>
        <v>2934962</v>
      </c>
      <c r="L1240" s="5">
        <f t="shared" si="223"/>
        <v>2076810</v>
      </c>
      <c r="N1240" s="5">
        <f>SUM(N1236:N1239)</f>
        <v>858152</v>
      </c>
      <c r="P1240" s="3"/>
      <c r="Q1240" s="3"/>
      <c r="R1240" s="3"/>
      <c r="S1240" s="3"/>
      <c r="T1240" s="3"/>
      <c r="U1240" s="3"/>
      <c r="V1240" s="3"/>
      <c r="W1240" s="3"/>
      <c r="X1240" s="3"/>
      <c r="Y1240" s="3"/>
      <c r="Z1240" s="3"/>
      <c r="AA1240" s="3"/>
      <c r="AB1240" s="3"/>
      <c r="AC1240" s="3"/>
      <c r="AD1240" s="3"/>
      <c r="AE1240" s="3"/>
      <c r="AF1240" s="3"/>
      <c r="AG1240" s="3"/>
    </row>
    <row r="1241">
      <c r="A1241" s="2">
        <v>2019.0</v>
      </c>
      <c r="B1241" s="1" t="s">
        <v>213</v>
      </c>
      <c r="D1241" s="5" t="s">
        <v>151</v>
      </c>
      <c r="F1241" s="5">
        <v>88492.0</v>
      </c>
      <c r="I1241" s="5">
        <v>1962727.0</v>
      </c>
      <c r="J1241" s="5">
        <v>16966.0</v>
      </c>
      <c r="K1241" s="5">
        <v>2068185.0</v>
      </c>
      <c r="L1241" s="5">
        <v>1736285.0</v>
      </c>
      <c r="N1241" s="5">
        <v>331900.0</v>
      </c>
      <c r="P1241" s="3"/>
      <c r="Q1241" s="3"/>
      <c r="R1241" s="3"/>
      <c r="S1241" s="3"/>
      <c r="T1241" s="3"/>
      <c r="U1241" s="3"/>
      <c r="V1241" s="3"/>
      <c r="W1241" s="3"/>
      <c r="X1241" s="3"/>
      <c r="Y1241" s="3"/>
      <c r="Z1241" s="3"/>
      <c r="AA1241" s="3"/>
      <c r="AB1241" s="3"/>
      <c r="AC1241" s="3"/>
      <c r="AD1241" s="3"/>
      <c r="AE1241" s="3"/>
      <c r="AF1241" s="3"/>
      <c r="AG1241" s="3"/>
    </row>
    <row r="1242">
      <c r="A1242" s="2">
        <v>2019.0</v>
      </c>
      <c r="B1242" s="1" t="s">
        <v>213</v>
      </c>
      <c r="D1242" s="5" t="s">
        <v>151</v>
      </c>
      <c r="F1242" s="5">
        <v>246611.0</v>
      </c>
      <c r="I1242" s="5">
        <v>105540.0</v>
      </c>
      <c r="J1242" s="5">
        <v>2724.0</v>
      </c>
      <c r="K1242" s="5">
        <v>354875.0</v>
      </c>
      <c r="L1242" s="5">
        <v>320620.0</v>
      </c>
      <c r="N1242" s="5">
        <v>34255.0</v>
      </c>
      <c r="P1242" s="3"/>
      <c r="Q1242" s="3"/>
      <c r="R1242" s="3"/>
      <c r="S1242" s="3"/>
      <c r="T1242" s="3"/>
      <c r="U1242" s="3"/>
      <c r="V1242" s="3"/>
      <c r="W1242" s="3"/>
      <c r="X1242" s="3"/>
      <c r="Y1242" s="3"/>
      <c r="Z1242" s="3"/>
      <c r="AA1242" s="3"/>
      <c r="AB1242" s="3"/>
      <c r="AC1242" s="3"/>
      <c r="AD1242" s="3"/>
      <c r="AE1242" s="3"/>
      <c r="AF1242" s="3"/>
      <c r="AG1242" s="3"/>
    </row>
    <row r="1243">
      <c r="A1243" s="2">
        <v>2019.0</v>
      </c>
      <c r="B1243" s="1" t="s">
        <v>213</v>
      </c>
      <c r="D1243" s="5" t="s">
        <v>151</v>
      </c>
      <c r="F1243" s="5">
        <v>3671.0</v>
      </c>
      <c r="I1243" s="5">
        <v>253694.0</v>
      </c>
      <c r="J1243" s="5">
        <v>1484.0</v>
      </c>
      <c r="K1243" s="5">
        <v>258849.0</v>
      </c>
      <c r="L1243" s="5">
        <v>248303.0</v>
      </c>
      <c r="N1243" s="5">
        <v>10546.0</v>
      </c>
      <c r="P1243" s="3"/>
      <c r="Q1243" s="3"/>
      <c r="R1243" s="3"/>
      <c r="S1243" s="3"/>
      <c r="T1243" s="3"/>
      <c r="U1243" s="3"/>
      <c r="V1243" s="3"/>
      <c r="W1243" s="3"/>
      <c r="X1243" s="3"/>
      <c r="Y1243" s="3"/>
      <c r="Z1243" s="3"/>
      <c r="AA1243" s="3"/>
      <c r="AB1243" s="3"/>
      <c r="AC1243" s="3"/>
      <c r="AD1243" s="3"/>
      <c r="AE1243" s="3"/>
      <c r="AF1243" s="3"/>
      <c r="AG1243" s="3"/>
    </row>
    <row r="1244">
      <c r="A1244" s="2">
        <v>2019.0</v>
      </c>
      <c r="B1244" s="1" t="s">
        <v>213</v>
      </c>
      <c r="D1244" s="5" t="s">
        <v>143</v>
      </c>
      <c r="F1244" s="5">
        <f>SUM(F1241:F1243)</f>
        <v>338774</v>
      </c>
      <c r="I1244" s="5">
        <f t="shared" ref="I1244:L1244" si="224">SUM(I1241:I1243)</f>
        <v>2321961</v>
      </c>
      <c r="J1244" s="5">
        <f t="shared" si="224"/>
        <v>21174</v>
      </c>
      <c r="K1244" s="5">
        <f t="shared" si="224"/>
        <v>2681909</v>
      </c>
      <c r="L1244" s="5">
        <f t="shared" si="224"/>
        <v>2305208</v>
      </c>
      <c r="N1244" s="5">
        <f>SUM(N1241:N1243)</f>
        <v>376701</v>
      </c>
      <c r="P1244" s="3"/>
      <c r="Q1244" s="3"/>
      <c r="R1244" s="3"/>
      <c r="S1244" s="3"/>
      <c r="T1244" s="3"/>
      <c r="U1244" s="3"/>
      <c r="V1244" s="3"/>
      <c r="W1244" s="3"/>
      <c r="X1244" s="3"/>
      <c r="Y1244" s="3"/>
      <c r="Z1244" s="3"/>
      <c r="AA1244" s="3"/>
      <c r="AB1244" s="3"/>
      <c r="AC1244" s="3"/>
      <c r="AD1244" s="3"/>
      <c r="AE1244" s="3"/>
      <c r="AF1244" s="3"/>
      <c r="AG1244" s="3"/>
    </row>
    <row r="1245">
      <c r="A1245" s="2">
        <v>2019.0</v>
      </c>
      <c r="B1245" s="1" t="s">
        <v>213</v>
      </c>
      <c r="D1245" s="5" t="s">
        <v>143</v>
      </c>
      <c r="F1245" s="5">
        <v>123811.0</v>
      </c>
      <c r="I1245" s="5">
        <v>703127.0</v>
      </c>
      <c r="J1245" s="5">
        <v>7588.0</v>
      </c>
      <c r="K1245" s="5">
        <v>834526.0</v>
      </c>
      <c r="L1245" s="5">
        <v>819290.0</v>
      </c>
      <c r="N1245" s="5">
        <v>15236.0</v>
      </c>
      <c r="P1245" s="3"/>
      <c r="Q1245" s="3"/>
      <c r="R1245" s="3"/>
      <c r="S1245" s="3"/>
      <c r="T1245" s="3"/>
      <c r="U1245" s="3"/>
      <c r="V1245" s="3"/>
      <c r="W1245" s="3"/>
      <c r="X1245" s="3"/>
      <c r="Y1245" s="3"/>
      <c r="Z1245" s="3"/>
      <c r="AA1245" s="3"/>
      <c r="AB1245" s="3"/>
      <c r="AC1245" s="3"/>
      <c r="AD1245" s="3"/>
      <c r="AE1245" s="3"/>
      <c r="AF1245" s="3"/>
      <c r="AG1245" s="3"/>
    </row>
    <row r="1246">
      <c r="A1246" s="2">
        <v>2019.0</v>
      </c>
      <c r="B1246" s="1" t="s">
        <v>213</v>
      </c>
      <c r="D1246" s="5" t="s">
        <v>143</v>
      </c>
      <c r="F1246" s="5">
        <v>0.0</v>
      </c>
      <c r="I1246" s="5">
        <v>352600.0</v>
      </c>
      <c r="K1246" s="5">
        <v>352600.0</v>
      </c>
      <c r="L1246" s="5">
        <v>0.0</v>
      </c>
      <c r="N1246" s="5">
        <v>352600.0</v>
      </c>
      <c r="P1246" s="3"/>
      <c r="Q1246" s="3"/>
      <c r="R1246" s="3"/>
      <c r="S1246" s="3"/>
      <c r="T1246" s="3"/>
      <c r="U1246" s="3"/>
      <c r="V1246" s="3"/>
      <c r="W1246" s="3"/>
      <c r="X1246" s="3"/>
      <c r="Y1246" s="3"/>
      <c r="Z1246" s="3"/>
      <c r="AA1246" s="3"/>
      <c r="AB1246" s="3"/>
      <c r="AC1246" s="3"/>
      <c r="AD1246" s="3"/>
      <c r="AE1246" s="3"/>
      <c r="AF1246" s="3"/>
      <c r="AG1246" s="3"/>
    </row>
    <row r="1247">
      <c r="A1247" s="2">
        <v>2019.0</v>
      </c>
      <c r="B1247" s="1" t="s">
        <v>213</v>
      </c>
      <c r="D1247" s="5" t="s">
        <v>143</v>
      </c>
      <c r="F1247" s="5">
        <v>583133.0</v>
      </c>
      <c r="I1247" s="5">
        <v>18582.0</v>
      </c>
      <c r="K1247" s="5">
        <v>601715.0</v>
      </c>
      <c r="L1247" s="5">
        <v>389365.0</v>
      </c>
      <c r="N1247" s="5">
        <v>212350.0</v>
      </c>
      <c r="P1247" s="3"/>
      <c r="Q1247" s="3"/>
      <c r="R1247" s="3"/>
      <c r="S1247" s="3"/>
      <c r="T1247" s="3"/>
      <c r="U1247" s="3"/>
      <c r="V1247" s="3"/>
      <c r="W1247" s="3"/>
      <c r="X1247" s="3"/>
      <c r="Y1247" s="3"/>
      <c r="Z1247" s="3"/>
      <c r="AA1247" s="3"/>
      <c r="AB1247" s="3"/>
      <c r="AC1247" s="3"/>
      <c r="AD1247" s="3"/>
      <c r="AE1247" s="3"/>
      <c r="AF1247" s="3"/>
      <c r="AG1247" s="3"/>
    </row>
    <row r="1248">
      <c r="A1248" s="2">
        <v>2019.0</v>
      </c>
      <c r="B1248" s="1" t="s">
        <v>213</v>
      </c>
      <c r="D1248" s="5" t="s">
        <v>143</v>
      </c>
      <c r="F1248" s="5">
        <v>6053.0</v>
      </c>
      <c r="I1248" s="5">
        <v>50000.0</v>
      </c>
      <c r="J1248" s="5">
        <v>471.0</v>
      </c>
      <c r="K1248" s="5">
        <v>56524.0</v>
      </c>
      <c r="L1248" s="5">
        <v>54807.0</v>
      </c>
      <c r="N1248" s="5">
        <v>1717.0</v>
      </c>
      <c r="P1248" s="3"/>
      <c r="Q1248" s="3"/>
      <c r="R1248" s="3"/>
      <c r="S1248" s="3"/>
      <c r="T1248" s="3"/>
      <c r="U1248" s="3"/>
      <c r="V1248" s="3"/>
      <c r="W1248" s="3"/>
      <c r="X1248" s="3"/>
      <c r="Y1248" s="3"/>
      <c r="Z1248" s="3"/>
      <c r="AA1248" s="3"/>
      <c r="AB1248" s="3"/>
      <c r="AC1248" s="3"/>
      <c r="AD1248" s="3"/>
      <c r="AE1248" s="3"/>
      <c r="AF1248" s="3"/>
      <c r="AG1248" s="3"/>
    </row>
    <row r="1249">
      <c r="A1249" s="2">
        <v>2019.0</v>
      </c>
      <c r="B1249" s="1" t="s">
        <v>213</v>
      </c>
      <c r="D1249" s="5" t="s">
        <v>143</v>
      </c>
      <c r="F1249" s="5">
        <v>0.0</v>
      </c>
      <c r="I1249" s="5">
        <v>1398000.0</v>
      </c>
      <c r="J1249" s="5">
        <v>12049.0</v>
      </c>
      <c r="K1249" s="5">
        <v>1410049.0</v>
      </c>
      <c r="L1249" s="5">
        <v>789851.0</v>
      </c>
      <c r="N1249" s="5">
        <v>620198.0</v>
      </c>
      <c r="P1249" s="3"/>
      <c r="Q1249" s="3"/>
      <c r="R1249" s="3"/>
      <c r="S1249" s="3"/>
      <c r="T1249" s="3"/>
      <c r="U1249" s="3"/>
      <c r="V1249" s="3"/>
      <c r="W1249" s="3"/>
      <c r="X1249" s="3"/>
      <c r="Y1249" s="3"/>
      <c r="Z1249" s="3"/>
      <c r="AA1249" s="3"/>
      <c r="AB1249" s="3"/>
      <c r="AC1249" s="3"/>
      <c r="AD1249" s="3"/>
      <c r="AE1249" s="3"/>
      <c r="AF1249" s="3"/>
      <c r="AG1249" s="3"/>
    </row>
    <row r="1250">
      <c r="A1250" s="2">
        <v>2019.0</v>
      </c>
      <c r="B1250" s="1" t="s">
        <v>213</v>
      </c>
      <c r="D1250" s="5" t="s">
        <v>143</v>
      </c>
      <c r="F1250" s="5">
        <v>1000.0</v>
      </c>
      <c r="I1250" s="5">
        <v>856520.0</v>
      </c>
      <c r="J1250" s="5">
        <v>8815.0</v>
      </c>
      <c r="K1250" s="5">
        <v>866335.0</v>
      </c>
      <c r="L1250" s="5">
        <v>715378.0</v>
      </c>
      <c r="N1250" s="5">
        <v>150957.0</v>
      </c>
      <c r="P1250" s="3"/>
      <c r="Q1250" s="3"/>
      <c r="R1250" s="3"/>
      <c r="S1250" s="3"/>
      <c r="T1250" s="3"/>
      <c r="U1250" s="3"/>
      <c r="V1250" s="3"/>
      <c r="W1250" s="3"/>
      <c r="X1250" s="3"/>
      <c r="Y1250" s="3"/>
      <c r="Z1250" s="3"/>
      <c r="AA1250" s="3"/>
      <c r="AB1250" s="3"/>
      <c r="AC1250" s="3"/>
      <c r="AD1250" s="3"/>
      <c r="AE1250" s="3"/>
      <c r="AF1250" s="3"/>
      <c r="AG1250" s="3"/>
    </row>
    <row r="1251">
      <c r="A1251" s="2">
        <v>2019.0</v>
      </c>
      <c r="B1251" s="1" t="s">
        <v>213</v>
      </c>
      <c r="D1251" s="5" t="s">
        <v>1360</v>
      </c>
      <c r="F1251" s="5" t="str">
        <f>SUM(F1245:F1252)</f>
        <v>#REF!</v>
      </c>
      <c r="I1251" s="5">
        <f t="shared" ref="I1251:L1251" si="225">SUM(I1245:I1250)</f>
        <v>3378829</v>
      </c>
      <c r="J1251" s="5">
        <f t="shared" si="225"/>
        <v>28923</v>
      </c>
      <c r="K1251" s="5">
        <f t="shared" si="225"/>
        <v>4121749</v>
      </c>
      <c r="L1251" s="5">
        <f t="shared" si="225"/>
        <v>2768691</v>
      </c>
      <c r="N1251" s="5" t="str">
        <f>SUM(N1245:N1252)</f>
        <v>#REF!</v>
      </c>
      <c r="P1251" s="3"/>
      <c r="Q1251" s="3"/>
      <c r="R1251" s="3"/>
      <c r="S1251" s="3"/>
      <c r="T1251" s="3"/>
      <c r="U1251" s="3"/>
      <c r="V1251" s="3"/>
      <c r="W1251" s="3"/>
      <c r="X1251" s="3"/>
      <c r="Y1251" s="3"/>
      <c r="Z1251" s="3"/>
      <c r="AA1251" s="3"/>
      <c r="AB1251" s="3"/>
      <c r="AC1251" s="3"/>
      <c r="AD1251" s="3"/>
      <c r="AE1251" s="3"/>
      <c r="AF1251" s="3"/>
      <c r="AG1251" s="3"/>
    </row>
    <row r="1252">
      <c r="A1252" s="2">
        <v>2019.0</v>
      </c>
      <c r="B1252" s="1" t="s">
        <v>213</v>
      </c>
      <c r="D1252" s="5" t="s">
        <v>155</v>
      </c>
      <c r="P1252" s="3"/>
      <c r="Q1252" s="3"/>
      <c r="R1252" s="3"/>
      <c r="S1252" s="3"/>
      <c r="T1252" s="3"/>
      <c r="U1252" s="3"/>
      <c r="V1252" s="3"/>
      <c r="W1252" s="3"/>
      <c r="X1252" s="3"/>
      <c r="Y1252" s="3"/>
      <c r="Z1252" s="3"/>
      <c r="AA1252" s="3"/>
      <c r="AB1252" s="3"/>
      <c r="AC1252" s="3"/>
      <c r="AD1252" s="3"/>
      <c r="AE1252" s="3"/>
      <c r="AF1252" s="3"/>
      <c r="AG1252" s="3"/>
    </row>
    <row r="1253">
      <c r="A1253" s="2">
        <v>2019.0</v>
      </c>
      <c r="B1253" s="1" t="s">
        <v>213</v>
      </c>
      <c r="D1253" s="5" t="s">
        <v>155</v>
      </c>
      <c r="F1253" s="5">
        <v>277737.0</v>
      </c>
      <c r="I1253" s="5">
        <v>1429127.0</v>
      </c>
      <c r="J1253" s="5">
        <v>21795.0</v>
      </c>
      <c r="K1253" s="5">
        <v>1728659.0</v>
      </c>
      <c r="L1253" s="5">
        <v>1337905.0</v>
      </c>
      <c r="N1253" s="5">
        <v>390754.0</v>
      </c>
      <c r="P1253" s="3"/>
      <c r="Q1253" s="3"/>
      <c r="R1253" s="3"/>
      <c r="S1253" s="3"/>
      <c r="T1253" s="3"/>
      <c r="U1253" s="3"/>
      <c r="V1253" s="3"/>
      <c r="W1253" s="3"/>
      <c r="X1253" s="3"/>
      <c r="Y1253" s="3"/>
      <c r="Z1253" s="3"/>
      <c r="AA1253" s="3"/>
      <c r="AB1253" s="3"/>
      <c r="AC1253" s="3"/>
      <c r="AD1253" s="3"/>
      <c r="AE1253" s="3"/>
      <c r="AF1253" s="3"/>
      <c r="AG1253" s="3"/>
    </row>
    <row r="1254">
      <c r="A1254" s="2">
        <v>2019.0</v>
      </c>
      <c r="B1254" s="1" t="s">
        <v>213</v>
      </c>
      <c r="D1254" s="5" t="s">
        <v>155</v>
      </c>
      <c r="F1254" s="5">
        <v>348350.0</v>
      </c>
      <c r="I1254" s="5">
        <v>100000.0</v>
      </c>
      <c r="J1254" s="5">
        <v>11471.0</v>
      </c>
      <c r="K1254" s="5">
        <v>459821.0</v>
      </c>
      <c r="L1254" s="5">
        <v>446254.0</v>
      </c>
      <c r="N1254" s="5">
        <v>13567.0</v>
      </c>
      <c r="P1254" s="3"/>
      <c r="Q1254" s="3"/>
      <c r="R1254" s="3"/>
      <c r="S1254" s="3"/>
      <c r="T1254" s="3"/>
      <c r="U1254" s="3"/>
      <c r="V1254" s="3"/>
      <c r="W1254" s="3"/>
      <c r="X1254" s="3"/>
      <c r="Y1254" s="3"/>
      <c r="Z1254" s="3"/>
      <c r="AA1254" s="3"/>
      <c r="AB1254" s="3"/>
      <c r="AC1254" s="3"/>
      <c r="AD1254" s="3"/>
      <c r="AE1254" s="3"/>
      <c r="AF1254" s="3"/>
      <c r="AG1254" s="3"/>
    </row>
    <row r="1255">
      <c r="A1255" s="2">
        <v>2019.0</v>
      </c>
      <c r="B1255" s="1" t="s">
        <v>213</v>
      </c>
      <c r="D1255" s="5" t="s">
        <v>155</v>
      </c>
      <c r="F1255" s="5">
        <v>1277.0</v>
      </c>
      <c r="I1255" s="5">
        <v>365462.0</v>
      </c>
      <c r="J1255" s="5">
        <v>50.0</v>
      </c>
      <c r="K1255" s="5">
        <v>366789.0</v>
      </c>
      <c r="L1255" s="5">
        <v>136369.0</v>
      </c>
      <c r="N1255" s="5">
        <v>230420.0</v>
      </c>
      <c r="P1255" s="3"/>
      <c r="Q1255" s="3"/>
      <c r="R1255" s="3"/>
      <c r="S1255" s="3"/>
      <c r="T1255" s="3"/>
      <c r="U1255" s="3"/>
      <c r="V1255" s="3"/>
      <c r="W1255" s="3"/>
      <c r="X1255" s="3"/>
      <c r="Y1255" s="3"/>
      <c r="Z1255" s="3"/>
      <c r="AA1255" s="3"/>
      <c r="AB1255" s="3"/>
      <c r="AC1255" s="3"/>
      <c r="AD1255" s="3"/>
      <c r="AE1255" s="3"/>
      <c r="AF1255" s="3"/>
      <c r="AG1255" s="3"/>
    </row>
    <row r="1256">
      <c r="A1256" s="2">
        <v>2019.0</v>
      </c>
      <c r="B1256" s="1" t="s">
        <v>213</v>
      </c>
      <c r="D1256" s="5" t="s">
        <v>155</v>
      </c>
      <c r="F1256" s="5">
        <v>9119.0</v>
      </c>
      <c r="I1256" s="5">
        <v>364566.0</v>
      </c>
      <c r="J1256" s="5">
        <v>4162.0</v>
      </c>
      <c r="K1256" s="5">
        <v>377847.0</v>
      </c>
      <c r="L1256" s="5">
        <v>233603.0</v>
      </c>
      <c r="N1256" s="5">
        <v>144244.0</v>
      </c>
      <c r="P1256" s="3"/>
      <c r="Q1256" s="3"/>
      <c r="R1256" s="3"/>
      <c r="S1256" s="3"/>
      <c r="T1256" s="3"/>
      <c r="U1256" s="3"/>
      <c r="V1256" s="3"/>
      <c r="W1256" s="3"/>
      <c r="X1256" s="3"/>
      <c r="Y1256" s="3"/>
      <c r="Z1256" s="3"/>
      <c r="AA1256" s="3"/>
      <c r="AB1256" s="3"/>
      <c r="AC1256" s="3"/>
      <c r="AD1256" s="3"/>
      <c r="AE1256" s="3"/>
      <c r="AF1256" s="3"/>
      <c r="AG1256" s="3"/>
    </row>
    <row r="1257">
      <c r="A1257" s="2">
        <v>2019.0</v>
      </c>
      <c r="B1257" s="1" t="s">
        <v>213</v>
      </c>
      <c r="D1257" s="5" t="s">
        <v>155</v>
      </c>
      <c r="F1257" s="5" t="s">
        <v>1403</v>
      </c>
      <c r="P1257" s="3"/>
      <c r="Q1257" s="3"/>
      <c r="R1257" s="3"/>
      <c r="S1257" s="3"/>
      <c r="T1257" s="3"/>
      <c r="U1257" s="3"/>
      <c r="V1257" s="3"/>
      <c r="W1257" s="3"/>
      <c r="X1257" s="3"/>
      <c r="Y1257" s="3"/>
      <c r="Z1257" s="3"/>
      <c r="AA1257" s="3"/>
      <c r="AB1257" s="3"/>
      <c r="AC1257" s="3"/>
      <c r="AD1257" s="3"/>
      <c r="AE1257" s="3"/>
      <c r="AF1257" s="3"/>
      <c r="AG1257" s="3"/>
    </row>
    <row r="1258">
      <c r="A1258" s="2">
        <v>2019.0</v>
      </c>
      <c r="B1258" s="1" t="s">
        <v>213</v>
      </c>
      <c r="D1258" s="5" t="s">
        <v>289</v>
      </c>
      <c r="F1258" s="5">
        <f>SUM(F1253:F1257)</f>
        <v>636483</v>
      </c>
      <c r="I1258" s="5">
        <f t="shared" ref="I1258:L1258" si="226">SUM(I1253:I1257)</f>
        <v>2259155</v>
      </c>
      <c r="J1258" s="5">
        <f t="shared" si="226"/>
        <v>37478</v>
      </c>
      <c r="K1258" s="5">
        <f t="shared" si="226"/>
        <v>2933116</v>
      </c>
      <c r="L1258" s="5">
        <f t="shared" si="226"/>
        <v>2154131</v>
      </c>
      <c r="N1258" s="5">
        <f>SUM(N1253:N1257)</f>
        <v>778985</v>
      </c>
      <c r="P1258" s="3"/>
      <c r="Q1258" s="3"/>
      <c r="R1258" s="3"/>
      <c r="S1258" s="3"/>
      <c r="T1258" s="3"/>
      <c r="U1258" s="3"/>
      <c r="V1258" s="3"/>
      <c r="W1258" s="3"/>
      <c r="X1258" s="3"/>
      <c r="Y1258" s="3"/>
      <c r="Z1258" s="3"/>
      <c r="AA1258" s="3"/>
      <c r="AB1258" s="3"/>
      <c r="AC1258" s="3"/>
      <c r="AD1258" s="3"/>
      <c r="AE1258" s="3"/>
      <c r="AF1258" s="3"/>
      <c r="AG1258" s="3"/>
    </row>
    <row r="1259">
      <c r="A1259" s="2">
        <v>2019.0</v>
      </c>
      <c r="B1259" s="1" t="s">
        <v>213</v>
      </c>
      <c r="D1259" s="5" t="s">
        <v>1548</v>
      </c>
      <c r="F1259" s="5">
        <v>151364.0</v>
      </c>
      <c r="I1259" s="5">
        <v>2015527.0</v>
      </c>
      <c r="J1259" s="5">
        <v>20091.0</v>
      </c>
      <c r="K1259" s="5">
        <v>2186982.0</v>
      </c>
      <c r="L1259" s="5">
        <v>1972297.0</v>
      </c>
      <c r="N1259" s="5">
        <v>214685.0</v>
      </c>
      <c r="P1259" s="3"/>
      <c r="Q1259" s="3"/>
      <c r="R1259" s="3"/>
      <c r="S1259" s="3"/>
      <c r="T1259" s="3"/>
      <c r="U1259" s="3"/>
      <c r="V1259" s="3"/>
      <c r="W1259" s="3"/>
      <c r="X1259" s="3"/>
      <c r="Y1259" s="3"/>
      <c r="Z1259" s="3"/>
      <c r="AA1259" s="3"/>
      <c r="AB1259" s="3"/>
      <c r="AC1259" s="3"/>
      <c r="AD1259" s="3"/>
      <c r="AE1259" s="3"/>
      <c r="AF1259" s="3"/>
      <c r="AG1259" s="3"/>
    </row>
    <row r="1260">
      <c r="A1260" s="2">
        <v>2019.0</v>
      </c>
      <c r="B1260" s="1" t="s">
        <v>213</v>
      </c>
      <c r="D1260" s="5" t="s">
        <v>1549</v>
      </c>
      <c r="F1260" s="5">
        <v>142500.0</v>
      </c>
      <c r="I1260" s="5">
        <v>1062.0</v>
      </c>
      <c r="K1260" s="5">
        <v>143562.0</v>
      </c>
      <c r="L1260" s="5">
        <v>138769.0</v>
      </c>
      <c r="N1260" s="5">
        <v>4793.0</v>
      </c>
      <c r="P1260" s="3"/>
      <c r="Q1260" s="3"/>
      <c r="R1260" s="3"/>
      <c r="S1260" s="3"/>
      <c r="T1260" s="3"/>
      <c r="U1260" s="3"/>
      <c r="V1260" s="3"/>
      <c r="W1260" s="3"/>
      <c r="X1260" s="3"/>
      <c r="Y1260" s="3"/>
      <c r="Z1260" s="3"/>
      <c r="AA1260" s="3"/>
      <c r="AB1260" s="3"/>
      <c r="AC1260" s="3"/>
      <c r="AD1260" s="3"/>
      <c r="AE1260" s="3"/>
      <c r="AF1260" s="3"/>
      <c r="AG1260" s="3"/>
    </row>
    <row r="1261">
      <c r="A1261" s="2">
        <v>2019.0</v>
      </c>
      <c r="B1261" s="1" t="s">
        <v>213</v>
      </c>
      <c r="D1261" s="5" t="s">
        <v>1550</v>
      </c>
      <c r="F1261" s="5">
        <v>121103.0</v>
      </c>
      <c r="I1261" s="5">
        <v>1515.0</v>
      </c>
      <c r="K1261" s="5">
        <v>122618.0</v>
      </c>
      <c r="L1261" s="5">
        <v>52588.0</v>
      </c>
      <c r="N1261" s="5">
        <v>70030.0</v>
      </c>
      <c r="P1261" s="3"/>
      <c r="Q1261" s="3"/>
      <c r="R1261" s="3"/>
      <c r="S1261" s="3"/>
      <c r="T1261" s="3"/>
      <c r="U1261" s="3"/>
      <c r="V1261" s="3"/>
      <c r="W1261" s="3"/>
      <c r="X1261" s="3"/>
      <c r="Y1261" s="3"/>
      <c r="Z1261" s="3"/>
      <c r="AA1261" s="3"/>
      <c r="AB1261" s="3"/>
      <c r="AC1261" s="3"/>
      <c r="AD1261" s="3"/>
      <c r="AE1261" s="3"/>
      <c r="AF1261" s="3"/>
      <c r="AG1261" s="3"/>
    </row>
    <row r="1262">
      <c r="A1262" s="2">
        <v>2019.0</v>
      </c>
      <c r="B1262" s="1" t="s">
        <v>213</v>
      </c>
      <c r="D1262" s="5" t="s">
        <v>1551</v>
      </c>
      <c r="F1262" s="5" t="s">
        <v>1403</v>
      </c>
      <c r="P1262" s="3"/>
      <c r="Q1262" s="3"/>
      <c r="R1262" s="3"/>
      <c r="S1262" s="3"/>
      <c r="T1262" s="3"/>
      <c r="U1262" s="3"/>
      <c r="V1262" s="3"/>
      <c r="W1262" s="3"/>
      <c r="X1262" s="3"/>
      <c r="Y1262" s="3"/>
      <c r="Z1262" s="3"/>
      <c r="AA1262" s="3"/>
      <c r="AB1262" s="3"/>
      <c r="AC1262" s="3"/>
      <c r="AD1262" s="3"/>
      <c r="AE1262" s="3"/>
      <c r="AF1262" s="3"/>
      <c r="AG1262" s="3"/>
    </row>
    <row r="1263">
      <c r="A1263" s="2">
        <v>2019.0</v>
      </c>
      <c r="B1263" s="1" t="s">
        <v>213</v>
      </c>
      <c r="D1263" s="5" t="s">
        <v>1373</v>
      </c>
      <c r="F1263" s="5">
        <f>SUM(F1259:F1262)</f>
        <v>414967</v>
      </c>
      <c r="I1263" s="5">
        <f t="shared" ref="I1263:L1263" si="227">SUM(I1259:I1262)</f>
        <v>2018104</v>
      </c>
      <c r="J1263" s="5">
        <f t="shared" si="227"/>
        <v>20091</v>
      </c>
      <c r="K1263" s="5">
        <f t="shared" si="227"/>
        <v>2453162</v>
      </c>
      <c r="L1263" s="5">
        <f t="shared" si="227"/>
        <v>2163654</v>
      </c>
      <c r="N1263" s="5">
        <f>SUM(N1259:N1262)</f>
        <v>289508</v>
      </c>
      <c r="P1263" s="3"/>
      <c r="Q1263" s="3"/>
      <c r="R1263" s="3"/>
      <c r="S1263" s="3"/>
      <c r="T1263" s="3"/>
      <c r="U1263" s="3"/>
      <c r="V1263" s="3"/>
      <c r="W1263" s="3"/>
      <c r="X1263" s="3"/>
      <c r="Y1263" s="3"/>
      <c r="Z1263" s="3"/>
      <c r="AA1263" s="3"/>
      <c r="AB1263" s="3"/>
      <c r="AC1263" s="3"/>
      <c r="AD1263" s="3"/>
      <c r="AE1263" s="3"/>
      <c r="AF1263" s="3"/>
      <c r="AG1263" s="3"/>
    </row>
    <row r="1264">
      <c r="A1264" s="2">
        <v>2019.0</v>
      </c>
      <c r="B1264" s="1" t="s">
        <v>213</v>
      </c>
      <c r="D1264" s="5" t="s">
        <v>1552</v>
      </c>
      <c r="F1264" s="5">
        <v>399555.0</v>
      </c>
      <c r="I1264" s="5">
        <v>1249127.0</v>
      </c>
      <c r="J1264" s="5">
        <v>17066.0</v>
      </c>
      <c r="K1264" s="5">
        <v>1665748.0</v>
      </c>
      <c r="L1264" s="5">
        <v>1508518.0</v>
      </c>
      <c r="N1264" s="5">
        <v>157230.0</v>
      </c>
      <c r="P1264" s="3"/>
      <c r="Q1264" s="3"/>
      <c r="R1264" s="3"/>
      <c r="S1264" s="3"/>
      <c r="T1264" s="3"/>
      <c r="U1264" s="3"/>
      <c r="V1264" s="3"/>
      <c r="W1264" s="3"/>
      <c r="X1264" s="3"/>
      <c r="Y1264" s="3"/>
      <c r="Z1264" s="3"/>
      <c r="AA1264" s="3"/>
      <c r="AB1264" s="3"/>
      <c r="AC1264" s="3"/>
      <c r="AD1264" s="3"/>
      <c r="AE1264" s="3"/>
      <c r="AF1264" s="3"/>
      <c r="AG1264" s="3"/>
    </row>
    <row r="1265">
      <c r="A1265" s="2">
        <v>2019.0</v>
      </c>
      <c r="B1265" s="1" t="s">
        <v>213</v>
      </c>
      <c r="D1265" s="5" t="s">
        <v>1553</v>
      </c>
      <c r="F1265" s="5">
        <v>349154.0</v>
      </c>
      <c r="I1265" s="5">
        <v>100000.0</v>
      </c>
      <c r="J1265" s="5">
        <v>5352.0</v>
      </c>
      <c r="K1265" s="5">
        <v>454506.0</v>
      </c>
      <c r="L1265" s="5">
        <v>438769.0</v>
      </c>
      <c r="N1265" s="5">
        <v>15737.0</v>
      </c>
      <c r="P1265" s="3"/>
      <c r="Q1265" s="3"/>
      <c r="R1265" s="3"/>
      <c r="S1265" s="3"/>
      <c r="T1265" s="3"/>
      <c r="U1265" s="3"/>
      <c r="V1265" s="3"/>
      <c r="W1265" s="3"/>
      <c r="X1265" s="3"/>
      <c r="Y1265" s="3"/>
      <c r="Z1265" s="3"/>
      <c r="AA1265" s="3"/>
      <c r="AB1265" s="3"/>
      <c r="AC1265" s="3"/>
      <c r="AD1265" s="3"/>
      <c r="AE1265" s="3"/>
      <c r="AF1265" s="3"/>
      <c r="AG1265" s="3"/>
    </row>
    <row r="1266">
      <c r="A1266" s="2">
        <v>2019.0</v>
      </c>
      <c r="B1266" s="1" t="s">
        <v>213</v>
      </c>
      <c r="D1266" s="5" t="s">
        <v>1554</v>
      </c>
      <c r="F1266" s="5">
        <v>50996.0</v>
      </c>
      <c r="I1266" s="5">
        <v>335400.0</v>
      </c>
      <c r="J1266" s="5">
        <v>2106.0</v>
      </c>
      <c r="K1266" s="5">
        <v>388502.0</v>
      </c>
      <c r="L1266" s="5">
        <v>115200.0</v>
      </c>
      <c r="N1266" s="5">
        <v>273302.0</v>
      </c>
      <c r="P1266" s="3"/>
      <c r="Q1266" s="3"/>
      <c r="R1266" s="3"/>
      <c r="S1266" s="3"/>
      <c r="T1266" s="3"/>
      <c r="U1266" s="3"/>
      <c r="V1266" s="3"/>
      <c r="W1266" s="3"/>
      <c r="X1266" s="3"/>
      <c r="Y1266" s="3"/>
      <c r="Z1266" s="3"/>
      <c r="AA1266" s="3"/>
      <c r="AB1266" s="3"/>
      <c r="AC1266" s="3"/>
      <c r="AD1266" s="3"/>
      <c r="AE1266" s="3"/>
      <c r="AF1266" s="3"/>
      <c r="AG1266" s="3"/>
    </row>
    <row r="1267">
      <c r="A1267" s="2">
        <v>2019.0</v>
      </c>
      <c r="B1267" s="1" t="s">
        <v>213</v>
      </c>
      <c r="D1267" s="5" t="s">
        <v>1555</v>
      </c>
      <c r="F1267" s="5" t="s">
        <v>1403</v>
      </c>
      <c r="K1267" s="5">
        <v>0.0</v>
      </c>
      <c r="P1267" s="3"/>
      <c r="Q1267" s="3"/>
      <c r="R1267" s="3"/>
      <c r="S1267" s="3"/>
      <c r="T1267" s="3"/>
      <c r="U1267" s="3"/>
      <c r="V1267" s="3"/>
      <c r="W1267" s="3"/>
      <c r="X1267" s="3"/>
      <c r="Y1267" s="3"/>
      <c r="Z1267" s="3"/>
      <c r="AA1267" s="3"/>
      <c r="AB1267" s="3"/>
      <c r="AC1267" s="3"/>
      <c r="AD1267" s="3"/>
      <c r="AE1267" s="3"/>
      <c r="AF1267" s="3"/>
      <c r="AG1267" s="3"/>
    </row>
    <row r="1268">
      <c r="A1268" s="2">
        <v>2019.0</v>
      </c>
      <c r="B1268" s="1" t="s">
        <v>213</v>
      </c>
      <c r="D1268" s="5" t="s">
        <v>1556</v>
      </c>
      <c r="F1268" s="5">
        <v>2857.0</v>
      </c>
      <c r="I1268" s="5">
        <v>50000.0</v>
      </c>
      <c r="J1268" s="5">
        <v>564.0</v>
      </c>
      <c r="K1268" s="5">
        <v>53421.0</v>
      </c>
      <c r="L1268" s="5">
        <v>51678.0</v>
      </c>
      <c r="N1268" s="5">
        <v>1743.0</v>
      </c>
      <c r="P1268" s="3"/>
      <c r="Q1268" s="3"/>
      <c r="R1268" s="3"/>
      <c r="S1268" s="3"/>
      <c r="T1268" s="3"/>
      <c r="U1268" s="3"/>
      <c r="V1268" s="3"/>
      <c r="W1268" s="3"/>
      <c r="X1268" s="3"/>
      <c r="Y1268" s="3"/>
      <c r="Z1268" s="3"/>
      <c r="AA1268" s="3"/>
      <c r="AB1268" s="3"/>
      <c r="AC1268" s="3"/>
      <c r="AD1268" s="3"/>
      <c r="AE1268" s="3"/>
      <c r="AF1268" s="3"/>
      <c r="AG1268" s="3"/>
    </row>
    <row r="1269">
      <c r="A1269" s="2">
        <v>2019.0</v>
      </c>
      <c r="B1269" s="1" t="s">
        <v>213</v>
      </c>
      <c r="D1269" s="5" t="s">
        <v>1383</v>
      </c>
      <c r="F1269" s="5">
        <f>SUM(F1264:F1268)</f>
        <v>802562</v>
      </c>
      <c r="I1269" s="5">
        <f t="shared" ref="I1269:L1269" si="228">SUM(I1264:I1268)</f>
        <v>1734527</v>
      </c>
      <c r="J1269" s="5">
        <f t="shared" si="228"/>
        <v>25088</v>
      </c>
      <c r="K1269" s="5">
        <f t="shared" si="228"/>
        <v>2562177</v>
      </c>
      <c r="L1269" s="5">
        <f t="shared" si="228"/>
        <v>2114165</v>
      </c>
      <c r="N1269" s="5">
        <f>SUM(N1264:N1268)</f>
        <v>448012</v>
      </c>
      <c r="P1269" s="3"/>
      <c r="Q1269" s="3"/>
      <c r="R1269" s="3"/>
      <c r="S1269" s="3"/>
      <c r="T1269" s="3"/>
      <c r="U1269" s="3"/>
      <c r="V1269" s="3"/>
      <c r="W1269" s="3"/>
      <c r="X1269" s="3"/>
      <c r="Y1269" s="3"/>
      <c r="Z1269" s="3"/>
      <c r="AA1269" s="3"/>
      <c r="AB1269" s="3"/>
      <c r="AC1269" s="3"/>
      <c r="AD1269" s="3"/>
      <c r="AE1269" s="3"/>
      <c r="AF1269" s="3"/>
      <c r="AG1269" s="3"/>
    </row>
    <row r="1270">
      <c r="A1270" s="2">
        <v>2019.0</v>
      </c>
      <c r="B1270" s="1" t="s">
        <v>213</v>
      </c>
      <c r="D1270" s="5" t="s">
        <v>1557</v>
      </c>
      <c r="F1270" s="5">
        <v>193217.0</v>
      </c>
      <c r="I1270" s="5">
        <v>703127.0</v>
      </c>
      <c r="J1270" s="5">
        <v>12963.0</v>
      </c>
      <c r="K1270" s="5">
        <v>909307.0</v>
      </c>
      <c r="L1270" s="5">
        <v>752924.0</v>
      </c>
      <c r="N1270" s="5">
        <v>156383.0</v>
      </c>
      <c r="P1270" s="3"/>
      <c r="Q1270" s="3"/>
      <c r="R1270" s="3"/>
      <c r="S1270" s="3"/>
      <c r="T1270" s="3"/>
      <c r="U1270" s="3"/>
      <c r="V1270" s="3"/>
      <c r="W1270" s="3"/>
      <c r="X1270" s="3"/>
      <c r="Y1270" s="3"/>
      <c r="Z1270" s="3"/>
      <c r="AA1270" s="3"/>
      <c r="AB1270" s="3"/>
      <c r="AC1270" s="3"/>
      <c r="AD1270" s="3"/>
      <c r="AE1270" s="3"/>
      <c r="AF1270" s="3"/>
      <c r="AG1270" s="3"/>
    </row>
    <row r="1271">
      <c r="A1271" s="2">
        <v>2019.0</v>
      </c>
      <c r="B1271" s="1" t="s">
        <v>213</v>
      </c>
      <c r="D1271" s="5" t="s">
        <v>1558</v>
      </c>
      <c r="K1271" s="5">
        <v>0.0</v>
      </c>
      <c r="P1271" s="3"/>
      <c r="Q1271" s="3"/>
      <c r="R1271" s="3"/>
      <c r="S1271" s="3"/>
      <c r="T1271" s="3"/>
      <c r="U1271" s="3"/>
      <c r="V1271" s="3"/>
      <c r="W1271" s="3"/>
      <c r="X1271" s="3"/>
      <c r="Y1271" s="3"/>
      <c r="Z1271" s="3"/>
      <c r="AA1271" s="3"/>
      <c r="AB1271" s="3"/>
      <c r="AC1271" s="3"/>
      <c r="AD1271" s="3"/>
      <c r="AE1271" s="3"/>
      <c r="AF1271" s="3"/>
      <c r="AG1271" s="3"/>
    </row>
    <row r="1272">
      <c r="A1272" s="2">
        <v>2019.0</v>
      </c>
      <c r="B1272" s="1" t="s">
        <v>213</v>
      </c>
      <c r="D1272" s="5" t="s">
        <v>1559</v>
      </c>
      <c r="F1272" s="5">
        <v>4514.0</v>
      </c>
      <c r="I1272" s="5">
        <v>274400.0</v>
      </c>
      <c r="K1272" s="5">
        <v>278914.0</v>
      </c>
      <c r="L1272" s="5">
        <v>134400.0</v>
      </c>
      <c r="N1272" s="5">
        <v>144514.0</v>
      </c>
      <c r="P1272" s="3"/>
      <c r="Q1272" s="3"/>
      <c r="R1272" s="3"/>
      <c r="S1272" s="3"/>
      <c r="T1272" s="3"/>
      <c r="U1272" s="3"/>
      <c r="V1272" s="3"/>
      <c r="W1272" s="3"/>
      <c r="X1272" s="3"/>
      <c r="Y1272" s="3"/>
      <c r="Z1272" s="3"/>
      <c r="AA1272" s="3"/>
      <c r="AB1272" s="3"/>
      <c r="AC1272" s="3"/>
      <c r="AD1272" s="3"/>
      <c r="AE1272" s="3"/>
      <c r="AF1272" s="3"/>
      <c r="AG1272" s="3"/>
    </row>
    <row r="1273">
      <c r="A1273" s="2">
        <v>2019.0</v>
      </c>
      <c r="B1273" s="1" t="s">
        <v>213</v>
      </c>
      <c r="D1273" s="5" t="s">
        <v>1560</v>
      </c>
      <c r="F1273" s="5" t="s">
        <v>1403</v>
      </c>
      <c r="K1273" s="5">
        <v>0.0</v>
      </c>
      <c r="P1273" s="3"/>
      <c r="Q1273" s="3"/>
      <c r="R1273" s="3"/>
      <c r="S1273" s="3"/>
      <c r="T1273" s="3"/>
      <c r="U1273" s="3"/>
      <c r="V1273" s="3"/>
      <c r="W1273" s="3"/>
      <c r="X1273" s="3"/>
      <c r="Y1273" s="3"/>
      <c r="Z1273" s="3"/>
      <c r="AA1273" s="3"/>
      <c r="AB1273" s="3"/>
      <c r="AC1273" s="3"/>
      <c r="AD1273" s="3"/>
      <c r="AE1273" s="3"/>
      <c r="AF1273" s="3"/>
      <c r="AG1273" s="3"/>
    </row>
    <row r="1274">
      <c r="A1274" s="2">
        <v>2019.0</v>
      </c>
      <c r="B1274" s="1" t="s">
        <v>213</v>
      </c>
      <c r="D1274" s="5" t="s">
        <v>1561</v>
      </c>
      <c r="F1274" s="5" t="s">
        <v>1403</v>
      </c>
      <c r="K1274" s="5">
        <v>0.0</v>
      </c>
      <c r="P1274" s="3"/>
      <c r="Q1274" s="3"/>
      <c r="R1274" s="3"/>
      <c r="S1274" s="3"/>
      <c r="T1274" s="3"/>
      <c r="U1274" s="3"/>
      <c r="V1274" s="3"/>
      <c r="W1274" s="3"/>
      <c r="X1274" s="3"/>
      <c r="Y1274" s="3"/>
      <c r="Z1274" s="3"/>
      <c r="AA1274" s="3"/>
      <c r="AB1274" s="3"/>
      <c r="AC1274" s="3"/>
      <c r="AD1274" s="3"/>
      <c r="AE1274" s="3"/>
      <c r="AF1274" s="3"/>
      <c r="AG1274" s="3"/>
    </row>
    <row r="1275">
      <c r="A1275" s="2">
        <v>2019.0</v>
      </c>
      <c r="B1275" s="1" t="s">
        <v>213</v>
      </c>
      <c r="D1275" s="5" t="s">
        <v>1562</v>
      </c>
      <c r="F1275" s="5">
        <v>1000.0</v>
      </c>
      <c r="I1275" s="5">
        <v>1256000.0</v>
      </c>
      <c r="J1275" s="5">
        <v>35503.0</v>
      </c>
      <c r="K1275" s="5">
        <v>1292503.0</v>
      </c>
      <c r="L1275" s="5">
        <v>411788.0</v>
      </c>
      <c r="N1275" s="5">
        <v>880715.0</v>
      </c>
      <c r="P1275" s="3"/>
      <c r="Q1275" s="3"/>
      <c r="R1275" s="3"/>
      <c r="S1275" s="3"/>
      <c r="T1275" s="3"/>
      <c r="U1275" s="3"/>
      <c r="V1275" s="3"/>
      <c r="W1275" s="3"/>
      <c r="X1275" s="3"/>
      <c r="Y1275" s="3"/>
      <c r="Z1275" s="3"/>
      <c r="AA1275" s="3"/>
      <c r="AB1275" s="3"/>
      <c r="AC1275" s="3"/>
      <c r="AD1275" s="3"/>
      <c r="AE1275" s="3"/>
      <c r="AF1275" s="3"/>
      <c r="AG1275" s="3"/>
    </row>
    <row r="1276">
      <c r="A1276" s="2">
        <v>2019.0</v>
      </c>
      <c r="B1276" s="1" t="s">
        <v>213</v>
      </c>
      <c r="D1276" s="5" t="s">
        <v>163</v>
      </c>
      <c r="F1276" s="5">
        <f>SUM(F1270:F1275)</f>
        <v>198731</v>
      </c>
      <c r="I1276" s="5">
        <f t="shared" ref="I1276:L1276" si="229">SUM(I1270:I1275)</f>
        <v>2233527</v>
      </c>
      <c r="J1276" s="5">
        <f t="shared" si="229"/>
        <v>48466</v>
      </c>
      <c r="K1276" s="5">
        <f t="shared" si="229"/>
        <v>2480724</v>
      </c>
      <c r="L1276" s="5">
        <f t="shared" si="229"/>
        <v>1299112</v>
      </c>
      <c r="N1276" s="5">
        <f>SUM(N1270:N1275)</f>
        <v>1181612</v>
      </c>
      <c r="P1276" s="3"/>
      <c r="Q1276" s="3"/>
      <c r="R1276" s="3"/>
      <c r="S1276" s="3"/>
      <c r="T1276" s="3"/>
      <c r="U1276" s="3"/>
      <c r="V1276" s="3"/>
      <c r="W1276" s="3"/>
      <c r="X1276" s="3"/>
      <c r="Y1276" s="3"/>
      <c r="Z1276" s="3"/>
      <c r="AA1276" s="3"/>
      <c r="AB1276" s="3"/>
      <c r="AC1276" s="3"/>
      <c r="AD1276" s="3"/>
      <c r="AE1276" s="3"/>
      <c r="AF1276" s="3"/>
      <c r="AG1276" s="3"/>
    </row>
    <row r="1277">
      <c r="A1277" s="2">
        <v>2019.0</v>
      </c>
      <c r="B1277" s="1" t="s">
        <v>213</v>
      </c>
      <c r="D1277" s="5" t="s">
        <v>163</v>
      </c>
      <c r="F1277" s="5">
        <v>173052.0</v>
      </c>
      <c r="I1277" s="5">
        <v>1611127.0</v>
      </c>
      <c r="J1277" s="5">
        <v>15556.0</v>
      </c>
      <c r="K1277" s="5">
        <v>1799735.0</v>
      </c>
      <c r="L1277" s="5">
        <v>1348779.0</v>
      </c>
      <c r="N1277" s="5">
        <v>450956.0</v>
      </c>
      <c r="P1277" s="3"/>
      <c r="Q1277" s="3"/>
      <c r="R1277" s="3"/>
      <c r="S1277" s="3"/>
      <c r="T1277" s="3"/>
      <c r="U1277" s="3"/>
      <c r="V1277" s="3"/>
      <c r="W1277" s="3"/>
      <c r="X1277" s="3"/>
      <c r="Y1277" s="3"/>
      <c r="Z1277" s="3"/>
      <c r="AA1277" s="3"/>
      <c r="AB1277" s="3"/>
      <c r="AC1277" s="3"/>
      <c r="AD1277" s="3"/>
      <c r="AE1277" s="3"/>
      <c r="AF1277" s="3"/>
      <c r="AG1277" s="3"/>
    </row>
    <row r="1278">
      <c r="A1278" s="2">
        <v>2019.0</v>
      </c>
      <c r="B1278" s="1" t="s">
        <v>213</v>
      </c>
      <c r="D1278" s="5" t="s">
        <v>163</v>
      </c>
      <c r="F1278" s="5">
        <v>317522.0</v>
      </c>
      <c r="I1278" s="5">
        <v>7595.0</v>
      </c>
      <c r="K1278" s="5">
        <v>325117.0</v>
      </c>
      <c r="L1278" s="5">
        <v>204776.0</v>
      </c>
      <c r="N1278" s="5">
        <v>120341.0</v>
      </c>
      <c r="P1278" s="3"/>
      <c r="Q1278" s="3"/>
      <c r="R1278" s="3"/>
      <c r="S1278" s="3"/>
      <c r="T1278" s="3"/>
      <c r="U1278" s="3"/>
      <c r="V1278" s="3"/>
      <c r="W1278" s="3"/>
      <c r="X1278" s="3"/>
      <c r="Y1278" s="3"/>
      <c r="Z1278" s="3"/>
      <c r="AA1278" s="3"/>
      <c r="AB1278" s="3"/>
      <c r="AC1278" s="3"/>
      <c r="AD1278" s="3"/>
      <c r="AE1278" s="3"/>
      <c r="AF1278" s="3"/>
      <c r="AG1278" s="3"/>
    </row>
    <row r="1279">
      <c r="A1279" s="2">
        <v>2019.0</v>
      </c>
      <c r="B1279" s="1" t="s">
        <v>213</v>
      </c>
      <c r="D1279" s="5" t="s">
        <v>163</v>
      </c>
      <c r="F1279" s="5">
        <v>2938.0</v>
      </c>
      <c r="I1279" s="5">
        <v>50000.0</v>
      </c>
      <c r="J1279" s="5">
        <v>384.0</v>
      </c>
      <c r="K1279" s="5">
        <v>53322.0</v>
      </c>
      <c r="L1279" s="5">
        <v>43210.0</v>
      </c>
      <c r="N1279" s="5">
        <v>10112.0</v>
      </c>
      <c r="P1279" s="3"/>
      <c r="Q1279" s="3"/>
      <c r="R1279" s="3"/>
      <c r="S1279" s="3"/>
      <c r="T1279" s="3"/>
      <c r="U1279" s="3"/>
      <c r="V1279" s="3"/>
      <c r="W1279" s="3"/>
      <c r="X1279" s="3"/>
      <c r="Y1279" s="3"/>
      <c r="Z1279" s="3"/>
      <c r="AA1279" s="3"/>
      <c r="AB1279" s="3"/>
      <c r="AC1279" s="3"/>
      <c r="AD1279" s="3"/>
      <c r="AE1279" s="3"/>
      <c r="AF1279" s="3"/>
      <c r="AG1279" s="3"/>
    </row>
    <row r="1280">
      <c r="A1280" s="2">
        <v>2019.0</v>
      </c>
      <c r="B1280" s="1" t="s">
        <v>213</v>
      </c>
      <c r="D1280" s="5" t="s">
        <v>163</v>
      </c>
      <c r="F1280" s="5">
        <v>132243.0</v>
      </c>
      <c r="I1280" s="5">
        <v>644222.0</v>
      </c>
      <c r="J1280" s="5">
        <v>2211.0</v>
      </c>
      <c r="K1280" s="5">
        <v>778676.0</v>
      </c>
      <c r="L1280" s="5">
        <v>776207.0</v>
      </c>
      <c r="N1280" s="5">
        <v>2469.0</v>
      </c>
      <c r="P1280" s="3"/>
      <c r="Q1280" s="3"/>
      <c r="R1280" s="3"/>
      <c r="S1280" s="3"/>
      <c r="T1280" s="3"/>
      <c r="U1280" s="3"/>
      <c r="V1280" s="3"/>
      <c r="W1280" s="3"/>
      <c r="X1280" s="3"/>
      <c r="Y1280" s="3"/>
      <c r="Z1280" s="3"/>
      <c r="AA1280" s="3"/>
      <c r="AB1280" s="3"/>
      <c r="AC1280" s="3"/>
      <c r="AD1280" s="3"/>
      <c r="AE1280" s="3"/>
      <c r="AF1280" s="3"/>
      <c r="AG1280" s="3"/>
    </row>
    <row r="1281">
      <c r="A1281" s="2">
        <v>2019.0</v>
      </c>
      <c r="B1281" s="1" t="s">
        <v>213</v>
      </c>
      <c r="D1281" s="5" t="s">
        <v>163</v>
      </c>
      <c r="F1281" s="5">
        <v>4365.0</v>
      </c>
      <c r="I1281" s="5">
        <v>14050.0</v>
      </c>
      <c r="J1281" s="5">
        <v>39.0</v>
      </c>
      <c r="K1281" s="5">
        <v>18454.0</v>
      </c>
      <c r="L1281" s="5">
        <v>5957.0</v>
      </c>
      <c r="N1281" s="5">
        <v>12497.0</v>
      </c>
      <c r="P1281" s="3"/>
      <c r="Q1281" s="3"/>
      <c r="R1281" s="3"/>
      <c r="S1281" s="3"/>
      <c r="T1281" s="3"/>
      <c r="U1281" s="3"/>
      <c r="V1281" s="3"/>
      <c r="W1281" s="3"/>
      <c r="X1281" s="3"/>
      <c r="Y1281" s="3"/>
      <c r="Z1281" s="3"/>
      <c r="AA1281" s="3"/>
      <c r="AB1281" s="3"/>
      <c r="AC1281" s="3"/>
      <c r="AD1281" s="3"/>
      <c r="AE1281" s="3"/>
      <c r="AF1281" s="3"/>
      <c r="AG1281" s="3"/>
    </row>
    <row r="1282">
      <c r="A1282" s="2">
        <v>2019.0</v>
      </c>
      <c r="B1282" s="1" t="s">
        <v>213</v>
      </c>
      <c r="D1282" s="5" t="s">
        <v>295</v>
      </c>
      <c r="F1282" s="5">
        <f>SUM(F1277:F1281)</f>
        <v>630120</v>
      </c>
      <c r="I1282" s="5">
        <f t="shared" ref="I1282:L1282" si="230">SUM(I1277:I1281)</f>
        <v>2326994</v>
      </c>
      <c r="J1282" s="5">
        <f t="shared" si="230"/>
        <v>18190</v>
      </c>
      <c r="K1282" s="5">
        <f t="shared" si="230"/>
        <v>2975304</v>
      </c>
      <c r="L1282" s="5">
        <f t="shared" si="230"/>
        <v>2378929</v>
      </c>
      <c r="N1282" s="5">
        <f>SUM(N1277:N1281)</f>
        <v>596375</v>
      </c>
      <c r="P1282" s="3"/>
      <c r="Q1282" s="3"/>
      <c r="R1282" s="3"/>
      <c r="S1282" s="3"/>
      <c r="T1282" s="3"/>
      <c r="U1282" s="3"/>
      <c r="V1282" s="3"/>
      <c r="W1282" s="3"/>
      <c r="X1282" s="3"/>
      <c r="Y1282" s="3"/>
      <c r="Z1282" s="3"/>
      <c r="AA1282" s="3"/>
      <c r="AB1282" s="3"/>
      <c r="AC1282" s="3"/>
      <c r="AD1282" s="3"/>
      <c r="AE1282" s="3"/>
      <c r="AF1282" s="3"/>
      <c r="AG1282" s="3"/>
    </row>
    <row r="1283">
      <c r="A1283" s="2">
        <v>2019.0</v>
      </c>
      <c r="B1283" s="1" t="s">
        <v>213</v>
      </c>
      <c r="D1283" s="5" t="s">
        <v>295</v>
      </c>
      <c r="F1283" s="5">
        <v>198419.0</v>
      </c>
      <c r="I1283" s="5">
        <v>603127.0</v>
      </c>
      <c r="J1283" s="5">
        <v>16829.0</v>
      </c>
      <c r="K1283" s="5">
        <v>818375.0</v>
      </c>
      <c r="L1283" s="5">
        <v>699131.0</v>
      </c>
      <c r="N1283" s="5">
        <v>119244.0</v>
      </c>
      <c r="P1283" s="3"/>
      <c r="Q1283" s="3"/>
      <c r="R1283" s="3"/>
      <c r="S1283" s="3"/>
      <c r="T1283" s="3"/>
      <c r="U1283" s="3"/>
      <c r="V1283" s="3"/>
      <c r="W1283" s="3"/>
      <c r="X1283" s="3"/>
      <c r="Y1283" s="3"/>
      <c r="Z1283" s="3"/>
      <c r="AA1283" s="3"/>
      <c r="AB1283" s="3"/>
      <c r="AC1283" s="3"/>
      <c r="AD1283" s="3"/>
      <c r="AE1283" s="3"/>
      <c r="AF1283" s="3"/>
      <c r="AG1283" s="3"/>
    </row>
    <row r="1284">
      <c r="A1284" s="2">
        <v>2019.0</v>
      </c>
      <c r="B1284" s="1" t="s">
        <v>213</v>
      </c>
      <c r="D1284" s="5" t="s">
        <v>295</v>
      </c>
      <c r="F1284" s="5">
        <v>71553.0</v>
      </c>
      <c r="I1284" s="5">
        <v>699.0</v>
      </c>
      <c r="K1284" s="5">
        <v>72252.0</v>
      </c>
      <c r="L1284" s="5">
        <v>59249.0</v>
      </c>
      <c r="N1284" s="5">
        <v>13003.0</v>
      </c>
      <c r="P1284" s="3"/>
      <c r="Q1284" s="3"/>
      <c r="R1284" s="3"/>
      <c r="S1284" s="3"/>
      <c r="T1284" s="3"/>
      <c r="U1284" s="3"/>
      <c r="V1284" s="3"/>
      <c r="W1284" s="3"/>
      <c r="X1284" s="3"/>
      <c r="Y1284" s="3"/>
      <c r="Z1284" s="3"/>
      <c r="AA1284" s="3"/>
      <c r="AB1284" s="3"/>
      <c r="AC1284" s="3"/>
      <c r="AD1284" s="3"/>
      <c r="AE1284" s="3"/>
      <c r="AF1284" s="3"/>
      <c r="AG1284" s="3"/>
    </row>
    <row r="1285">
      <c r="A1285" s="2">
        <v>2019.0</v>
      </c>
      <c r="B1285" s="1" t="s">
        <v>213</v>
      </c>
      <c r="D1285" s="5" t="s">
        <v>295</v>
      </c>
      <c r="F1285" s="5">
        <v>7935.0</v>
      </c>
      <c r="I1285" s="5">
        <v>50000.0</v>
      </c>
      <c r="J1285" s="5">
        <v>1713.0</v>
      </c>
      <c r="K1285" s="5">
        <v>59648.0</v>
      </c>
      <c r="L1285" s="5">
        <v>56968.0</v>
      </c>
      <c r="N1285" s="5">
        <v>2680.0</v>
      </c>
      <c r="P1285" s="3"/>
      <c r="Q1285" s="3"/>
      <c r="R1285" s="3"/>
      <c r="S1285" s="3"/>
      <c r="T1285" s="3"/>
      <c r="U1285" s="3"/>
      <c r="V1285" s="3"/>
      <c r="W1285" s="3"/>
      <c r="X1285" s="3"/>
      <c r="Y1285" s="3"/>
      <c r="Z1285" s="3"/>
      <c r="AA1285" s="3"/>
      <c r="AB1285" s="3"/>
      <c r="AC1285" s="3"/>
      <c r="AD1285" s="3"/>
      <c r="AE1285" s="3"/>
      <c r="AF1285" s="3"/>
      <c r="AG1285" s="3"/>
    </row>
    <row r="1286">
      <c r="A1286" s="2">
        <v>2019.0</v>
      </c>
      <c r="B1286" s="1" t="s">
        <v>213</v>
      </c>
      <c r="D1286" s="5" t="s">
        <v>295</v>
      </c>
      <c r="F1286" s="5">
        <v>135188.0</v>
      </c>
      <c r="I1286" s="5">
        <v>62.0</v>
      </c>
      <c r="K1286" s="5">
        <v>135250.0</v>
      </c>
      <c r="L1286" s="5">
        <v>134400.0</v>
      </c>
      <c r="N1286" s="5">
        <v>850.0</v>
      </c>
      <c r="P1286" s="3"/>
      <c r="Q1286" s="3"/>
      <c r="R1286" s="3"/>
      <c r="S1286" s="3"/>
      <c r="T1286" s="3"/>
      <c r="U1286" s="3"/>
      <c r="V1286" s="3"/>
      <c r="W1286" s="3"/>
      <c r="X1286" s="3"/>
      <c r="Y1286" s="3"/>
      <c r="Z1286" s="3"/>
      <c r="AA1286" s="3"/>
      <c r="AB1286" s="3"/>
      <c r="AC1286" s="3"/>
      <c r="AD1286" s="3"/>
      <c r="AE1286" s="3"/>
      <c r="AF1286" s="3"/>
      <c r="AG1286" s="3"/>
    </row>
    <row r="1287">
      <c r="A1287" s="2">
        <v>2019.0</v>
      </c>
      <c r="B1287" s="1" t="s">
        <v>213</v>
      </c>
      <c r="D1287" s="5" t="s">
        <v>295</v>
      </c>
      <c r="K1287" s="5">
        <v>0.0</v>
      </c>
      <c r="P1287" s="3"/>
      <c r="Q1287" s="3"/>
      <c r="R1287" s="3"/>
      <c r="S1287" s="3"/>
      <c r="T1287" s="3"/>
      <c r="U1287" s="3"/>
      <c r="V1287" s="3"/>
      <c r="W1287" s="3"/>
      <c r="X1287" s="3"/>
      <c r="Y1287" s="3"/>
      <c r="Z1287" s="3"/>
      <c r="AA1287" s="3"/>
      <c r="AB1287" s="3"/>
      <c r="AC1287" s="3"/>
      <c r="AD1287" s="3"/>
      <c r="AE1287" s="3"/>
      <c r="AF1287" s="3"/>
      <c r="AG1287" s="3"/>
    </row>
    <row r="1288">
      <c r="A1288" s="2">
        <v>2019.0</v>
      </c>
      <c r="B1288" s="1" t="s">
        <v>213</v>
      </c>
      <c r="D1288" s="5" t="s">
        <v>295</v>
      </c>
      <c r="F1288" s="5">
        <v>0.0</v>
      </c>
      <c r="I1288" s="5">
        <v>448800.0</v>
      </c>
      <c r="J1288" s="5">
        <v>1032.0</v>
      </c>
      <c r="K1288" s="5">
        <v>449832.0</v>
      </c>
      <c r="L1288" s="5">
        <v>306857.0</v>
      </c>
      <c r="N1288" s="5">
        <v>142975.0</v>
      </c>
      <c r="P1288" s="3"/>
      <c r="Q1288" s="3"/>
      <c r="R1288" s="3"/>
      <c r="S1288" s="3"/>
      <c r="T1288" s="3"/>
      <c r="U1288" s="3"/>
      <c r="V1288" s="3"/>
      <c r="W1288" s="3"/>
      <c r="X1288" s="3"/>
      <c r="Y1288" s="3"/>
      <c r="Z1288" s="3"/>
      <c r="AA1288" s="3"/>
      <c r="AB1288" s="3"/>
      <c r="AC1288" s="3"/>
      <c r="AD1288" s="3"/>
      <c r="AE1288" s="3"/>
      <c r="AF1288" s="3"/>
      <c r="AG1288" s="3"/>
    </row>
    <row r="1289">
      <c r="A1289" s="2">
        <v>2019.0</v>
      </c>
      <c r="B1289" s="1" t="s">
        <v>213</v>
      </c>
      <c r="D1289" s="5" t="s">
        <v>295</v>
      </c>
      <c r="F1289" s="5">
        <v>0.0</v>
      </c>
      <c r="I1289" s="5">
        <v>1274000.0</v>
      </c>
      <c r="J1289" s="5">
        <v>13223.0</v>
      </c>
      <c r="K1289" s="5">
        <v>1287223.0</v>
      </c>
      <c r="L1289" s="5">
        <v>1268783.0</v>
      </c>
      <c r="N1289" s="5">
        <v>18440.0</v>
      </c>
      <c r="P1289" s="3"/>
      <c r="Q1289" s="3"/>
      <c r="R1289" s="3"/>
      <c r="S1289" s="3"/>
      <c r="T1289" s="3"/>
      <c r="U1289" s="3"/>
      <c r="V1289" s="3"/>
      <c r="W1289" s="3"/>
      <c r="X1289" s="3"/>
      <c r="Y1289" s="3"/>
      <c r="Z1289" s="3"/>
      <c r="AA1289" s="3"/>
      <c r="AB1289" s="3"/>
      <c r="AC1289" s="3"/>
      <c r="AD1289" s="3"/>
      <c r="AE1289" s="3"/>
      <c r="AF1289" s="3"/>
      <c r="AG1289" s="3"/>
    </row>
    <row r="1290">
      <c r="A1290" s="2">
        <v>2019.0</v>
      </c>
      <c r="B1290" s="1" t="s">
        <v>213</v>
      </c>
      <c r="D1290" s="5" t="s">
        <v>298</v>
      </c>
      <c r="F1290" s="5">
        <f>SUM(F1283:F1289)</f>
        <v>413095</v>
      </c>
      <c r="I1290" s="5">
        <f t="shared" ref="I1290:L1290" si="231">SUM(I1283:I1289)</f>
        <v>2376688</v>
      </c>
      <c r="J1290" s="5">
        <f t="shared" si="231"/>
        <v>32797</v>
      </c>
      <c r="K1290" s="5">
        <f t="shared" si="231"/>
        <v>2822580</v>
      </c>
      <c r="L1290" s="5">
        <f t="shared" si="231"/>
        <v>2525388</v>
      </c>
      <c r="N1290" s="5">
        <f>SUM(N1283:N1289)</f>
        <v>297192</v>
      </c>
      <c r="P1290" s="3"/>
      <c r="Q1290" s="3"/>
      <c r="R1290" s="3"/>
      <c r="S1290" s="3"/>
      <c r="T1290" s="3"/>
      <c r="U1290" s="3"/>
      <c r="V1290" s="3"/>
      <c r="W1290" s="3"/>
      <c r="X1290" s="3"/>
      <c r="Y1290" s="3"/>
      <c r="Z1290" s="3"/>
      <c r="AA1290" s="3"/>
      <c r="AB1290" s="3"/>
      <c r="AC1290" s="3"/>
      <c r="AD1290" s="3"/>
      <c r="AE1290" s="3"/>
      <c r="AF1290" s="3"/>
      <c r="AG1290" s="3"/>
    </row>
    <row r="1291">
      <c r="A1291" s="2">
        <v>2019.0</v>
      </c>
      <c r="B1291" s="1" t="s">
        <v>213</v>
      </c>
      <c r="D1291" s="5" t="s">
        <v>298</v>
      </c>
      <c r="F1291" s="5">
        <v>350660.0</v>
      </c>
      <c r="I1291" s="5">
        <v>603127.0</v>
      </c>
      <c r="J1291" s="5">
        <v>20169.0</v>
      </c>
      <c r="K1291" s="5">
        <v>973956.0</v>
      </c>
      <c r="L1291" s="5">
        <v>964472.0</v>
      </c>
      <c r="N1291" s="5">
        <v>9484.0</v>
      </c>
      <c r="P1291" s="3"/>
      <c r="Q1291" s="3"/>
      <c r="R1291" s="3"/>
      <c r="S1291" s="3"/>
      <c r="T1291" s="3"/>
      <c r="U1291" s="3"/>
      <c r="V1291" s="3"/>
      <c r="W1291" s="3"/>
      <c r="X1291" s="3"/>
      <c r="Y1291" s="3"/>
      <c r="Z1291" s="3"/>
      <c r="AA1291" s="3"/>
      <c r="AB1291" s="3"/>
      <c r="AC1291" s="3"/>
      <c r="AD1291" s="3"/>
      <c r="AE1291" s="3"/>
      <c r="AF1291" s="3"/>
      <c r="AG1291" s="3"/>
    </row>
    <row r="1292">
      <c r="A1292" s="2">
        <v>2019.0</v>
      </c>
      <c r="B1292" s="1" t="s">
        <v>213</v>
      </c>
      <c r="D1292" s="5" t="s">
        <v>298</v>
      </c>
      <c r="F1292" s="5">
        <v>588282.0</v>
      </c>
      <c r="I1292" s="5">
        <v>10200.0</v>
      </c>
      <c r="J1292" s="5">
        <v>12054.0</v>
      </c>
      <c r="K1292" s="5">
        <v>610536.0</v>
      </c>
      <c r="L1292" s="5">
        <v>568440.0</v>
      </c>
      <c r="N1292" s="5">
        <v>42096.0</v>
      </c>
      <c r="P1292" s="3"/>
      <c r="Q1292" s="3"/>
      <c r="R1292" s="3"/>
      <c r="S1292" s="3"/>
      <c r="T1292" s="3"/>
      <c r="U1292" s="3"/>
      <c r="V1292" s="3"/>
      <c r="W1292" s="3"/>
      <c r="X1292" s="3"/>
      <c r="Y1292" s="3"/>
      <c r="Z1292" s="3"/>
      <c r="AA1292" s="3"/>
      <c r="AB1292" s="3"/>
      <c r="AC1292" s="3"/>
      <c r="AD1292" s="3"/>
      <c r="AE1292" s="3"/>
      <c r="AF1292" s="3"/>
      <c r="AG1292" s="3"/>
    </row>
    <row r="1293">
      <c r="A1293" s="2">
        <v>2019.0</v>
      </c>
      <c r="B1293" s="1" t="s">
        <v>213</v>
      </c>
      <c r="D1293" s="5" t="s">
        <v>298</v>
      </c>
      <c r="F1293" s="5">
        <v>49936.0</v>
      </c>
      <c r="I1293" s="5">
        <v>810.0</v>
      </c>
      <c r="K1293" s="5">
        <v>50746.0</v>
      </c>
      <c r="L1293" s="5">
        <v>40000.0</v>
      </c>
      <c r="N1293" s="5">
        <v>10746.0</v>
      </c>
      <c r="P1293" s="3"/>
      <c r="Q1293" s="3"/>
      <c r="R1293" s="3"/>
      <c r="S1293" s="3"/>
      <c r="T1293" s="3"/>
      <c r="U1293" s="3"/>
      <c r="V1293" s="3"/>
      <c r="W1293" s="3"/>
      <c r="X1293" s="3"/>
      <c r="Y1293" s="3"/>
      <c r="Z1293" s="3"/>
      <c r="AA1293" s="3"/>
      <c r="AB1293" s="3"/>
      <c r="AC1293" s="3"/>
      <c r="AD1293" s="3"/>
      <c r="AE1293" s="3"/>
      <c r="AF1293" s="3"/>
      <c r="AG1293" s="3"/>
    </row>
    <row r="1294">
      <c r="A1294" s="2">
        <v>2019.0</v>
      </c>
      <c r="B1294" s="1" t="s">
        <v>213</v>
      </c>
      <c r="D1294" s="5" t="s">
        <v>298</v>
      </c>
      <c r="F1294" s="5">
        <v>3802.0</v>
      </c>
      <c r="I1294" s="5">
        <v>126.0</v>
      </c>
      <c r="K1294" s="5">
        <v>3928.0</v>
      </c>
      <c r="L1294" s="5">
        <v>0.0</v>
      </c>
      <c r="N1294" s="5">
        <v>3928.0</v>
      </c>
      <c r="P1294" s="3"/>
      <c r="Q1294" s="3"/>
      <c r="R1294" s="3"/>
      <c r="S1294" s="3"/>
      <c r="T1294" s="3"/>
      <c r="U1294" s="3"/>
      <c r="V1294" s="3"/>
      <c r="W1294" s="3"/>
      <c r="X1294" s="3"/>
      <c r="Y1294" s="3"/>
      <c r="Z1294" s="3"/>
      <c r="AA1294" s="3"/>
      <c r="AB1294" s="3"/>
      <c r="AC1294" s="3"/>
      <c r="AD1294" s="3"/>
      <c r="AE1294" s="3"/>
      <c r="AF1294" s="3"/>
      <c r="AG1294" s="3"/>
    </row>
    <row r="1295">
      <c r="A1295" s="2">
        <v>2019.0</v>
      </c>
      <c r="B1295" s="1" t="s">
        <v>213</v>
      </c>
      <c r="D1295" s="5" t="s">
        <v>298</v>
      </c>
      <c r="F1295" s="5">
        <v>229251.0</v>
      </c>
      <c r="I1295" s="5">
        <v>170656.0</v>
      </c>
      <c r="J1295" s="5">
        <v>13524.0</v>
      </c>
      <c r="K1295" s="5">
        <v>413431.0</v>
      </c>
      <c r="L1295" s="5">
        <v>74000.0</v>
      </c>
      <c r="N1295" s="5">
        <v>339431.0</v>
      </c>
      <c r="P1295" s="3"/>
      <c r="Q1295" s="3"/>
      <c r="R1295" s="3"/>
      <c r="S1295" s="3"/>
      <c r="T1295" s="3"/>
      <c r="U1295" s="3"/>
      <c r="V1295" s="3"/>
      <c r="W1295" s="3"/>
      <c r="X1295" s="3"/>
      <c r="Y1295" s="3"/>
      <c r="Z1295" s="3"/>
      <c r="AA1295" s="3"/>
      <c r="AB1295" s="3"/>
      <c r="AC1295" s="3"/>
      <c r="AD1295" s="3"/>
      <c r="AE1295" s="3"/>
      <c r="AF1295" s="3"/>
      <c r="AG1295" s="3"/>
    </row>
    <row r="1296">
      <c r="A1296" s="2">
        <v>2019.0</v>
      </c>
      <c r="B1296" s="1" t="s">
        <v>213</v>
      </c>
      <c r="D1296" s="5" t="s">
        <v>298</v>
      </c>
      <c r="F1296" s="5">
        <v>1000.0</v>
      </c>
      <c r="I1296" s="5">
        <v>370000.0</v>
      </c>
      <c r="J1296" s="5">
        <v>14.0</v>
      </c>
      <c r="K1296" s="5">
        <v>371014.0</v>
      </c>
      <c r="L1296" s="5">
        <v>230457.0</v>
      </c>
      <c r="N1296" s="5">
        <v>140557.0</v>
      </c>
      <c r="P1296" s="3"/>
      <c r="Q1296" s="3"/>
      <c r="R1296" s="3"/>
      <c r="S1296" s="3"/>
      <c r="T1296" s="3"/>
      <c r="U1296" s="3"/>
      <c r="V1296" s="3"/>
      <c r="W1296" s="3"/>
      <c r="X1296" s="3"/>
      <c r="Y1296" s="3"/>
      <c r="Z1296" s="3"/>
      <c r="AA1296" s="3"/>
      <c r="AB1296" s="3"/>
      <c r="AC1296" s="3"/>
      <c r="AD1296" s="3"/>
      <c r="AE1296" s="3"/>
      <c r="AF1296" s="3"/>
      <c r="AG1296" s="3"/>
    </row>
    <row r="1297">
      <c r="A1297" s="2">
        <v>2019.0</v>
      </c>
      <c r="B1297" s="1" t="s">
        <v>213</v>
      </c>
      <c r="D1297" s="5" t="s">
        <v>298</v>
      </c>
      <c r="F1297" s="5">
        <v>1000.0</v>
      </c>
      <c r="I1297" s="5">
        <v>954000.0</v>
      </c>
      <c r="J1297" s="5">
        <v>11973.0</v>
      </c>
      <c r="K1297" s="5">
        <v>966973.0</v>
      </c>
      <c r="L1297" s="5">
        <v>304243.0</v>
      </c>
      <c r="N1297" s="5">
        <v>662730.0</v>
      </c>
      <c r="P1297" s="3"/>
      <c r="Q1297" s="3"/>
      <c r="R1297" s="3"/>
      <c r="S1297" s="3"/>
      <c r="T1297" s="3"/>
      <c r="U1297" s="3"/>
      <c r="V1297" s="3"/>
      <c r="W1297" s="3"/>
      <c r="X1297" s="3"/>
      <c r="Y1297" s="3"/>
      <c r="Z1297" s="3"/>
      <c r="AA1297" s="3"/>
      <c r="AB1297" s="3"/>
      <c r="AC1297" s="3"/>
      <c r="AD1297" s="3"/>
      <c r="AE1297" s="3"/>
      <c r="AF1297" s="3"/>
      <c r="AG1297" s="3"/>
    </row>
    <row r="1298">
      <c r="A1298" s="2">
        <v>2019.0</v>
      </c>
      <c r="B1298" s="1" t="s">
        <v>213</v>
      </c>
      <c r="D1298" s="5" t="s">
        <v>1429</v>
      </c>
      <c r="F1298" s="5">
        <f>SUM(F1291:F1297)</f>
        <v>1223931</v>
      </c>
      <c r="I1298" s="5">
        <f t="shared" ref="I1298:L1298" si="232">SUM(I1291:I1297)</f>
        <v>2108919</v>
      </c>
      <c r="J1298" s="5">
        <f t="shared" si="232"/>
        <v>57734</v>
      </c>
      <c r="K1298" s="5">
        <f t="shared" si="232"/>
        <v>3390584</v>
      </c>
      <c r="L1298" s="5">
        <f t="shared" si="232"/>
        <v>2181612</v>
      </c>
      <c r="N1298" s="5">
        <f>SUM(N1291:N1297)</f>
        <v>1208972</v>
      </c>
      <c r="P1298" s="3"/>
      <c r="Q1298" s="3"/>
      <c r="R1298" s="3"/>
      <c r="S1298" s="3"/>
      <c r="T1298" s="3"/>
      <c r="U1298" s="3"/>
      <c r="V1298" s="3"/>
      <c r="W1298" s="3"/>
      <c r="X1298" s="3"/>
      <c r="Y1298" s="3"/>
      <c r="Z1298" s="3"/>
      <c r="AA1298" s="3"/>
      <c r="AB1298" s="3"/>
      <c r="AC1298" s="3"/>
      <c r="AD1298" s="3"/>
      <c r="AE1298" s="3"/>
      <c r="AF1298" s="3"/>
      <c r="AG1298" s="3"/>
    </row>
    <row r="1299">
      <c r="A1299" s="2">
        <v>2019.0</v>
      </c>
      <c r="B1299" s="1" t="s">
        <v>213</v>
      </c>
      <c r="D1299" s="5" t="s">
        <v>1429</v>
      </c>
      <c r="F1299" s="5">
        <v>1599193.0</v>
      </c>
      <c r="I1299" s="5">
        <v>603127.0</v>
      </c>
      <c r="J1299" s="5">
        <v>76706.0</v>
      </c>
      <c r="K1299" s="5">
        <v>2279026.0</v>
      </c>
      <c r="L1299" s="5">
        <v>685595.0</v>
      </c>
      <c r="N1299" s="5">
        <v>1593431.0</v>
      </c>
      <c r="P1299" s="3"/>
      <c r="Q1299" s="3"/>
      <c r="R1299" s="3"/>
      <c r="S1299" s="3"/>
      <c r="T1299" s="3"/>
      <c r="U1299" s="3"/>
      <c r="V1299" s="3"/>
      <c r="W1299" s="3"/>
      <c r="X1299" s="3"/>
      <c r="Y1299" s="3"/>
      <c r="Z1299" s="3"/>
      <c r="AA1299" s="3"/>
      <c r="AB1299" s="3"/>
      <c r="AC1299" s="3"/>
      <c r="AD1299" s="3"/>
      <c r="AE1299" s="3"/>
      <c r="AF1299" s="3"/>
      <c r="AG1299" s="3"/>
    </row>
    <row r="1300">
      <c r="A1300" s="2">
        <v>2019.0</v>
      </c>
      <c r="B1300" s="1" t="s">
        <v>213</v>
      </c>
      <c r="D1300" s="5" t="s">
        <v>1429</v>
      </c>
      <c r="F1300" s="5">
        <v>531388.0</v>
      </c>
      <c r="I1300" s="5">
        <v>17967.0</v>
      </c>
      <c r="K1300" s="5">
        <v>549355.0</v>
      </c>
      <c r="L1300" s="5">
        <v>131293.0</v>
      </c>
      <c r="N1300" s="5">
        <v>418062.0</v>
      </c>
      <c r="P1300" s="3"/>
      <c r="Q1300" s="3"/>
      <c r="R1300" s="3"/>
      <c r="S1300" s="3"/>
      <c r="T1300" s="3"/>
      <c r="U1300" s="3"/>
      <c r="V1300" s="3"/>
      <c r="W1300" s="3"/>
      <c r="X1300" s="3"/>
      <c r="Y1300" s="3"/>
      <c r="Z1300" s="3"/>
      <c r="AA1300" s="3"/>
      <c r="AB1300" s="3"/>
      <c r="AC1300" s="3"/>
      <c r="AD1300" s="3"/>
      <c r="AE1300" s="3"/>
      <c r="AF1300" s="3"/>
      <c r="AG1300" s="3"/>
    </row>
    <row r="1301">
      <c r="A1301" s="2">
        <v>2019.0</v>
      </c>
      <c r="B1301" s="1" t="s">
        <v>213</v>
      </c>
      <c r="D1301" s="5" t="s">
        <v>1429</v>
      </c>
      <c r="F1301" s="5">
        <v>4245.0</v>
      </c>
      <c r="I1301" s="5">
        <v>50000.0</v>
      </c>
      <c r="J1301" s="5">
        <v>821.0</v>
      </c>
      <c r="K1301" s="5">
        <v>55066.0</v>
      </c>
      <c r="L1301" s="5">
        <v>48807.0</v>
      </c>
      <c r="N1301" s="5">
        <v>6259.0</v>
      </c>
      <c r="P1301" s="3"/>
      <c r="Q1301" s="3"/>
      <c r="R1301" s="3"/>
      <c r="S1301" s="3"/>
      <c r="T1301" s="3"/>
      <c r="U1301" s="3"/>
      <c r="V1301" s="3"/>
      <c r="W1301" s="3"/>
      <c r="X1301" s="3"/>
      <c r="Y1301" s="3"/>
      <c r="Z1301" s="3"/>
      <c r="AA1301" s="3"/>
      <c r="AB1301" s="3"/>
      <c r="AC1301" s="3"/>
      <c r="AD1301" s="3"/>
      <c r="AE1301" s="3"/>
      <c r="AF1301" s="3"/>
      <c r="AG1301" s="3"/>
    </row>
    <row r="1302">
      <c r="A1302" s="2">
        <v>2019.0</v>
      </c>
      <c r="B1302" s="1" t="s">
        <v>213</v>
      </c>
      <c r="D1302" s="5" t="s">
        <v>1429</v>
      </c>
      <c r="F1302" s="5">
        <v>111251.0</v>
      </c>
      <c r="I1302" s="5">
        <v>44869.0</v>
      </c>
      <c r="J1302" s="5">
        <v>2099.0</v>
      </c>
      <c r="K1302" s="5">
        <v>158219.0</v>
      </c>
      <c r="L1302" s="5">
        <v>0.0</v>
      </c>
      <c r="N1302" s="5">
        <v>158219.0</v>
      </c>
      <c r="P1302" s="3"/>
      <c r="Q1302" s="3"/>
      <c r="R1302" s="3"/>
      <c r="S1302" s="3"/>
      <c r="T1302" s="3"/>
      <c r="U1302" s="3"/>
      <c r="V1302" s="3"/>
      <c r="W1302" s="3"/>
      <c r="X1302" s="3"/>
      <c r="Y1302" s="3"/>
      <c r="Z1302" s="3"/>
      <c r="AA1302" s="3"/>
      <c r="AB1302" s="3"/>
      <c r="AC1302" s="3"/>
      <c r="AD1302" s="3"/>
      <c r="AE1302" s="3"/>
      <c r="AF1302" s="3"/>
      <c r="AG1302" s="3"/>
    </row>
    <row r="1303">
      <c r="A1303" s="2">
        <v>2019.0</v>
      </c>
      <c r="B1303" s="1" t="s">
        <v>213</v>
      </c>
      <c r="D1303" s="5" t="s">
        <v>1429</v>
      </c>
      <c r="F1303" s="5">
        <v>500.0</v>
      </c>
      <c r="I1303" s="5">
        <v>956000.0</v>
      </c>
      <c r="J1303" s="5">
        <v>6294.0</v>
      </c>
      <c r="K1303" s="5">
        <v>962794.0</v>
      </c>
      <c r="L1303" s="5">
        <v>340000.0</v>
      </c>
      <c r="N1303" s="5">
        <v>622794.0</v>
      </c>
      <c r="P1303" s="3"/>
      <c r="Q1303" s="3"/>
      <c r="R1303" s="3"/>
      <c r="S1303" s="3"/>
      <c r="T1303" s="3"/>
      <c r="U1303" s="3"/>
      <c r="V1303" s="3"/>
      <c r="W1303" s="3"/>
      <c r="X1303" s="3"/>
      <c r="Y1303" s="3"/>
      <c r="Z1303" s="3"/>
      <c r="AA1303" s="3"/>
      <c r="AB1303" s="3"/>
      <c r="AC1303" s="3"/>
      <c r="AD1303" s="3"/>
      <c r="AE1303" s="3"/>
      <c r="AF1303" s="3"/>
      <c r="AG1303" s="3"/>
    </row>
    <row r="1304">
      <c r="A1304" s="2">
        <v>2019.0</v>
      </c>
      <c r="B1304" s="1" t="s">
        <v>213</v>
      </c>
      <c r="D1304" s="5" t="s">
        <v>175</v>
      </c>
      <c r="F1304" s="5">
        <f>SUM(F1299:F1303)</f>
        <v>2246577</v>
      </c>
      <c r="I1304" s="5">
        <f t="shared" ref="I1304:L1304" si="233">SUM(I1299:I1303)</f>
        <v>1671963</v>
      </c>
      <c r="J1304" s="5">
        <f t="shared" si="233"/>
        <v>85920</v>
      </c>
      <c r="K1304" s="5">
        <f t="shared" si="233"/>
        <v>4004460</v>
      </c>
      <c r="L1304" s="5">
        <f t="shared" si="233"/>
        <v>1205695</v>
      </c>
      <c r="N1304" s="5">
        <f>SUM(N1299:N1303)</f>
        <v>2798765</v>
      </c>
      <c r="P1304" s="3"/>
      <c r="Q1304" s="3"/>
      <c r="R1304" s="3"/>
      <c r="S1304" s="3"/>
      <c r="T1304" s="3"/>
      <c r="U1304" s="3"/>
      <c r="V1304" s="3"/>
      <c r="W1304" s="3"/>
      <c r="X1304" s="3"/>
      <c r="Y1304" s="3"/>
      <c r="Z1304" s="3"/>
      <c r="AA1304" s="3"/>
      <c r="AB1304" s="3"/>
      <c r="AC1304" s="3"/>
      <c r="AD1304" s="3"/>
      <c r="AE1304" s="3"/>
      <c r="AF1304" s="3"/>
      <c r="AG1304" s="3"/>
    </row>
    <row r="1305">
      <c r="A1305" s="2">
        <v>2019.0</v>
      </c>
      <c r="B1305" s="1" t="s">
        <v>213</v>
      </c>
      <c r="D1305" s="5" t="s">
        <v>175</v>
      </c>
      <c r="F1305" s="5">
        <v>109243.0</v>
      </c>
      <c r="I1305" s="5">
        <v>1696241.0</v>
      </c>
      <c r="J1305" s="5">
        <v>12185.0</v>
      </c>
      <c r="K1305" s="5">
        <f>SUM(F1305:J1305)</f>
        <v>1817669</v>
      </c>
      <c r="L1305" s="5">
        <v>1217107.0</v>
      </c>
      <c r="N1305" s="5">
        <f t="shared" ref="N1305:N1307" si="234">K1305-L1305</f>
        <v>600562</v>
      </c>
      <c r="P1305" s="3"/>
      <c r="Q1305" s="3"/>
      <c r="R1305" s="3"/>
      <c r="S1305" s="3"/>
      <c r="T1305" s="3"/>
      <c r="U1305" s="3"/>
      <c r="V1305" s="3"/>
      <c r="W1305" s="3"/>
      <c r="X1305" s="3"/>
      <c r="Y1305" s="3"/>
      <c r="Z1305" s="3"/>
      <c r="AA1305" s="3"/>
      <c r="AB1305" s="3"/>
      <c r="AC1305" s="3"/>
      <c r="AD1305" s="3"/>
      <c r="AE1305" s="3"/>
      <c r="AF1305" s="3"/>
      <c r="AG1305" s="3"/>
    </row>
    <row r="1306">
      <c r="A1306" s="2">
        <v>2019.0</v>
      </c>
      <c r="B1306" s="1" t="s">
        <v>213</v>
      </c>
      <c r="D1306" s="5" t="s">
        <v>175</v>
      </c>
      <c r="F1306" s="5">
        <v>23817.0</v>
      </c>
      <c r="I1306" s="5">
        <v>6550.0</v>
      </c>
      <c r="J1306" s="5">
        <v>1095.0</v>
      </c>
      <c r="K1306" s="5">
        <v>31462.0</v>
      </c>
      <c r="N1306" s="5">
        <f t="shared" si="234"/>
        <v>31462</v>
      </c>
      <c r="P1306" s="3"/>
      <c r="Q1306" s="3"/>
      <c r="R1306" s="3"/>
      <c r="S1306" s="3"/>
      <c r="T1306" s="3"/>
      <c r="U1306" s="3"/>
      <c r="V1306" s="3"/>
      <c r="W1306" s="3"/>
      <c r="X1306" s="3"/>
      <c r="Y1306" s="3"/>
      <c r="Z1306" s="3"/>
      <c r="AA1306" s="3"/>
      <c r="AB1306" s="3"/>
      <c r="AC1306" s="3"/>
      <c r="AD1306" s="3"/>
      <c r="AE1306" s="3"/>
      <c r="AF1306" s="3"/>
      <c r="AG1306" s="3"/>
    </row>
    <row r="1307">
      <c r="A1307" s="2">
        <v>2019.0</v>
      </c>
      <c r="B1307" s="1" t="s">
        <v>213</v>
      </c>
      <c r="D1307" s="5" t="s">
        <v>175</v>
      </c>
      <c r="F1307" s="5">
        <v>14180.0</v>
      </c>
      <c r="I1307" s="5">
        <v>5340.0</v>
      </c>
      <c r="J1307" s="5">
        <v>670.0</v>
      </c>
      <c r="K1307" s="5">
        <v>20190.0</v>
      </c>
      <c r="N1307" s="5">
        <f t="shared" si="234"/>
        <v>20190</v>
      </c>
      <c r="P1307" s="3"/>
      <c r="Q1307" s="3"/>
      <c r="R1307" s="3"/>
      <c r="S1307" s="3"/>
      <c r="T1307" s="3"/>
      <c r="U1307" s="3"/>
      <c r="V1307" s="3"/>
      <c r="W1307" s="3"/>
      <c r="X1307" s="3"/>
      <c r="Y1307" s="3"/>
      <c r="Z1307" s="3"/>
      <c r="AA1307" s="3"/>
      <c r="AB1307" s="3"/>
      <c r="AC1307" s="3"/>
      <c r="AD1307" s="3"/>
      <c r="AE1307" s="3"/>
      <c r="AF1307" s="3"/>
      <c r="AG1307" s="3"/>
    </row>
    <row r="1308">
      <c r="A1308" s="2">
        <v>2019.0</v>
      </c>
      <c r="B1308" s="1" t="s">
        <v>213</v>
      </c>
      <c r="D1308" s="5" t="s">
        <v>177</v>
      </c>
      <c r="F1308" s="5">
        <f>SUM(F1305:F1307)</f>
        <v>147240</v>
      </c>
      <c r="I1308" s="5">
        <f t="shared" ref="I1308:L1308" si="235">SUM(I1305:I1307)</f>
        <v>1708131</v>
      </c>
      <c r="J1308" s="5">
        <f t="shared" si="235"/>
        <v>13950</v>
      </c>
      <c r="K1308" s="5">
        <f t="shared" si="235"/>
        <v>1869321</v>
      </c>
      <c r="L1308" s="5">
        <f t="shared" si="235"/>
        <v>1217107</v>
      </c>
      <c r="N1308" s="5">
        <f>SUM(N1305:N1307)</f>
        <v>652214</v>
      </c>
      <c r="P1308" s="3"/>
      <c r="Q1308" s="3"/>
      <c r="R1308" s="3"/>
      <c r="S1308" s="3"/>
      <c r="T1308" s="3"/>
      <c r="U1308" s="3"/>
      <c r="V1308" s="3"/>
      <c r="W1308" s="3"/>
      <c r="X1308" s="3"/>
      <c r="Y1308" s="3"/>
      <c r="Z1308" s="3"/>
      <c r="AA1308" s="3"/>
      <c r="AB1308" s="3"/>
      <c r="AC1308" s="3"/>
      <c r="AD1308" s="3"/>
      <c r="AE1308" s="3"/>
      <c r="AF1308" s="3"/>
      <c r="AG1308" s="3"/>
    </row>
    <row r="1309">
      <c r="A1309" s="2">
        <v>2019.0</v>
      </c>
      <c r="B1309" s="1" t="s">
        <v>213</v>
      </c>
      <c r="D1309" s="5" t="s">
        <v>177</v>
      </c>
      <c r="F1309" s="5">
        <v>133085.0</v>
      </c>
      <c r="I1309" s="5">
        <v>1643427.0</v>
      </c>
      <c r="J1309" s="5">
        <v>19958.0</v>
      </c>
      <c r="K1309" s="5">
        <v>1796470.0</v>
      </c>
      <c r="L1309" s="5">
        <v>1333337.0</v>
      </c>
      <c r="N1309" s="5">
        <f t="shared" ref="N1309:N1310" si="236">K1309-L1309</f>
        <v>463133</v>
      </c>
      <c r="P1309" s="3"/>
      <c r="Q1309" s="3"/>
      <c r="R1309" s="3"/>
      <c r="S1309" s="3"/>
      <c r="T1309" s="3"/>
      <c r="U1309" s="3"/>
      <c r="V1309" s="3"/>
      <c r="W1309" s="3"/>
      <c r="X1309" s="3"/>
      <c r="Y1309" s="3"/>
      <c r="Z1309" s="3"/>
      <c r="AA1309" s="3"/>
      <c r="AB1309" s="3"/>
      <c r="AC1309" s="3"/>
      <c r="AD1309" s="3"/>
      <c r="AE1309" s="3"/>
      <c r="AF1309" s="3"/>
      <c r="AG1309" s="3"/>
    </row>
    <row r="1310">
      <c r="A1310" s="2">
        <v>2019.0</v>
      </c>
      <c r="B1310" s="1" t="s">
        <v>213</v>
      </c>
      <c r="D1310" s="5" t="s">
        <v>177</v>
      </c>
      <c r="F1310" s="5">
        <v>25000.0</v>
      </c>
      <c r="I1310" s="5">
        <v>13003.0</v>
      </c>
      <c r="J1310" s="5">
        <v>748.0</v>
      </c>
      <c r="K1310" s="5">
        <v>38751.0</v>
      </c>
      <c r="N1310" s="5">
        <f t="shared" si="236"/>
        <v>38751</v>
      </c>
      <c r="P1310" s="3"/>
      <c r="Q1310" s="3"/>
      <c r="R1310" s="3"/>
      <c r="S1310" s="3"/>
      <c r="T1310" s="3"/>
      <c r="U1310" s="3"/>
      <c r="V1310" s="3"/>
      <c r="W1310" s="3"/>
      <c r="X1310" s="3"/>
      <c r="Y1310" s="3"/>
      <c r="Z1310" s="3"/>
      <c r="AA1310" s="3"/>
      <c r="AB1310" s="3"/>
      <c r="AC1310" s="3"/>
      <c r="AD1310" s="3"/>
      <c r="AE1310" s="3"/>
      <c r="AF1310" s="3"/>
      <c r="AG1310" s="3"/>
    </row>
    <row r="1311">
      <c r="A1311" s="2">
        <v>2019.0</v>
      </c>
      <c r="B1311" s="1" t="s">
        <v>213</v>
      </c>
      <c r="D1311" s="5" t="s">
        <v>176</v>
      </c>
      <c r="F1311" s="5">
        <f>SUM(F1309:F1310)</f>
        <v>158085</v>
      </c>
      <c r="I1311" s="5">
        <f t="shared" ref="I1311:L1311" si="237">SUM(I1309:I1310)</f>
        <v>1656430</v>
      </c>
      <c r="J1311" s="5">
        <f t="shared" si="237"/>
        <v>20706</v>
      </c>
      <c r="K1311" s="5">
        <f t="shared" si="237"/>
        <v>1835221</v>
      </c>
      <c r="L1311" s="5">
        <f t="shared" si="237"/>
        <v>1333337</v>
      </c>
      <c r="N1311" s="5">
        <f>SUM(N1309:N1310)</f>
        <v>501884</v>
      </c>
      <c r="P1311" s="3"/>
      <c r="Q1311" s="3"/>
      <c r="R1311" s="3"/>
      <c r="S1311" s="3"/>
      <c r="T1311" s="3"/>
      <c r="U1311" s="3"/>
      <c r="V1311" s="3"/>
      <c r="W1311" s="3"/>
      <c r="X1311" s="3"/>
      <c r="Y1311" s="3"/>
      <c r="Z1311" s="3"/>
      <c r="AA1311" s="3"/>
      <c r="AB1311" s="3"/>
      <c r="AC1311" s="3"/>
      <c r="AD1311" s="3"/>
      <c r="AE1311" s="3"/>
      <c r="AF1311" s="3"/>
      <c r="AG1311" s="3"/>
    </row>
    <row r="1312">
      <c r="A1312" s="2">
        <v>2019.0</v>
      </c>
      <c r="B1312" s="1" t="s">
        <v>213</v>
      </c>
      <c r="D1312" s="5" t="s">
        <v>176</v>
      </c>
      <c r="F1312" s="5">
        <v>81662.0</v>
      </c>
      <c r="I1312" s="5">
        <v>1330027.0</v>
      </c>
      <c r="J1312" s="5">
        <v>9964.0</v>
      </c>
      <c r="K1312" s="5">
        <v>1421653.0</v>
      </c>
      <c r="L1312" s="5">
        <v>1392036.0</v>
      </c>
      <c r="N1312" s="5">
        <f t="shared" ref="N1312:N1313" si="238">K1312-L1312</f>
        <v>29617</v>
      </c>
      <c r="P1312" s="3"/>
      <c r="Q1312" s="3"/>
      <c r="R1312" s="3"/>
      <c r="S1312" s="3"/>
      <c r="T1312" s="3"/>
      <c r="U1312" s="3"/>
      <c r="V1312" s="3"/>
      <c r="W1312" s="3"/>
      <c r="X1312" s="3"/>
      <c r="Y1312" s="3"/>
      <c r="Z1312" s="3"/>
      <c r="AA1312" s="3"/>
      <c r="AB1312" s="3"/>
      <c r="AC1312" s="3"/>
      <c r="AD1312" s="3"/>
      <c r="AE1312" s="3"/>
      <c r="AF1312" s="3"/>
      <c r="AG1312" s="3"/>
    </row>
    <row r="1313">
      <c r="A1313" s="2">
        <v>2019.0</v>
      </c>
      <c r="B1313" s="1" t="s">
        <v>213</v>
      </c>
      <c r="D1313" s="5" t="s">
        <v>176</v>
      </c>
      <c r="F1313" s="5">
        <v>30682.0</v>
      </c>
      <c r="I1313" s="5">
        <v>16938.0</v>
      </c>
      <c r="J1313" s="5">
        <v>0.0</v>
      </c>
      <c r="K1313" s="5">
        <v>47620.0</v>
      </c>
      <c r="L1313" s="5">
        <v>19990.0</v>
      </c>
      <c r="N1313" s="5">
        <f t="shared" si="238"/>
        <v>27630</v>
      </c>
      <c r="P1313" s="3"/>
      <c r="Q1313" s="3"/>
      <c r="R1313" s="3"/>
      <c r="S1313" s="3"/>
      <c r="T1313" s="3"/>
      <c r="U1313" s="3"/>
      <c r="V1313" s="3"/>
      <c r="W1313" s="3"/>
      <c r="X1313" s="3"/>
      <c r="Y1313" s="3"/>
      <c r="Z1313" s="3"/>
      <c r="AA1313" s="3"/>
      <c r="AB1313" s="3"/>
      <c r="AC1313" s="3"/>
      <c r="AD1313" s="3"/>
      <c r="AE1313" s="3"/>
      <c r="AF1313" s="3"/>
      <c r="AG1313" s="3"/>
    </row>
    <row r="1314">
      <c r="A1314" s="2">
        <v>2019.0</v>
      </c>
      <c r="B1314" s="1" t="s">
        <v>213</v>
      </c>
      <c r="D1314" s="5" t="s">
        <v>184</v>
      </c>
      <c r="F1314" s="5">
        <f>SUM(F1312:F1313)</f>
        <v>112344</v>
      </c>
      <c r="I1314" s="5">
        <f t="shared" ref="I1314:L1314" si="239">SUM(I1312:I1313)</f>
        <v>1346965</v>
      </c>
      <c r="J1314" s="5">
        <f t="shared" si="239"/>
        <v>9964</v>
      </c>
      <c r="K1314" s="5">
        <f t="shared" si="239"/>
        <v>1469273</v>
      </c>
      <c r="L1314" s="5">
        <f t="shared" si="239"/>
        <v>1412026</v>
      </c>
      <c r="N1314" s="5">
        <f>SUM(N1312:N1313)</f>
        <v>57247</v>
      </c>
      <c r="P1314" s="3"/>
      <c r="Q1314" s="3"/>
      <c r="R1314" s="3"/>
      <c r="S1314" s="3"/>
      <c r="T1314" s="3"/>
      <c r="U1314" s="3"/>
      <c r="V1314" s="3"/>
      <c r="W1314" s="3"/>
      <c r="X1314" s="3"/>
      <c r="Y1314" s="3"/>
      <c r="Z1314" s="3"/>
      <c r="AA1314" s="3"/>
      <c r="AB1314" s="3"/>
      <c r="AC1314" s="3"/>
      <c r="AD1314" s="3"/>
      <c r="AE1314" s="3"/>
      <c r="AF1314" s="3"/>
      <c r="AG1314" s="3"/>
    </row>
    <row r="1315">
      <c r="A1315" s="2">
        <v>2019.0</v>
      </c>
      <c r="B1315" s="1" t="s">
        <v>213</v>
      </c>
      <c r="D1315" s="5" t="s">
        <v>184</v>
      </c>
      <c r="F1315" s="5">
        <v>316942.0</v>
      </c>
      <c r="I1315" s="5">
        <v>2003727.0</v>
      </c>
      <c r="J1315" s="5">
        <v>18090.0</v>
      </c>
      <c r="K1315" s="5">
        <v>2338759.0</v>
      </c>
      <c r="L1315" s="5">
        <v>1644022.0</v>
      </c>
      <c r="N1315" s="5">
        <f t="shared" ref="N1315:N1318" si="240">K1315-L1315</f>
        <v>694737</v>
      </c>
      <c r="P1315" s="3"/>
      <c r="Q1315" s="3"/>
      <c r="R1315" s="3"/>
      <c r="S1315" s="3"/>
      <c r="T1315" s="3"/>
      <c r="U1315" s="3"/>
      <c r="V1315" s="3"/>
      <c r="W1315" s="3"/>
      <c r="X1315" s="3"/>
      <c r="Y1315" s="3"/>
      <c r="Z1315" s="3"/>
      <c r="AA1315" s="3"/>
      <c r="AB1315" s="3"/>
      <c r="AC1315" s="3"/>
      <c r="AD1315" s="3"/>
      <c r="AE1315" s="3"/>
      <c r="AF1315" s="3"/>
      <c r="AG1315" s="3"/>
    </row>
    <row r="1316">
      <c r="A1316" s="2">
        <v>2019.0</v>
      </c>
      <c r="B1316" s="1" t="s">
        <v>213</v>
      </c>
      <c r="D1316" s="5" t="s">
        <v>184</v>
      </c>
      <c r="F1316" s="5">
        <v>54428.0</v>
      </c>
      <c r="I1316" s="5">
        <v>0.0</v>
      </c>
      <c r="J1316" s="5">
        <v>0.0</v>
      </c>
      <c r="K1316" s="5">
        <v>54428.0</v>
      </c>
      <c r="L1316" s="5">
        <v>37000.0</v>
      </c>
      <c r="N1316" s="5">
        <f t="shared" si="240"/>
        <v>17428</v>
      </c>
      <c r="P1316" s="3"/>
      <c r="Q1316" s="3"/>
      <c r="R1316" s="3"/>
      <c r="S1316" s="3"/>
      <c r="T1316" s="3"/>
      <c r="U1316" s="3"/>
      <c r="V1316" s="3"/>
      <c r="W1316" s="3"/>
      <c r="X1316" s="3"/>
      <c r="Y1316" s="3"/>
      <c r="Z1316" s="3"/>
      <c r="AA1316" s="3"/>
      <c r="AB1316" s="3"/>
      <c r="AC1316" s="3"/>
      <c r="AD1316" s="3"/>
      <c r="AE1316" s="3"/>
      <c r="AF1316" s="3"/>
      <c r="AG1316" s="3"/>
    </row>
    <row r="1317">
      <c r="A1317" s="2">
        <v>2019.0</v>
      </c>
      <c r="B1317" s="1" t="s">
        <v>213</v>
      </c>
      <c r="D1317" s="5" t="s">
        <v>184</v>
      </c>
      <c r="F1317" s="5">
        <v>1003.0</v>
      </c>
      <c r="I1317" s="5">
        <v>20000.0</v>
      </c>
      <c r="J1317" s="5">
        <v>40.0</v>
      </c>
      <c r="K1317" s="5">
        <v>21043.0</v>
      </c>
      <c r="L1317" s="5">
        <v>0.0</v>
      </c>
      <c r="N1317" s="5">
        <f t="shared" si="240"/>
        <v>21043</v>
      </c>
      <c r="P1317" s="3"/>
      <c r="Q1317" s="3"/>
      <c r="R1317" s="3"/>
      <c r="S1317" s="3"/>
      <c r="T1317" s="3"/>
      <c r="U1317" s="3"/>
      <c r="V1317" s="3"/>
      <c r="W1317" s="3"/>
      <c r="X1317" s="3"/>
      <c r="Y1317" s="3"/>
      <c r="Z1317" s="3"/>
      <c r="AA1317" s="3"/>
      <c r="AB1317" s="3"/>
      <c r="AC1317" s="3"/>
      <c r="AD1317" s="3"/>
      <c r="AE1317" s="3"/>
      <c r="AF1317" s="3"/>
      <c r="AG1317" s="3"/>
    </row>
    <row r="1318">
      <c r="A1318" s="2">
        <v>2019.0</v>
      </c>
      <c r="B1318" s="1" t="s">
        <v>213</v>
      </c>
      <c r="D1318" s="5" t="s">
        <v>184</v>
      </c>
      <c r="F1318" s="5">
        <v>303466.0</v>
      </c>
      <c r="I1318" s="5">
        <v>0.0</v>
      </c>
      <c r="J1318" s="5">
        <v>5596.0</v>
      </c>
      <c r="K1318" s="5">
        <v>309062.0</v>
      </c>
      <c r="L1318" s="5">
        <v>267190.0</v>
      </c>
      <c r="N1318" s="5">
        <f t="shared" si="240"/>
        <v>41872</v>
      </c>
      <c r="P1318" s="3"/>
      <c r="Q1318" s="3"/>
      <c r="R1318" s="3"/>
      <c r="S1318" s="3"/>
      <c r="T1318" s="3"/>
      <c r="U1318" s="3"/>
      <c r="V1318" s="3"/>
      <c r="W1318" s="3"/>
      <c r="X1318" s="3"/>
      <c r="Y1318" s="3"/>
      <c r="Z1318" s="3"/>
      <c r="AA1318" s="3"/>
      <c r="AB1318" s="3"/>
      <c r="AC1318" s="3"/>
      <c r="AD1318" s="3"/>
      <c r="AE1318" s="3"/>
      <c r="AF1318" s="3"/>
      <c r="AG1318" s="3"/>
    </row>
    <row r="1319">
      <c r="A1319" s="2">
        <v>2019.0</v>
      </c>
      <c r="B1319" s="1" t="s">
        <v>213</v>
      </c>
      <c r="D1319" s="5" t="s">
        <v>187</v>
      </c>
      <c r="F1319" s="5">
        <f>SUM(F1315:F1318)</f>
        <v>675839</v>
      </c>
      <c r="I1319" s="5">
        <f t="shared" ref="I1319:L1319" si="241">SUM(I1315:I1318)</f>
        <v>2023727</v>
      </c>
      <c r="J1319" s="5">
        <f t="shared" si="241"/>
        <v>23726</v>
      </c>
      <c r="K1319" s="5">
        <f t="shared" si="241"/>
        <v>2723292</v>
      </c>
      <c r="L1319" s="5">
        <f t="shared" si="241"/>
        <v>1948212</v>
      </c>
      <c r="N1319" s="5">
        <f>SUM(N1315:N1318)</f>
        <v>775080</v>
      </c>
      <c r="P1319" s="3"/>
      <c r="Q1319" s="3"/>
      <c r="R1319" s="3"/>
      <c r="S1319" s="3"/>
      <c r="T1319" s="3"/>
      <c r="U1319" s="3"/>
      <c r="V1319" s="3"/>
      <c r="W1319" s="3"/>
      <c r="X1319" s="3"/>
      <c r="Y1319" s="3"/>
      <c r="Z1319" s="3"/>
      <c r="AA1319" s="3"/>
      <c r="AB1319" s="3"/>
      <c r="AC1319" s="3"/>
      <c r="AD1319" s="3"/>
      <c r="AE1319" s="3"/>
      <c r="AF1319" s="3"/>
      <c r="AG1319" s="3"/>
    </row>
    <row r="1320">
      <c r="A1320" s="2">
        <v>2019.0</v>
      </c>
      <c r="B1320" s="1" t="s">
        <v>213</v>
      </c>
      <c r="D1320" s="5" t="s">
        <v>187</v>
      </c>
      <c r="F1320" s="5">
        <v>372054.0</v>
      </c>
      <c r="I1320" s="5">
        <v>2169103.0</v>
      </c>
      <c r="J1320" s="5">
        <v>22276.0</v>
      </c>
      <c r="K1320" s="5">
        <v>2563433.0</v>
      </c>
      <c r="L1320" s="5">
        <v>1543886.0</v>
      </c>
      <c r="N1320" s="5">
        <f t="shared" ref="N1320:N1321" si="242">K1320-L1320</f>
        <v>1019547</v>
      </c>
      <c r="P1320" s="3"/>
      <c r="Q1320" s="3"/>
      <c r="R1320" s="3"/>
      <c r="S1320" s="3"/>
      <c r="T1320" s="3"/>
      <c r="U1320" s="3"/>
      <c r="V1320" s="3"/>
      <c r="W1320" s="3"/>
      <c r="X1320" s="3"/>
      <c r="Y1320" s="3"/>
      <c r="Z1320" s="3"/>
      <c r="AA1320" s="3"/>
      <c r="AB1320" s="3"/>
      <c r="AC1320" s="3"/>
      <c r="AD1320" s="3"/>
      <c r="AE1320" s="3"/>
      <c r="AF1320" s="3"/>
      <c r="AG1320" s="3"/>
    </row>
    <row r="1321">
      <c r="A1321" s="2">
        <v>2019.0</v>
      </c>
      <c r="B1321" s="1" t="s">
        <v>213</v>
      </c>
      <c r="D1321" s="5" t="s">
        <v>187</v>
      </c>
      <c r="F1321" s="5">
        <v>306786.0</v>
      </c>
      <c r="I1321" s="5">
        <v>136530.0</v>
      </c>
      <c r="J1321" s="5">
        <v>3774.0</v>
      </c>
      <c r="K1321" s="5">
        <v>447090.0</v>
      </c>
      <c r="L1321" s="5">
        <v>409095.0</v>
      </c>
      <c r="N1321" s="5">
        <f t="shared" si="242"/>
        <v>37995</v>
      </c>
      <c r="P1321" s="3"/>
      <c r="Q1321" s="3"/>
      <c r="R1321" s="3"/>
      <c r="S1321" s="3"/>
      <c r="T1321" s="3"/>
      <c r="U1321" s="3"/>
      <c r="V1321" s="3"/>
      <c r="W1321" s="3"/>
      <c r="X1321" s="3"/>
      <c r="Y1321" s="3"/>
      <c r="Z1321" s="3"/>
      <c r="AA1321" s="3"/>
      <c r="AB1321" s="3"/>
      <c r="AC1321" s="3"/>
      <c r="AD1321" s="3"/>
      <c r="AE1321" s="3"/>
      <c r="AF1321" s="3"/>
      <c r="AG1321" s="3"/>
    </row>
    <row r="1322">
      <c r="A1322" s="2">
        <v>2019.0</v>
      </c>
      <c r="B1322" s="1" t="s">
        <v>213</v>
      </c>
      <c r="D1322" s="5" t="s">
        <v>1563</v>
      </c>
      <c r="F1322" s="5">
        <f>SUM(F1320:F1321)</f>
        <v>678840</v>
      </c>
      <c r="I1322" s="5">
        <f t="shared" ref="I1322:L1322" si="243">SUM(I1320:I1321)</f>
        <v>2305633</v>
      </c>
      <c r="J1322" s="5">
        <f t="shared" si="243"/>
        <v>26050</v>
      </c>
      <c r="K1322" s="5">
        <f t="shared" si="243"/>
        <v>3010523</v>
      </c>
      <c r="L1322" s="5">
        <f t="shared" si="243"/>
        <v>1952981</v>
      </c>
      <c r="N1322" s="5">
        <f>SUM(N1320:N1321)</f>
        <v>1057542</v>
      </c>
      <c r="P1322" s="3"/>
      <c r="Q1322" s="3"/>
      <c r="R1322" s="3"/>
      <c r="S1322" s="3"/>
      <c r="T1322" s="3"/>
      <c r="U1322" s="3"/>
      <c r="V1322" s="3"/>
      <c r="W1322" s="3"/>
      <c r="X1322" s="3"/>
      <c r="Y1322" s="3"/>
      <c r="Z1322" s="3"/>
      <c r="AA1322" s="3"/>
      <c r="AB1322" s="3"/>
      <c r="AC1322" s="3"/>
      <c r="AD1322" s="3"/>
      <c r="AE1322" s="3"/>
      <c r="AF1322" s="3"/>
      <c r="AG1322" s="3"/>
    </row>
    <row r="1323">
      <c r="A1323" s="2">
        <v>2019.0</v>
      </c>
      <c r="B1323" s="1" t="s">
        <v>213</v>
      </c>
      <c r="D1323" s="5" t="s">
        <v>1563</v>
      </c>
      <c r="F1323" s="5">
        <v>3211.0</v>
      </c>
      <c r="I1323" s="5">
        <v>1367527.0</v>
      </c>
      <c r="J1323" s="5">
        <v>8704.0</v>
      </c>
      <c r="K1323" s="5">
        <f t="shared" ref="K1323:K1325" si="244">SUM(F1323:J1323)</f>
        <v>1379442</v>
      </c>
      <c r="L1323" s="5">
        <v>1085198.0</v>
      </c>
      <c r="N1323" s="5">
        <f t="shared" ref="N1323:N1325" si="245">K1323-L1323</f>
        <v>294244</v>
      </c>
      <c r="P1323" s="3"/>
      <c r="Q1323" s="3"/>
      <c r="R1323" s="3"/>
      <c r="S1323" s="3"/>
      <c r="T1323" s="3"/>
      <c r="U1323" s="3"/>
      <c r="V1323" s="3"/>
      <c r="W1323" s="3"/>
      <c r="X1323" s="3"/>
      <c r="Y1323" s="3"/>
      <c r="Z1323" s="3"/>
      <c r="AA1323" s="3"/>
      <c r="AB1323" s="3"/>
      <c r="AC1323" s="3"/>
      <c r="AD1323" s="3"/>
      <c r="AE1323" s="3"/>
      <c r="AF1323" s="3"/>
      <c r="AG1323" s="3"/>
    </row>
    <row r="1324">
      <c r="A1324" s="2">
        <v>2019.0</v>
      </c>
      <c r="B1324" s="1" t="s">
        <v>213</v>
      </c>
      <c r="D1324" s="5" t="s">
        <v>1563</v>
      </c>
      <c r="F1324" s="5">
        <v>1520.0</v>
      </c>
      <c r="I1324" s="5">
        <v>0.0</v>
      </c>
      <c r="J1324" s="5">
        <v>61.0</v>
      </c>
      <c r="K1324" s="5">
        <f t="shared" si="244"/>
        <v>1581</v>
      </c>
      <c r="L1324" s="5">
        <v>0.0</v>
      </c>
      <c r="N1324" s="5">
        <f t="shared" si="245"/>
        <v>1581</v>
      </c>
      <c r="P1324" s="3"/>
      <c r="Q1324" s="3"/>
      <c r="R1324" s="3"/>
      <c r="S1324" s="3"/>
      <c r="T1324" s="3"/>
      <c r="U1324" s="3"/>
      <c r="V1324" s="3"/>
      <c r="W1324" s="3"/>
      <c r="X1324" s="3"/>
      <c r="Y1324" s="3"/>
      <c r="Z1324" s="3"/>
      <c r="AA1324" s="3"/>
      <c r="AB1324" s="3"/>
      <c r="AC1324" s="3"/>
      <c r="AD1324" s="3"/>
      <c r="AE1324" s="3"/>
      <c r="AF1324" s="3"/>
      <c r="AG1324" s="3"/>
    </row>
    <row r="1325">
      <c r="A1325" s="2">
        <v>2019.0</v>
      </c>
      <c r="B1325" s="1" t="s">
        <v>213</v>
      </c>
      <c r="D1325" s="5" t="s">
        <v>1563</v>
      </c>
      <c r="F1325" s="5">
        <v>69632.0</v>
      </c>
      <c r="I1325" s="5">
        <v>35355.0</v>
      </c>
      <c r="J1325" s="5">
        <v>3575.0</v>
      </c>
      <c r="K1325" s="5">
        <f t="shared" si="244"/>
        <v>108562</v>
      </c>
      <c r="L1325" s="5">
        <v>0.0</v>
      </c>
      <c r="N1325" s="5">
        <f t="shared" si="245"/>
        <v>108562</v>
      </c>
      <c r="P1325" s="3"/>
      <c r="Q1325" s="3"/>
      <c r="R1325" s="3"/>
      <c r="S1325" s="3"/>
      <c r="T1325" s="3"/>
      <c r="U1325" s="3"/>
      <c r="V1325" s="3"/>
      <c r="W1325" s="3"/>
      <c r="X1325" s="3"/>
      <c r="Y1325" s="3"/>
      <c r="Z1325" s="3"/>
      <c r="AA1325" s="3"/>
      <c r="AB1325" s="3"/>
      <c r="AC1325" s="3"/>
      <c r="AD1325" s="3"/>
      <c r="AE1325" s="3"/>
      <c r="AF1325" s="3"/>
      <c r="AG1325" s="3"/>
    </row>
    <row r="1326">
      <c r="A1326" s="2">
        <v>2019.0</v>
      </c>
      <c r="B1326" s="1" t="s">
        <v>213</v>
      </c>
      <c r="D1326" s="5" t="s">
        <v>309</v>
      </c>
      <c r="F1326" s="5">
        <f>SUM(F1323:F1325)</f>
        <v>74363</v>
      </c>
      <c r="I1326" s="5">
        <f t="shared" ref="I1326:L1326" si="246">SUM(I1323:I1325)</f>
        <v>1402882</v>
      </c>
      <c r="J1326" s="5">
        <f t="shared" si="246"/>
        <v>12340</v>
      </c>
      <c r="K1326" s="5">
        <f t="shared" si="246"/>
        <v>1489585</v>
      </c>
      <c r="L1326" s="5">
        <f t="shared" si="246"/>
        <v>1085198</v>
      </c>
      <c r="N1326" s="5">
        <f>SUM(N1323:N1325)</f>
        <v>404387</v>
      </c>
      <c r="P1326" s="3"/>
      <c r="Q1326" s="3"/>
      <c r="R1326" s="3"/>
      <c r="S1326" s="3"/>
      <c r="T1326" s="3"/>
      <c r="U1326" s="3"/>
      <c r="V1326" s="3"/>
      <c r="W1326" s="3"/>
      <c r="X1326" s="3"/>
      <c r="Y1326" s="3"/>
      <c r="Z1326" s="3"/>
      <c r="AA1326" s="3"/>
      <c r="AB1326" s="3"/>
      <c r="AC1326" s="3"/>
      <c r="AD1326" s="3"/>
      <c r="AE1326" s="3"/>
      <c r="AF1326" s="3"/>
      <c r="AG1326" s="3"/>
    </row>
    <row r="1327">
      <c r="A1327" s="2">
        <v>2019.0</v>
      </c>
      <c r="B1327" s="1" t="s">
        <v>213</v>
      </c>
      <c r="D1327" s="5" t="s">
        <v>309</v>
      </c>
      <c r="F1327" s="5">
        <v>426.0</v>
      </c>
      <c r="I1327" s="5">
        <v>492900.0</v>
      </c>
      <c r="J1327" s="5">
        <v>12.0</v>
      </c>
      <c r="K1327" s="5">
        <f t="shared" ref="K1327:K1329" si="247">SUM(F1327:J1327)</f>
        <v>493338</v>
      </c>
      <c r="L1327" s="5">
        <v>477229.0</v>
      </c>
      <c r="N1327" s="5">
        <f t="shared" ref="N1327:N1329" si="248">K1327-L1327</f>
        <v>16109</v>
      </c>
      <c r="P1327" s="3"/>
      <c r="Q1327" s="3"/>
      <c r="R1327" s="3"/>
      <c r="S1327" s="3"/>
      <c r="T1327" s="3"/>
      <c r="U1327" s="3"/>
      <c r="V1327" s="3"/>
      <c r="W1327" s="3"/>
      <c r="X1327" s="3"/>
      <c r="Y1327" s="3"/>
      <c r="Z1327" s="3"/>
      <c r="AA1327" s="3"/>
      <c r="AB1327" s="3"/>
      <c r="AC1327" s="3"/>
      <c r="AD1327" s="3"/>
      <c r="AE1327" s="3"/>
      <c r="AF1327" s="3"/>
      <c r="AG1327" s="3"/>
    </row>
    <row r="1328">
      <c r="A1328" s="2">
        <v>2019.0</v>
      </c>
      <c r="B1328" s="1" t="s">
        <v>213</v>
      </c>
      <c r="D1328" s="5" t="s">
        <v>309</v>
      </c>
      <c r="F1328" s="5">
        <v>0.0</v>
      </c>
      <c r="I1328" s="4">
        <v>250000.0</v>
      </c>
      <c r="J1328" s="5">
        <v>2326.0</v>
      </c>
      <c r="K1328" s="5">
        <f t="shared" si="247"/>
        <v>252326</v>
      </c>
      <c r="L1328" s="5">
        <v>213914.0</v>
      </c>
      <c r="N1328" s="5">
        <f t="shared" si="248"/>
        <v>38412</v>
      </c>
      <c r="P1328" s="3"/>
      <c r="Q1328" s="3"/>
      <c r="R1328" s="3"/>
      <c r="S1328" s="3"/>
      <c r="T1328" s="3"/>
      <c r="U1328" s="3"/>
      <c r="V1328" s="3"/>
      <c r="W1328" s="3"/>
      <c r="X1328" s="3"/>
      <c r="Y1328" s="3"/>
      <c r="Z1328" s="3"/>
      <c r="AA1328" s="3"/>
      <c r="AB1328" s="3"/>
      <c r="AC1328" s="3"/>
      <c r="AD1328" s="3"/>
      <c r="AE1328" s="3"/>
      <c r="AF1328" s="3"/>
      <c r="AG1328" s="3"/>
    </row>
    <row r="1329">
      <c r="A1329" s="2">
        <v>2019.0</v>
      </c>
      <c r="B1329" s="1" t="s">
        <v>213</v>
      </c>
      <c r="D1329" s="5" t="s">
        <v>309</v>
      </c>
      <c r="F1329" s="5">
        <v>71263.0</v>
      </c>
      <c r="I1329" s="5">
        <v>57886.0</v>
      </c>
      <c r="J1329" s="5">
        <v>2730.0</v>
      </c>
      <c r="K1329" s="5">
        <f t="shared" si="247"/>
        <v>131879</v>
      </c>
      <c r="L1329" s="5">
        <v>45000.0</v>
      </c>
      <c r="N1329" s="5">
        <f t="shared" si="248"/>
        <v>86879</v>
      </c>
      <c r="P1329" s="3"/>
      <c r="Q1329" s="3"/>
      <c r="R1329" s="3"/>
      <c r="S1329" s="3"/>
      <c r="T1329" s="3"/>
      <c r="U1329" s="3"/>
      <c r="V1329" s="3"/>
      <c r="W1329" s="3"/>
      <c r="X1329" s="3"/>
      <c r="Y1329" s="3"/>
      <c r="Z1329" s="3"/>
      <c r="AA1329" s="3"/>
      <c r="AB1329" s="3"/>
      <c r="AC1329" s="3"/>
      <c r="AD1329" s="3"/>
      <c r="AE1329" s="3"/>
      <c r="AF1329" s="3"/>
      <c r="AG1329" s="3"/>
    </row>
    <row r="1330">
      <c r="A1330" s="2">
        <v>2019.0</v>
      </c>
      <c r="B1330" s="1" t="s">
        <v>213</v>
      </c>
      <c r="D1330" s="5" t="s">
        <v>312</v>
      </c>
      <c r="F1330" s="5">
        <f>SUM(F1327:F1329)</f>
        <v>71689</v>
      </c>
      <c r="I1330" s="5">
        <f t="shared" ref="I1330:L1330" si="249">SUM(I1327:I1329)</f>
        <v>800786</v>
      </c>
      <c r="J1330" s="5">
        <f t="shared" si="249"/>
        <v>5068</v>
      </c>
      <c r="K1330" s="5">
        <f t="shared" si="249"/>
        <v>877543</v>
      </c>
      <c r="L1330" s="5">
        <f t="shared" si="249"/>
        <v>736143</v>
      </c>
      <c r="N1330" s="5">
        <f>SUM(N1327:N1329)</f>
        <v>141400</v>
      </c>
      <c r="P1330" s="3"/>
      <c r="Q1330" s="3"/>
      <c r="R1330" s="3"/>
      <c r="S1330" s="3"/>
      <c r="T1330" s="3"/>
      <c r="U1330" s="3"/>
      <c r="V1330" s="3"/>
      <c r="W1330" s="3"/>
      <c r="X1330" s="3"/>
      <c r="Y1330" s="3"/>
      <c r="Z1330" s="3"/>
      <c r="AA1330" s="3"/>
      <c r="AB1330" s="3"/>
      <c r="AC1330" s="3"/>
      <c r="AD1330" s="3"/>
      <c r="AE1330" s="3"/>
      <c r="AF1330" s="3"/>
      <c r="AG1330" s="3"/>
    </row>
    <row r="1331">
      <c r="A1331" s="2">
        <v>2019.0</v>
      </c>
      <c r="B1331" s="1" t="s">
        <v>213</v>
      </c>
      <c r="D1331" s="5" t="s">
        <v>312</v>
      </c>
      <c r="F1331" s="5">
        <v>162148.0</v>
      </c>
      <c r="I1331" s="5">
        <v>287600.0</v>
      </c>
      <c r="J1331" s="5">
        <v>11319.0</v>
      </c>
      <c r="K1331" s="5">
        <f t="shared" ref="K1331:K1333" si="250">SUM(F1331:J1331)</f>
        <v>461067</v>
      </c>
      <c r="L1331" s="5">
        <v>426013.0</v>
      </c>
      <c r="N1331" s="5">
        <f t="shared" ref="N1331:N1333" si="251">K1331-L1331</f>
        <v>35054</v>
      </c>
      <c r="P1331" s="3"/>
      <c r="Q1331" s="3"/>
      <c r="R1331" s="3"/>
      <c r="S1331" s="3"/>
      <c r="T1331" s="3"/>
      <c r="U1331" s="3"/>
      <c r="V1331" s="3"/>
      <c r="W1331" s="3"/>
      <c r="X1331" s="3"/>
      <c r="Y1331" s="3"/>
      <c r="Z1331" s="3"/>
      <c r="AA1331" s="3"/>
      <c r="AB1331" s="3"/>
      <c r="AC1331" s="3"/>
      <c r="AD1331" s="3"/>
      <c r="AE1331" s="3"/>
      <c r="AF1331" s="3"/>
      <c r="AG1331" s="3"/>
    </row>
    <row r="1332">
      <c r="A1332" s="2">
        <v>2019.0</v>
      </c>
      <c r="B1332" s="1" t="s">
        <v>213</v>
      </c>
      <c r="D1332" s="5" t="s">
        <v>312</v>
      </c>
      <c r="F1332" s="5">
        <v>0.0</v>
      </c>
      <c r="I1332" s="5">
        <v>878000.0</v>
      </c>
      <c r="J1332" s="5">
        <v>7271.0</v>
      </c>
      <c r="K1332" s="5">
        <f t="shared" si="250"/>
        <v>885271</v>
      </c>
      <c r="L1332" s="5">
        <v>438160.0</v>
      </c>
      <c r="N1332" s="5">
        <f t="shared" si="251"/>
        <v>447111</v>
      </c>
      <c r="P1332" s="3"/>
      <c r="Q1332" s="3"/>
      <c r="R1332" s="3"/>
      <c r="S1332" s="3"/>
      <c r="T1332" s="3"/>
      <c r="U1332" s="3"/>
      <c r="V1332" s="3"/>
      <c r="W1332" s="3"/>
      <c r="X1332" s="3"/>
      <c r="Y1332" s="3"/>
      <c r="Z1332" s="3"/>
      <c r="AA1332" s="3"/>
      <c r="AB1332" s="3"/>
      <c r="AC1332" s="3"/>
      <c r="AD1332" s="3"/>
      <c r="AE1332" s="3"/>
      <c r="AF1332" s="3"/>
      <c r="AG1332" s="3"/>
    </row>
    <row r="1333">
      <c r="A1333" s="2">
        <v>2019.0</v>
      </c>
      <c r="B1333" s="1" t="s">
        <v>213</v>
      </c>
      <c r="D1333" s="5" t="s">
        <v>312</v>
      </c>
      <c r="F1333" s="5">
        <v>60215.0</v>
      </c>
      <c r="I1333" s="5">
        <v>32576.0</v>
      </c>
      <c r="J1333" s="5">
        <v>3308.0</v>
      </c>
      <c r="K1333" s="5">
        <f t="shared" si="250"/>
        <v>96099</v>
      </c>
      <c r="L1333" s="5">
        <v>15400.0</v>
      </c>
      <c r="N1333" s="5">
        <f t="shared" si="251"/>
        <v>80699</v>
      </c>
      <c r="P1333" s="3"/>
      <c r="Q1333" s="3"/>
      <c r="R1333" s="3"/>
      <c r="S1333" s="3"/>
      <c r="T1333" s="3"/>
      <c r="U1333" s="3"/>
      <c r="V1333" s="3"/>
      <c r="W1333" s="3"/>
      <c r="X1333" s="3"/>
      <c r="Y1333" s="3"/>
      <c r="Z1333" s="3"/>
      <c r="AA1333" s="3"/>
      <c r="AB1333" s="3"/>
      <c r="AC1333" s="3"/>
      <c r="AD1333" s="3"/>
      <c r="AE1333" s="3"/>
      <c r="AF1333" s="3"/>
      <c r="AG1333" s="3"/>
    </row>
    <row r="1334">
      <c r="A1334" s="2">
        <v>2019.0</v>
      </c>
      <c r="B1334" s="1" t="s">
        <v>213</v>
      </c>
      <c r="D1334" s="5" t="s">
        <v>316</v>
      </c>
      <c r="F1334" s="5">
        <f>SUM(F1331:F1333)</f>
        <v>222363</v>
      </c>
      <c r="I1334" s="5">
        <f t="shared" ref="I1334:L1334" si="252">SUM(I1331:I1333)</f>
        <v>1198176</v>
      </c>
      <c r="J1334" s="5">
        <f t="shared" si="252"/>
        <v>21898</v>
      </c>
      <c r="K1334" s="5">
        <f t="shared" si="252"/>
        <v>1442437</v>
      </c>
      <c r="L1334" s="5">
        <f t="shared" si="252"/>
        <v>879573</v>
      </c>
      <c r="N1334" s="5">
        <f>SUM(N1331:N1333)</f>
        <v>562864</v>
      </c>
      <c r="P1334" s="3"/>
      <c r="Q1334" s="3"/>
      <c r="R1334" s="3"/>
      <c r="S1334" s="3"/>
      <c r="T1334" s="3"/>
      <c r="U1334" s="3"/>
      <c r="V1334" s="3"/>
      <c r="W1334" s="3"/>
      <c r="X1334" s="3"/>
      <c r="Y1334" s="3"/>
      <c r="Z1334" s="3"/>
      <c r="AA1334" s="3"/>
      <c r="AB1334" s="3"/>
      <c r="AC1334" s="3"/>
      <c r="AD1334" s="3"/>
      <c r="AE1334" s="3"/>
      <c r="AF1334" s="3"/>
      <c r="AG1334" s="3"/>
    </row>
    <row r="1335">
      <c r="A1335" s="2">
        <v>2019.0</v>
      </c>
      <c r="B1335" s="1" t="s">
        <v>213</v>
      </c>
      <c r="D1335" s="5" t="s">
        <v>316</v>
      </c>
      <c r="F1335" s="5">
        <v>3211.0</v>
      </c>
      <c r="I1335" s="5">
        <v>1367527.0</v>
      </c>
      <c r="J1335" s="5">
        <v>8704.0</v>
      </c>
      <c r="K1335" s="5">
        <f t="shared" ref="K1335:K1337" si="253">SUM(F1335:J1335)</f>
        <v>1379442</v>
      </c>
      <c r="L1335" s="5">
        <v>1085198.0</v>
      </c>
      <c r="N1335" s="5">
        <f t="shared" ref="N1335:N1337" si="254">K1335-L1335</f>
        <v>294244</v>
      </c>
      <c r="P1335" s="3"/>
      <c r="Q1335" s="3"/>
      <c r="R1335" s="3"/>
      <c r="S1335" s="3"/>
      <c r="T1335" s="3"/>
      <c r="U1335" s="3"/>
      <c r="V1335" s="3"/>
      <c r="W1335" s="3"/>
      <c r="X1335" s="3"/>
      <c r="Y1335" s="3"/>
      <c r="Z1335" s="3"/>
      <c r="AA1335" s="3"/>
      <c r="AB1335" s="3"/>
      <c r="AC1335" s="3"/>
      <c r="AD1335" s="3"/>
      <c r="AE1335" s="3"/>
      <c r="AF1335" s="3"/>
      <c r="AG1335" s="3"/>
    </row>
    <row r="1336">
      <c r="A1336" s="2">
        <v>2019.0</v>
      </c>
      <c r="B1336" s="1" t="s">
        <v>213</v>
      </c>
      <c r="D1336" s="5" t="s">
        <v>316</v>
      </c>
      <c r="F1336" s="5">
        <v>1520.0</v>
      </c>
      <c r="I1336" s="5">
        <v>0.0</v>
      </c>
      <c r="J1336" s="5">
        <v>61.0</v>
      </c>
      <c r="K1336" s="5">
        <f t="shared" si="253"/>
        <v>1581</v>
      </c>
      <c r="L1336" s="5">
        <v>0.0</v>
      </c>
      <c r="N1336" s="5">
        <f t="shared" si="254"/>
        <v>1581</v>
      </c>
      <c r="P1336" s="3"/>
      <c r="Q1336" s="3"/>
      <c r="R1336" s="3"/>
      <c r="S1336" s="3"/>
      <c r="T1336" s="3"/>
      <c r="U1336" s="3"/>
      <c r="V1336" s="3"/>
      <c r="W1336" s="3"/>
      <c r="X1336" s="3"/>
      <c r="Y1336" s="3"/>
      <c r="Z1336" s="3"/>
      <c r="AA1336" s="3"/>
      <c r="AB1336" s="3"/>
      <c r="AC1336" s="3"/>
      <c r="AD1336" s="3"/>
      <c r="AE1336" s="3"/>
      <c r="AF1336" s="3"/>
      <c r="AG1336" s="3"/>
    </row>
    <row r="1337">
      <c r="A1337" s="2">
        <v>2019.0</v>
      </c>
      <c r="B1337" s="1" t="s">
        <v>213</v>
      </c>
      <c r="D1337" s="5" t="s">
        <v>316</v>
      </c>
      <c r="F1337" s="5">
        <v>69632.0</v>
      </c>
      <c r="I1337" s="5">
        <v>35355.0</v>
      </c>
      <c r="J1337" s="5">
        <v>3575.0</v>
      </c>
      <c r="K1337" s="5">
        <f t="shared" si="253"/>
        <v>108562</v>
      </c>
      <c r="L1337" s="5">
        <v>0.0</v>
      </c>
      <c r="N1337" s="5">
        <f t="shared" si="254"/>
        <v>108562</v>
      </c>
      <c r="P1337" s="3"/>
      <c r="Q1337" s="3"/>
      <c r="R1337" s="3"/>
      <c r="S1337" s="3"/>
      <c r="T1337" s="3"/>
      <c r="U1337" s="3"/>
      <c r="V1337" s="3"/>
      <c r="W1337" s="3"/>
      <c r="X1337" s="3"/>
      <c r="Y1337" s="3"/>
      <c r="Z1337" s="3"/>
      <c r="AA1337" s="3"/>
      <c r="AB1337" s="3"/>
      <c r="AC1337" s="3"/>
      <c r="AD1337" s="3"/>
      <c r="AE1337" s="3"/>
      <c r="AF1337" s="3"/>
      <c r="AG1337" s="3"/>
    </row>
    <row r="1338">
      <c r="A1338" s="2">
        <v>2019.0</v>
      </c>
      <c r="B1338" s="1" t="s">
        <v>213</v>
      </c>
      <c r="D1338" s="5" t="s">
        <v>1564</v>
      </c>
      <c r="F1338" s="5">
        <f>SUM(F1335:F1337)</f>
        <v>74363</v>
      </c>
      <c r="I1338" s="5">
        <f t="shared" ref="I1338:L1338" si="255">SUM(I1335:I1337)</f>
        <v>1402882</v>
      </c>
      <c r="J1338" s="5">
        <f t="shared" si="255"/>
        <v>12340</v>
      </c>
      <c r="K1338" s="5">
        <f t="shared" si="255"/>
        <v>1489585</v>
      </c>
      <c r="L1338" s="5">
        <f t="shared" si="255"/>
        <v>1085198</v>
      </c>
      <c r="N1338" s="5">
        <f>SUM(N1335:N1337)</f>
        <v>404387</v>
      </c>
      <c r="P1338" s="3"/>
      <c r="Q1338" s="3"/>
      <c r="R1338" s="3"/>
      <c r="S1338" s="3"/>
      <c r="T1338" s="3"/>
      <c r="U1338" s="3"/>
      <c r="V1338" s="3"/>
      <c r="W1338" s="3"/>
      <c r="X1338" s="3"/>
      <c r="Y1338" s="3"/>
      <c r="Z1338" s="3"/>
      <c r="AA1338" s="3"/>
      <c r="AB1338" s="3"/>
      <c r="AC1338" s="3"/>
      <c r="AD1338" s="3"/>
      <c r="AE1338" s="3"/>
      <c r="AF1338" s="3"/>
      <c r="AG1338" s="3"/>
    </row>
    <row r="1339">
      <c r="A1339" s="2">
        <v>2019.0</v>
      </c>
      <c r="B1339" s="1" t="s">
        <v>213</v>
      </c>
      <c r="D1339" s="5" t="s">
        <v>1564</v>
      </c>
      <c r="F1339" s="5">
        <v>132027.0</v>
      </c>
      <c r="I1339" s="5">
        <v>120000.0</v>
      </c>
      <c r="J1339" s="5">
        <v>6382.0</v>
      </c>
      <c r="K1339" s="5">
        <f t="shared" ref="K1339:K1343" si="256">SUM(F1339:J1339)</f>
        <v>258409</v>
      </c>
      <c r="L1339" s="5">
        <v>107495.0</v>
      </c>
      <c r="N1339" s="5">
        <f t="shared" ref="N1339:N1343" si="257">K1339-L1339</f>
        <v>150914</v>
      </c>
      <c r="P1339" s="3"/>
      <c r="Q1339" s="3"/>
      <c r="R1339" s="3"/>
      <c r="S1339" s="3"/>
      <c r="T1339" s="3"/>
      <c r="U1339" s="3"/>
      <c r="V1339" s="3"/>
      <c r="W1339" s="3"/>
      <c r="X1339" s="3"/>
      <c r="Y1339" s="3"/>
      <c r="Z1339" s="3"/>
      <c r="AA1339" s="3"/>
      <c r="AB1339" s="3"/>
      <c r="AC1339" s="3"/>
      <c r="AD1339" s="3"/>
      <c r="AE1339" s="3"/>
      <c r="AF1339" s="3"/>
      <c r="AG1339" s="3"/>
    </row>
    <row r="1340">
      <c r="A1340" s="2">
        <v>2019.0</v>
      </c>
      <c r="B1340" s="1" t="s">
        <v>213</v>
      </c>
      <c r="D1340" s="5" t="s">
        <v>1564</v>
      </c>
      <c r="F1340" s="5">
        <v>0.0</v>
      </c>
      <c r="I1340" s="5">
        <v>992000.0</v>
      </c>
      <c r="J1340" s="5">
        <v>0.0</v>
      </c>
      <c r="K1340" s="5">
        <f t="shared" si="256"/>
        <v>992000</v>
      </c>
      <c r="L1340" s="5">
        <v>898820.0</v>
      </c>
      <c r="N1340" s="5">
        <f t="shared" si="257"/>
        <v>93180</v>
      </c>
      <c r="P1340" s="3"/>
      <c r="Q1340" s="3"/>
      <c r="R1340" s="3"/>
      <c r="S1340" s="3"/>
      <c r="T1340" s="3"/>
      <c r="U1340" s="3"/>
      <c r="V1340" s="3"/>
      <c r="W1340" s="3"/>
      <c r="X1340" s="3"/>
      <c r="Y1340" s="3"/>
      <c r="Z1340" s="3"/>
      <c r="AA1340" s="3"/>
      <c r="AB1340" s="3"/>
      <c r="AC1340" s="3"/>
      <c r="AD1340" s="3"/>
      <c r="AE1340" s="3"/>
      <c r="AF1340" s="3"/>
      <c r="AG1340" s="3"/>
    </row>
    <row r="1341">
      <c r="A1341" s="2">
        <v>2019.0</v>
      </c>
      <c r="B1341" s="1" t="s">
        <v>213</v>
      </c>
      <c r="D1341" s="5" t="s">
        <v>1564</v>
      </c>
      <c r="F1341" s="5">
        <v>97215.0</v>
      </c>
      <c r="I1341" s="5">
        <v>39360.0</v>
      </c>
      <c r="J1341" s="5">
        <v>11981.0</v>
      </c>
      <c r="K1341" s="5">
        <f t="shared" si="256"/>
        <v>148556</v>
      </c>
      <c r="N1341" s="5">
        <f t="shared" si="257"/>
        <v>148556</v>
      </c>
      <c r="P1341" s="3"/>
      <c r="Q1341" s="3"/>
      <c r="R1341" s="3"/>
      <c r="S1341" s="3"/>
      <c r="T1341" s="3"/>
      <c r="U1341" s="3"/>
      <c r="V1341" s="3"/>
      <c r="W1341" s="3"/>
      <c r="X1341" s="3"/>
      <c r="Y1341" s="3"/>
      <c r="Z1341" s="3"/>
      <c r="AA1341" s="3"/>
      <c r="AB1341" s="3"/>
      <c r="AC1341" s="3"/>
      <c r="AD1341" s="3"/>
      <c r="AE1341" s="3"/>
      <c r="AF1341" s="3"/>
      <c r="AG1341" s="3"/>
    </row>
    <row r="1342">
      <c r="A1342" s="2">
        <v>2019.0</v>
      </c>
      <c r="B1342" s="1" t="s">
        <v>213</v>
      </c>
      <c r="D1342" s="5" t="s">
        <v>1564</v>
      </c>
      <c r="F1342" s="5">
        <v>1000.0</v>
      </c>
      <c r="I1342" s="5">
        <v>234400.0</v>
      </c>
      <c r="J1342" s="5">
        <v>0.0</v>
      </c>
      <c r="K1342" s="5">
        <f t="shared" si="256"/>
        <v>235400</v>
      </c>
      <c r="L1342" s="5">
        <v>200.0</v>
      </c>
      <c r="N1342" s="5">
        <f t="shared" si="257"/>
        <v>235200</v>
      </c>
      <c r="P1342" s="3"/>
      <c r="Q1342" s="3"/>
      <c r="R1342" s="3"/>
      <c r="S1342" s="3"/>
      <c r="T1342" s="3"/>
      <c r="U1342" s="3"/>
      <c r="V1342" s="3"/>
      <c r="W1342" s="3"/>
      <c r="X1342" s="3"/>
      <c r="Y1342" s="3"/>
      <c r="Z1342" s="3"/>
      <c r="AA1342" s="3"/>
      <c r="AB1342" s="3"/>
      <c r="AC1342" s="3"/>
      <c r="AD1342" s="3"/>
      <c r="AE1342" s="3"/>
      <c r="AF1342" s="3"/>
      <c r="AG1342" s="3"/>
    </row>
    <row r="1343">
      <c r="A1343" s="2">
        <v>2019.0</v>
      </c>
      <c r="B1343" s="1" t="s">
        <v>213</v>
      </c>
      <c r="D1343" s="5" t="s">
        <v>1564</v>
      </c>
      <c r="F1343" s="5">
        <v>869430.0</v>
      </c>
      <c r="I1343" s="5">
        <v>100000.0</v>
      </c>
      <c r="J1343" s="5">
        <v>23550.0</v>
      </c>
      <c r="K1343" s="5">
        <f t="shared" si="256"/>
        <v>992980</v>
      </c>
      <c r="L1343" s="5">
        <v>919503.0</v>
      </c>
      <c r="N1343" s="5">
        <f t="shared" si="257"/>
        <v>73477</v>
      </c>
      <c r="P1343" s="3"/>
      <c r="Q1343" s="3"/>
      <c r="R1343" s="3"/>
      <c r="S1343" s="3"/>
      <c r="T1343" s="3"/>
      <c r="U1343" s="3"/>
      <c r="V1343" s="3"/>
      <c r="W1343" s="3"/>
      <c r="X1343" s="3"/>
      <c r="Y1343" s="3"/>
      <c r="Z1343" s="3"/>
      <c r="AA1343" s="3"/>
      <c r="AB1343" s="3"/>
      <c r="AC1343" s="3"/>
      <c r="AD1343" s="3"/>
      <c r="AE1343" s="3"/>
      <c r="AF1343" s="3"/>
      <c r="AG1343" s="3"/>
    </row>
    <row r="1344">
      <c r="A1344" s="2">
        <v>2019.0</v>
      </c>
      <c r="B1344" s="1" t="s">
        <v>213</v>
      </c>
      <c r="D1344" s="5" t="s">
        <v>321</v>
      </c>
      <c r="F1344" s="5">
        <f>SUM(F1339:F1343)</f>
        <v>1099672</v>
      </c>
      <c r="I1344" s="5">
        <f t="shared" ref="I1344:L1344" si="258">SUM(I1339:I1343)</f>
        <v>1485760</v>
      </c>
      <c r="J1344" s="5">
        <f t="shared" si="258"/>
        <v>41913</v>
      </c>
      <c r="K1344" s="5">
        <f t="shared" si="258"/>
        <v>2627345</v>
      </c>
      <c r="L1344" s="5">
        <f t="shared" si="258"/>
        <v>1926018</v>
      </c>
      <c r="N1344" s="5">
        <f>SUM(N1339:N1343)</f>
        <v>701327</v>
      </c>
      <c r="P1344" s="3"/>
      <c r="Q1344" s="3"/>
      <c r="R1344" s="3"/>
      <c r="S1344" s="3"/>
      <c r="T1344" s="3"/>
      <c r="U1344" s="3"/>
      <c r="V1344" s="3"/>
      <c r="W1344" s="3"/>
      <c r="X1344" s="3"/>
      <c r="Y1344" s="3"/>
      <c r="Z1344" s="3"/>
      <c r="AA1344" s="3"/>
      <c r="AB1344" s="3"/>
      <c r="AC1344" s="3"/>
      <c r="AD1344" s="3"/>
      <c r="AE1344" s="3"/>
      <c r="AF1344" s="3"/>
      <c r="AG1344" s="3"/>
    </row>
    <row r="1345">
      <c r="A1345" s="2">
        <v>2019.0</v>
      </c>
      <c r="B1345" s="1" t="s">
        <v>213</v>
      </c>
      <c r="D1345" s="5" t="s">
        <v>321</v>
      </c>
      <c r="F1345" s="5">
        <v>0.0</v>
      </c>
      <c r="I1345" s="5">
        <v>992000.0</v>
      </c>
      <c r="J1345" s="5">
        <v>5525.0</v>
      </c>
      <c r="K1345" s="5">
        <f t="shared" ref="K1345:K1347" si="259">SUM(F1345:J1345)</f>
        <v>997525</v>
      </c>
      <c r="L1345" s="5">
        <v>410930.0</v>
      </c>
      <c r="N1345" s="5">
        <f t="shared" ref="N1345:N1347" si="260">K1345-L1345</f>
        <v>586595</v>
      </c>
      <c r="P1345" s="3"/>
      <c r="Q1345" s="3"/>
      <c r="R1345" s="3"/>
      <c r="S1345" s="3"/>
      <c r="T1345" s="3"/>
      <c r="U1345" s="3"/>
      <c r="V1345" s="3"/>
      <c r="W1345" s="3"/>
      <c r="X1345" s="3"/>
      <c r="Y1345" s="3"/>
      <c r="Z1345" s="3"/>
      <c r="AA1345" s="3"/>
      <c r="AB1345" s="3"/>
      <c r="AC1345" s="3"/>
      <c r="AD1345" s="3"/>
      <c r="AE1345" s="3"/>
      <c r="AF1345" s="3"/>
      <c r="AG1345" s="3"/>
    </row>
    <row r="1346">
      <c r="A1346" s="2">
        <v>2019.0</v>
      </c>
      <c r="B1346" s="1" t="s">
        <v>213</v>
      </c>
      <c r="D1346" s="5" t="s">
        <v>321</v>
      </c>
      <c r="F1346" s="5">
        <v>165260.0</v>
      </c>
      <c r="I1346" s="5">
        <v>29145.0</v>
      </c>
      <c r="J1346" s="5">
        <v>7588.0</v>
      </c>
      <c r="K1346" s="5">
        <f t="shared" si="259"/>
        <v>201993</v>
      </c>
      <c r="L1346" s="5">
        <v>0.0</v>
      </c>
      <c r="N1346" s="5">
        <f t="shared" si="260"/>
        <v>201993</v>
      </c>
      <c r="P1346" s="3"/>
      <c r="Q1346" s="3"/>
      <c r="R1346" s="3"/>
      <c r="S1346" s="3"/>
      <c r="T1346" s="3"/>
      <c r="U1346" s="3"/>
      <c r="V1346" s="3"/>
      <c r="W1346" s="3"/>
      <c r="X1346" s="3"/>
      <c r="Y1346" s="3"/>
      <c r="Z1346" s="3"/>
      <c r="AA1346" s="3"/>
      <c r="AB1346" s="3"/>
      <c r="AC1346" s="3"/>
      <c r="AD1346" s="3"/>
      <c r="AE1346" s="3"/>
      <c r="AF1346" s="3"/>
      <c r="AG1346" s="3"/>
    </row>
    <row r="1347">
      <c r="A1347" s="2">
        <v>2019.0</v>
      </c>
      <c r="B1347" s="1" t="s">
        <v>213</v>
      </c>
      <c r="D1347" s="5" t="s">
        <v>321</v>
      </c>
      <c r="F1347" s="5">
        <v>1000.0</v>
      </c>
      <c r="I1347" s="5">
        <v>230400.0</v>
      </c>
      <c r="J1347" s="5">
        <v>1219.0</v>
      </c>
      <c r="K1347" s="5">
        <f t="shared" si="259"/>
        <v>232619</v>
      </c>
      <c r="L1347" s="5">
        <v>230599.0</v>
      </c>
      <c r="N1347" s="5">
        <f t="shared" si="260"/>
        <v>2020</v>
      </c>
      <c r="P1347" s="3"/>
      <c r="Q1347" s="3"/>
      <c r="R1347" s="3"/>
      <c r="S1347" s="3"/>
      <c r="T1347" s="3"/>
      <c r="U1347" s="3"/>
      <c r="V1347" s="3"/>
      <c r="W1347" s="3"/>
      <c r="X1347" s="3"/>
      <c r="Y1347" s="3"/>
      <c r="Z1347" s="3"/>
      <c r="AA1347" s="3"/>
      <c r="AB1347" s="3"/>
      <c r="AC1347" s="3"/>
      <c r="AD1347" s="3"/>
      <c r="AE1347" s="3"/>
      <c r="AF1347" s="3"/>
      <c r="AG1347" s="3"/>
    </row>
    <row r="1348">
      <c r="A1348" s="2">
        <v>2019.0</v>
      </c>
      <c r="B1348" s="1" t="s">
        <v>213</v>
      </c>
      <c r="D1348" s="5" t="s">
        <v>324</v>
      </c>
      <c r="F1348" s="5">
        <f>SUM(F1345:F1347)</f>
        <v>166260</v>
      </c>
      <c r="I1348" s="5">
        <f t="shared" ref="I1348:L1348" si="261">SUM(I1345:I1347)</f>
        <v>1251545</v>
      </c>
      <c r="J1348" s="5">
        <f t="shared" si="261"/>
        <v>14332</v>
      </c>
      <c r="K1348" s="5">
        <f t="shared" si="261"/>
        <v>1432137</v>
      </c>
      <c r="L1348" s="5">
        <f t="shared" si="261"/>
        <v>641529</v>
      </c>
      <c r="N1348" s="5">
        <f>SUM(N1345:N1347)</f>
        <v>790608</v>
      </c>
      <c r="P1348" s="3"/>
      <c r="Q1348" s="3"/>
      <c r="R1348" s="3"/>
      <c r="S1348" s="3"/>
      <c r="T1348" s="3"/>
      <c r="U1348" s="3"/>
      <c r="V1348" s="3"/>
      <c r="W1348" s="3"/>
      <c r="X1348" s="3"/>
      <c r="Y1348" s="3"/>
      <c r="Z1348" s="3"/>
      <c r="AA1348" s="3"/>
      <c r="AB1348" s="3"/>
      <c r="AC1348" s="3"/>
      <c r="AD1348" s="3"/>
      <c r="AE1348" s="3"/>
      <c r="AF1348" s="3"/>
      <c r="AG1348" s="3"/>
    </row>
    <row r="1349">
      <c r="A1349" s="2">
        <v>2019.0</v>
      </c>
      <c r="B1349" s="1" t="s">
        <v>213</v>
      </c>
      <c r="D1349" s="5" t="s">
        <v>324</v>
      </c>
      <c r="F1349" s="5">
        <v>48561.0</v>
      </c>
      <c r="I1349" s="5">
        <v>644800.0</v>
      </c>
      <c r="J1349" s="5">
        <v>0.0</v>
      </c>
      <c r="K1349" s="5">
        <f t="shared" ref="K1349:K1351" si="262">SUM(F1349:J1349)</f>
        <v>693361</v>
      </c>
      <c r="L1349" s="5">
        <v>326140.0</v>
      </c>
      <c r="N1349" s="5">
        <f t="shared" ref="N1349:N1351" si="263">K1349-L1349</f>
        <v>367221</v>
      </c>
      <c r="P1349" s="3"/>
      <c r="Q1349" s="3"/>
      <c r="R1349" s="3"/>
      <c r="S1349" s="3"/>
      <c r="T1349" s="3"/>
      <c r="U1349" s="3"/>
      <c r="V1349" s="3"/>
      <c r="W1349" s="3"/>
      <c r="X1349" s="3"/>
      <c r="Y1349" s="3"/>
      <c r="Z1349" s="3"/>
      <c r="AA1349" s="3"/>
      <c r="AB1349" s="3"/>
      <c r="AC1349" s="3"/>
      <c r="AD1349" s="3"/>
      <c r="AE1349" s="3"/>
      <c r="AF1349" s="3"/>
      <c r="AG1349" s="3"/>
    </row>
    <row r="1350">
      <c r="A1350" s="2">
        <v>2019.0</v>
      </c>
      <c r="B1350" s="1" t="s">
        <v>213</v>
      </c>
      <c r="D1350" s="5" t="s">
        <v>324</v>
      </c>
      <c r="F1350" s="5">
        <v>58055.0</v>
      </c>
      <c r="I1350" s="5">
        <v>992000.0</v>
      </c>
      <c r="J1350" s="5">
        <v>16410.0</v>
      </c>
      <c r="K1350" s="5">
        <f t="shared" si="262"/>
        <v>1066465</v>
      </c>
      <c r="L1350" s="5">
        <v>659869.0</v>
      </c>
      <c r="N1350" s="5">
        <f t="shared" si="263"/>
        <v>406596</v>
      </c>
      <c r="P1350" s="3"/>
      <c r="Q1350" s="3"/>
      <c r="R1350" s="3"/>
      <c r="S1350" s="3"/>
      <c r="T1350" s="3"/>
      <c r="U1350" s="3"/>
      <c r="V1350" s="3"/>
      <c r="W1350" s="3"/>
      <c r="X1350" s="3"/>
      <c r="Y1350" s="3"/>
      <c r="Z1350" s="3"/>
      <c r="AA1350" s="3"/>
      <c r="AB1350" s="3"/>
      <c r="AC1350" s="3"/>
      <c r="AD1350" s="3"/>
      <c r="AE1350" s="3"/>
      <c r="AF1350" s="3"/>
      <c r="AG1350" s="3"/>
    </row>
    <row r="1351">
      <c r="A1351" s="2">
        <v>2019.0</v>
      </c>
      <c r="B1351" s="1" t="s">
        <v>213</v>
      </c>
      <c r="D1351" s="5" t="s">
        <v>324</v>
      </c>
      <c r="F1351" s="5">
        <v>10116.0</v>
      </c>
      <c r="I1351" s="5">
        <v>13070.0</v>
      </c>
      <c r="J1351" s="5">
        <v>654.0</v>
      </c>
      <c r="K1351" s="5">
        <f t="shared" si="262"/>
        <v>23840</v>
      </c>
      <c r="L1351" s="5">
        <v>10000.0</v>
      </c>
      <c r="N1351" s="5">
        <f t="shared" si="263"/>
        <v>13840</v>
      </c>
      <c r="P1351" s="3"/>
      <c r="Q1351" s="3"/>
      <c r="R1351" s="3"/>
      <c r="S1351" s="3"/>
      <c r="T1351" s="3"/>
      <c r="U1351" s="3"/>
      <c r="V1351" s="3"/>
      <c r="W1351" s="3"/>
      <c r="X1351" s="3"/>
      <c r="Y1351" s="3"/>
      <c r="Z1351" s="3"/>
      <c r="AA1351" s="3"/>
      <c r="AB1351" s="3"/>
      <c r="AC1351" s="3"/>
      <c r="AD1351" s="3"/>
      <c r="AE1351" s="3"/>
      <c r="AF1351" s="3"/>
      <c r="AG1351" s="3"/>
    </row>
    <row r="1352">
      <c r="A1352" s="2">
        <v>2019.0</v>
      </c>
      <c r="B1352" s="1" t="s">
        <v>213</v>
      </c>
      <c r="D1352" s="5" t="s">
        <v>326</v>
      </c>
      <c r="F1352" s="5">
        <f>SUM(F1349:F1351)</f>
        <v>116732</v>
      </c>
      <c r="I1352" s="5">
        <f t="shared" ref="I1352:L1352" si="264">SUM(I1349:I1351)</f>
        <v>1649870</v>
      </c>
      <c r="J1352" s="5">
        <f t="shared" si="264"/>
        <v>17064</v>
      </c>
      <c r="K1352" s="5">
        <f t="shared" si="264"/>
        <v>1783666</v>
      </c>
      <c r="L1352" s="5">
        <f t="shared" si="264"/>
        <v>996009</v>
      </c>
      <c r="N1352" s="5">
        <f>SUM(N1349:N1351)</f>
        <v>787657</v>
      </c>
      <c r="P1352" s="3"/>
      <c r="Q1352" s="3"/>
      <c r="R1352" s="3"/>
      <c r="S1352" s="3"/>
      <c r="T1352" s="3"/>
      <c r="U1352" s="3"/>
      <c r="V1352" s="3"/>
      <c r="W1352" s="3"/>
      <c r="X1352" s="3"/>
      <c r="Y1352" s="3"/>
      <c r="Z1352" s="3"/>
      <c r="AA1352" s="3"/>
      <c r="AB1352" s="3"/>
      <c r="AC1352" s="3"/>
      <c r="AD1352" s="3"/>
      <c r="AE1352" s="3"/>
      <c r="AF1352" s="3"/>
      <c r="AG1352" s="3"/>
    </row>
    <row r="1353">
      <c r="A1353" s="2">
        <v>2019.0</v>
      </c>
      <c r="B1353" s="1" t="s">
        <v>213</v>
      </c>
      <c r="D1353" s="5" t="s">
        <v>199</v>
      </c>
      <c r="F1353" s="5">
        <v>537225.0</v>
      </c>
      <c r="I1353" s="5">
        <v>1201893.0</v>
      </c>
      <c r="K1353" s="5">
        <v>1739118.0</v>
      </c>
      <c r="L1353" s="5">
        <v>1429992.0</v>
      </c>
      <c r="N1353" s="5">
        <v>309126.0</v>
      </c>
      <c r="P1353" s="3"/>
      <c r="Q1353" s="3"/>
      <c r="R1353" s="3"/>
      <c r="S1353" s="3"/>
      <c r="T1353" s="3"/>
      <c r="U1353" s="3"/>
      <c r="V1353" s="3"/>
      <c r="W1353" s="3"/>
      <c r="X1353" s="3"/>
      <c r="Y1353" s="3"/>
      <c r="Z1353" s="3"/>
      <c r="AA1353" s="3"/>
      <c r="AB1353" s="3"/>
      <c r="AC1353" s="3"/>
      <c r="AD1353" s="3"/>
      <c r="AE1353" s="3"/>
      <c r="AF1353" s="3"/>
      <c r="AG1353" s="3"/>
    </row>
    <row r="1354">
      <c r="A1354" s="2">
        <v>2019.0</v>
      </c>
      <c r="B1354" s="1" t="s">
        <v>213</v>
      </c>
      <c r="D1354" s="5" t="s">
        <v>202</v>
      </c>
      <c r="F1354" s="5">
        <v>1022875.0</v>
      </c>
      <c r="I1354" s="5">
        <v>884686.0</v>
      </c>
      <c r="K1354" s="5">
        <v>1907561.0</v>
      </c>
      <c r="L1354" s="5">
        <v>862774.0</v>
      </c>
      <c r="N1354" s="5">
        <v>1044787.0</v>
      </c>
      <c r="P1354" s="3"/>
      <c r="Q1354" s="3"/>
      <c r="R1354" s="3"/>
      <c r="S1354" s="3"/>
      <c r="T1354" s="3"/>
      <c r="U1354" s="3"/>
      <c r="V1354" s="3"/>
      <c r="W1354" s="3"/>
      <c r="X1354" s="3"/>
      <c r="Y1354" s="3"/>
      <c r="Z1354" s="3"/>
      <c r="AA1354" s="3"/>
      <c r="AB1354" s="3"/>
      <c r="AC1354" s="3"/>
      <c r="AD1354" s="3"/>
      <c r="AE1354" s="3"/>
      <c r="AF1354" s="3"/>
      <c r="AG1354" s="3"/>
    </row>
    <row r="1355">
      <c r="A1355" s="2">
        <v>2019.0</v>
      </c>
      <c r="B1355" s="1" t="s">
        <v>213</v>
      </c>
      <c r="D1355" s="5" t="s">
        <v>208</v>
      </c>
      <c r="F1355" s="5">
        <v>972989.0</v>
      </c>
      <c r="I1355" s="5">
        <v>1791298.0</v>
      </c>
      <c r="K1355" s="5">
        <v>2764287.0</v>
      </c>
      <c r="L1355" s="5">
        <v>955730.0</v>
      </c>
      <c r="N1355" s="5">
        <v>1808557.0</v>
      </c>
      <c r="P1355" s="3"/>
      <c r="Q1355" s="3"/>
      <c r="R1355" s="3"/>
      <c r="S1355" s="3"/>
      <c r="T1355" s="3"/>
      <c r="U1355" s="3"/>
      <c r="V1355" s="3"/>
      <c r="W1355" s="3"/>
      <c r="X1355" s="3"/>
      <c r="Y1355" s="3"/>
      <c r="Z1355" s="3"/>
      <c r="AA1355" s="3"/>
      <c r="AB1355" s="3"/>
      <c r="AC1355" s="3"/>
      <c r="AD1355" s="3"/>
      <c r="AE1355" s="3"/>
      <c r="AF1355" s="3"/>
      <c r="AG1355" s="3"/>
    </row>
    <row r="1356">
      <c r="A1356" s="2">
        <v>2019.0</v>
      </c>
      <c r="B1356" s="1" t="s">
        <v>332</v>
      </c>
      <c r="D1356" s="5" t="s">
        <v>208</v>
      </c>
      <c r="F1356" s="5">
        <v>71614.0</v>
      </c>
      <c r="I1356" s="5">
        <v>41614.0</v>
      </c>
      <c r="J1356" s="5">
        <v>0.0</v>
      </c>
      <c r="K1356" s="5">
        <f t="shared" ref="K1356:K1359" si="265">SUM(F1356:J1356)</f>
        <v>113228</v>
      </c>
      <c r="L1356" s="5">
        <f t="shared" ref="L1356:L1359" si="266">K1356-N1356</f>
        <v>113228</v>
      </c>
      <c r="N1356" s="5">
        <v>0.0</v>
      </c>
      <c r="P1356" s="3"/>
      <c r="Q1356" s="3"/>
      <c r="R1356" s="3"/>
      <c r="S1356" s="3"/>
      <c r="T1356" s="3"/>
      <c r="U1356" s="3"/>
      <c r="V1356" s="3"/>
      <c r="W1356" s="3"/>
      <c r="X1356" s="3"/>
      <c r="Y1356" s="3"/>
      <c r="Z1356" s="3"/>
      <c r="AA1356" s="3"/>
      <c r="AB1356" s="3"/>
      <c r="AC1356" s="3"/>
      <c r="AD1356" s="3"/>
      <c r="AE1356" s="3"/>
      <c r="AF1356" s="3"/>
      <c r="AG1356" s="3"/>
    </row>
    <row r="1357">
      <c r="A1357" s="2">
        <v>2019.0</v>
      </c>
      <c r="B1357" s="1" t="s">
        <v>332</v>
      </c>
      <c r="D1357" s="5" t="s">
        <v>208</v>
      </c>
      <c r="F1357" s="5">
        <v>280575.0</v>
      </c>
      <c r="I1357" s="5">
        <v>755000.0</v>
      </c>
      <c r="J1357" s="5">
        <v>5321.0</v>
      </c>
      <c r="K1357" s="5">
        <f t="shared" si="265"/>
        <v>1040896</v>
      </c>
      <c r="L1357" s="5">
        <f t="shared" si="266"/>
        <v>400220</v>
      </c>
      <c r="N1357" s="5">
        <v>640676.0</v>
      </c>
      <c r="P1357" s="3"/>
      <c r="Q1357" s="3"/>
      <c r="R1357" s="3"/>
      <c r="S1357" s="3"/>
      <c r="T1357" s="3"/>
      <c r="U1357" s="3"/>
      <c r="V1357" s="3"/>
      <c r="W1357" s="3"/>
      <c r="X1357" s="3"/>
      <c r="Y1357" s="3"/>
      <c r="Z1357" s="3"/>
      <c r="AA1357" s="3"/>
      <c r="AB1357" s="3"/>
      <c r="AC1357" s="3"/>
      <c r="AD1357" s="3"/>
      <c r="AE1357" s="3"/>
      <c r="AF1357" s="3"/>
      <c r="AG1357" s="3"/>
    </row>
    <row r="1358">
      <c r="A1358" s="2">
        <v>2019.0</v>
      </c>
      <c r="B1358" s="1" t="s">
        <v>332</v>
      </c>
      <c r="D1358" s="5" t="s">
        <v>208</v>
      </c>
      <c r="F1358" s="5">
        <v>8140.0</v>
      </c>
      <c r="I1358" s="5">
        <v>1094269.0</v>
      </c>
      <c r="J1358" s="5">
        <v>6691.0</v>
      </c>
      <c r="K1358" s="5">
        <f t="shared" si="265"/>
        <v>1109100</v>
      </c>
      <c r="L1358" s="5">
        <f t="shared" si="266"/>
        <v>696911</v>
      </c>
      <c r="N1358" s="5">
        <v>412189.0</v>
      </c>
      <c r="P1358" s="3"/>
      <c r="Q1358" s="3"/>
      <c r="R1358" s="3"/>
      <c r="S1358" s="3"/>
      <c r="T1358" s="3"/>
      <c r="U1358" s="3"/>
      <c r="V1358" s="3"/>
      <c r="W1358" s="3"/>
      <c r="X1358" s="3"/>
      <c r="Y1358" s="3"/>
      <c r="Z1358" s="3"/>
      <c r="AA1358" s="3"/>
      <c r="AB1358" s="3"/>
      <c r="AC1358" s="3"/>
      <c r="AD1358" s="3"/>
      <c r="AE1358" s="3"/>
      <c r="AF1358" s="3"/>
      <c r="AG1358" s="3"/>
    </row>
    <row r="1359">
      <c r="A1359" s="2">
        <v>2019.0</v>
      </c>
      <c r="B1359" s="1" t="s">
        <v>332</v>
      </c>
      <c r="D1359" s="5" t="s">
        <v>208</v>
      </c>
      <c r="F1359" s="5">
        <v>17654.0</v>
      </c>
      <c r="I1359" s="5">
        <v>190773.0</v>
      </c>
      <c r="J1359" s="5">
        <v>846.0</v>
      </c>
      <c r="K1359" s="5">
        <f t="shared" si="265"/>
        <v>209273</v>
      </c>
      <c r="L1359" s="5">
        <f t="shared" si="266"/>
        <v>199166</v>
      </c>
      <c r="N1359" s="5">
        <v>10107.0</v>
      </c>
      <c r="P1359" s="3"/>
      <c r="Q1359" s="3"/>
      <c r="R1359" s="3"/>
      <c r="S1359" s="3"/>
      <c r="T1359" s="3"/>
      <c r="U1359" s="3"/>
      <c r="V1359" s="3"/>
      <c r="W1359" s="3"/>
      <c r="X1359" s="3"/>
      <c r="Y1359" s="3"/>
      <c r="Z1359" s="3"/>
      <c r="AA1359" s="3"/>
      <c r="AB1359" s="3"/>
      <c r="AC1359" s="3"/>
      <c r="AD1359" s="3"/>
      <c r="AE1359" s="3"/>
      <c r="AF1359" s="3"/>
      <c r="AG1359" s="3"/>
    </row>
    <row r="1360">
      <c r="A1360" s="2">
        <v>2019.0</v>
      </c>
      <c r="B1360" s="1" t="s">
        <v>332</v>
      </c>
      <c r="D1360" s="5" t="s">
        <v>208</v>
      </c>
      <c r="F1360" s="5">
        <v>4.1207561E7</v>
      </c>
      <c r="I1360" s="5">
        <v>1.11242054E8</v>
      </c>
      <c r="J1360" s="5">
        <v>1206994.0</v>
      </c>
      <c r="K1360" s="5">
        <v>1.53656609E8</v>
      </c>
      <c r="L1360" s="5">
        <v>7.6430904E7</v>
      </c>
      <c r="N1360" s="5">
        <v>7.7225705E7</v>
      </c>
      <c r="P1360" s="3"/>
      <c r="Q1360" s="3"/>
      <c r="R1360" s="3"/>
      <c r="S1360" s="3"/>
      <c r="T1360" s="3"/>
      <c r="U1360" s="3"/>
      <c r="V1360" s="3"/>
      <c r="W1360" s="3"/>
      <c r="X1360" s="3"/>
      <c r="Y1360" s="3"/>
      <c r="Z1360" s="3"/>
      <c r="AA1360" s="3"/>
      <c r="AB1360" s="3"/>
      <c r="AC1360" s="3"/>
      <c r="AD1360" s="3"/>
      <c r="AE1360" s="3"/>
      <c r="AF1360" s="3"/>
      <c r="AG1360" s="3"/>
    </row>
    <row r="1361">
      <c r="A1361" s="2">
        <v>2019.0</v>
      </c>
      <c r="B1361" s="1" t="s">
        <v>332</v>
      </c>
      <c r="D1361" s="5" t="s">
        <v>28</v>
      </c>
      <c r="F1361" s="5">
        <f>SUM(F1356:F1359)</f>
        <v>377983</v>
      </c>
      <c r="I1361" s="5">
        <f t="shared" ref="I1361:L1361" si="267">SUM(I1356:I1359)</f>
        <v>2081656</v>
      </c>
      <c r="J1361" s="5">
        <f t="shared" si="267"/>
        <v>12858</v>
      </c>
      <c r="K1361" s="5">
        <f t="shared" si="267"/>
        <v>2472497</v>
      </c>
      <c r="L1361" s="5">
        <f t="shared" si="267"/>
        <v>1409525</v>
      </c>
      <c r="N1361" s="5">
        <f>SUM(N1356:N1359)</f>
        <v>1062972</v>
      </c>
      <c r="P1361" s="3"/>
      <c r="Q1361" s="3"/>
      <c r="R1361" s="3"/>
      <c r="S1361" s="3"/>
      <c r="T1361" s="3"/>
      <c r="U1361" s="3"/>
      <c r="V1361" s="3"/>
      <c r="W1361" s="3"/>
      <c r="X1361" s="3"/>
      <c r="Y1361" s="3"/>
      <c r="Z1361" s="3"/>
      <c r="AA1361" s="3"/>
      <c r="AB1361" s="3"/>
      <c r="AC1361" s="3"/>
      <c r="AD1361" s="3"/>
      <c r="AE1361" s="3"/>
      <c r="AF1361" s="3"/>
      <c r="AG1361" s="3"/>
    </row>
    <row r="1362">
      <c r="A1362" s="2">
        <v>2019.0</v>
      </c>
      <c r="B1362" s="1" t="s">
        <v>332</v>
      </c>
      <c r="D1362" s="5" t="s">
        <v>28</v>
      </c>
      <c r="F1362" s="4">
        <v>5820.0</v>
      </c>
      <c r="I1362" s="4">
        <v>24613.0</v>
      </c>
      <c r="J1362" s="5">
        <v>313.0</v>
      </c>
      <c r="K1362" s="4">
        <f t="shared" ref="K1362:K1366" si="268">SUM(F1362:J1362)</f>
        <v>30746</v>
      </c>
      <c r="L1362" s="4">
        <f t="shared" ref="L1362:L1366" si="269">K1362-N1362</f>
        <v>24800</v>
      </c>
      <c r="N1362" s="4">
        <v>5946.0</v>
      </c>
      <c r="P1362" s="3"/>
      <c r="Q1362" s="3"/>
      <c r="R1362" s="3"/>
      <c r="S1362" s="3"/>
      <c r="T1362" s="3"/>
      <c r="U1362" s="3"/>
      <c r="V1362" s="3"/>
      <c r="W1362" s="3"/>
      <c r="X1362" s="3"/>
      <c r="Y1362" s="3"/>
      <c r="Z1362" s="3"/>
      <c r="AA1362" s="3"/>
      <c r="AB1362" s="3"/>
      <c r="AC1362" s="3"/>
      <c r="AD1362" s="3"/>
      <c r="AE1362" s="3"/>
      <c r="AF1362" s="3"/>
      <c r="AG1362" s="3"/>
    </row>
    <row r="1363">
      <c r="A1363" s="2">
        <v>2019.0</v>
      </c>
      <c r="B1363" s="1" t="s">
        <v>332</v>
      </c>
      <c r="D1363" s="5" t="s">
        <v>28</v>
      </c>
      <c r="F1363" s="4">
        <v>164999.0</v>
      </c>
      <c r="I1363" s="5">
        <v>0.0</v>
      </c>
      <c r="J1363" s="4">
        <v>4908.0</v>
      </c>
      <c r="K1363" s="4">
        <f t="shared" si="268"/>
        <v>169907</v>
      </c>
      <c r="L1363" s="4">
        <f t="shared" si="269"/>
        <v>168612</v>
      </c>
      <c r="N1363" s="4">
        <v>1295.0</v>
      </c>
      <c r="P1363" s="3"/>
      <c r="Q1363" s="3"/>
      <c r="R1363" s="3"/>
      <c r="S1363" s="3"/>
      <c r="T1363" s="3"/>
      <c r="U1363" s="3"/>
      <c r="V1363" s="3"/>
      <c r="W1363" s="3"/>
      <c r="X1363" s="3"/>
      <c r="Y1363" s="3"/>
      <c r="Z1363" s="3"/>
      <c r="AA1363" s="3"/>
      <c r="AB1363" s="3"/>
      <c r="AC1363" s="3"/>
      <c r="AD1363" s="3"/>
      <c r="AE1363" s="3"/>
      <c r="AF1363" s="3"/>
      <c r="AG1363" s="3"/>
    </row>
    <row r="1364">
      <c r="A1364" s="2">
        <v>2019.0</v>
      </c>
      <c r="B1364" s="1" t="s">
        <v>332</v>
      </c>
      <c r="D1364" s="5" t="s">
        <v>28</v>
      </c>
      <c r="F1364" s="4">
        <v>448520.0</v>
      </c>
      <c r="I1364" s="4">
        <v>1116000.0</v>
      </c>
      <c r="J1364" s="4">
        <v>9863.0</v>
      </c>
      <c r="K1364" s="4">
        <f t="shared" si="268"/>
        <v>1574383</v>
      </c>
      <c r="L1364" s="4">
        <f t="shared" si="269"/>
        <v>520554</v>
      </c>
      <c r="N1364" s="4">
        <v>1053829.0</v>
      </c>
      <c r="P1364" s="3"/>
      <c r="Q1364" s="3"/>
      <c r="R1364" s="3"/>
      <c r="S1364" s="3"/>
      <c r="T1364" s="3"/>
      <c r="U1364" s="3"/>
      <c r="V1364" s="3"/>
      <c r="W1364" s="3"/>
      <c r="X1364" s="3"/>
      <c r="Y1364" s="3"/>
      <c r="Z1364" s="3"/>
      <c r="AA1364" s="3"/>
      <c r="AB1364" s="3"/>
      <c r="AC1364" s="3"/>
      <c r="AD1364" s="3"/>
      <c r="AE1364" s="3"/>
      <c r="AF1364" s="3"/>
      <c r="AG1364" s="3"/>
    </row>
    <row r="1365">
      <c r="A1365" s="2">
        <v>2019.0</v>
      </c>
      <c r="B1365" s="1" t="s">
        <v>332</v>
      </c>
      <c r="D1365" s="5" t="s">
        <v>28</v>
      </c>
      <c r="F1365" s="4">
        <v>95718.0</v>
      </c>
      <c r="I1365" s="4">
        <v>792100.0</v>
      </c>
      <c r="J1365" s="4">
        <v>11844.0</v>
      </c>
      <c r="K1365" s="4">
        <f t="shared" si="268"/>
        <v>899662</v>
      </c>
      <c r="L1365" s="4">
        <f t="shared" si="269"/>
        <v>335479</v>
      </c>
      <c r="N1365" s="4">
        <v>564183.0</v>
      </c>
      <c r="P1365" s="3"/>
      <c r="Q1365" s="3"/>
      <c r="R1365" s="3"/>
      <c r="S1365" s="3"/>
      <c r="T1365" s="3"/>
      <c r="U1365" s="3"/>
      <c r="V1365" s="3"/>
      <c r="W1365" s="3"/>
      <c r="X1365" s="3"/>
      <c r="Y1365" s="3"/>
      <c r="Z1365" s="3"/>
      <c r="AA1365" s="3"/>
      <c r="AB1365" s="3"/>
      <c r="AC1365" s="3"/>
      <c r="AD1365" s="3"/>
      <c r="AE1365" s="3"/>
      <c r="AF1365" s="3"/>
      <c r="AG1365" s="3"/>
    </row>
    <row r="1366">
      <c r="A1366" s="2">
        <v>2019.0</v>
      </c>
      <c r="B1366" s="1" t="s">
        <v>332</v>
      </c>
      <c r="D1366" s="5" t="s">
        <v>28</v>
      </c>
      <c r="F1366" s="4">
        <v>5820.0</v>
      </c>
      <c r="I1366" s="4">
        <v>24613.0</v>
      </c>
      <c r="J1366" s="5">
        <v>313.0</v>
      </c>
      <c r="K1366" s="4">
        <f t="shared" si="268"/>
        <v>30746</v>
      </c>
      <c r="L1366" s="4">
        <f t="shared" si="269"/>
        <v>24800</v>
      </c>
      <c r="N1366" s="4">
        <v>5946.0</v>
      </c>
      <c r="P1366" s="3"/>
      <c r="Q1366" s="3"/>
      <c r="R1366" s="3"/>
      <c r="S1366" s="3"/>
      <c r="T1366" s="3"/>
      <c r="U1366" s="3"/>
      <c r="V1366" s="3"/>
      <c r="W1366" s="3"/>
      <c r="X1366" s="3"/>
      <c r="Y1366" s="3"/>
      <c r="Z1366" s="3"/>
      <c r="AA1366" s="3"/>
      <c r="AB1366" s="3"/>
      <c r="AC1366" s="3"/>
      <c r="AD1366" s="3"/>
      <c r="AE1366" s="3"/>
      <c r="AF1366" s="3"/>
      <c r="AG1366" s="3"/>
    </row>
    <row r="1367">
      <c r="A1367" s="2">
        <v>2019.0</v>
      </c>
      <c r="B1367" s="1" t="s">
        <v>332</v>
      </c>
      <c r="D1367" s="5" t="s">
        <v>36</v>
      </c>
      <c r="F1367" s="4">
        <f>SUM(F1362:F1366)</f>
        <v>720877</v>
      </c>
      <c r="I1367" s="4">
        <f t="shared" ref="I1367:L1367" si="270">SUM(I1362:I1366)</f>
        <v>1957326</v>
      </c>
      <c r="J1367" s="5">
        <f t="shared" si="270"/>
        <v>27241</v>
      </c>
      <c r="K1367" s="4">
        <f t="shared" si="270"/>
        <v>2705444</v>
      </c>
      <c r="L1367" s="4">
        <f t="shared" si="270"/>
        <v>1074245</v>
      </c>
      <c r="N1367" s="4">
        <f>SUM(N1362:N1366)</f>
        <v>1631199</v>
      </c>
      <c r="P1367" s="3"/>
      <c r="Q1367" s="3"/>
      <c r="R1367" s="3"/>
      <c r="S1367" s="3"/>
      <c r="T1367" s="3"/>
      <c r="U1367" s="3"/>
      <c r="V1367" s="3"/>
      <c r="W1367" s="3"/>
      <c r="X1367" s="3"/>
      <c r="Y1367" s="3"/>
      <c r="Z1367" s="3"/>
      <c r="AA1367" s="3"/>
      <c r="AB1367" s="3"/>
      <c r="AC1367" s="3"/>
      <c r="AD1367" s="3"/>
      <c r="AE1367" s="3"/>
      <c r="AF1367" s="3"/>
      <c r="AG1367" s="3"/>
    </row>
    <row r="1368">
      <c r="A1368" s="2">
        <v>2019.0</v>
      </c>
      <c r="B1368" s="1" t="s">
        <v>332</v>
      </c>
      <c r="D1368" s="5" t="s">
        <v>36</v>
      </c>
      <c r="F1368" s="5">
        <v>1424252.0</v>
      </c>
      <c r="I1368" s="5">
        <v>1030000.0</v>
      </c>
      <c r="J1368" s="5">
        <v>29160.0</v>
      </c>
      <c r="K1368" s="4">
        <f t="shared" ref="K1368:K1374" si="271">SUM(F1368:J1368)</f>
        <v>2483412</v>
      </c>
      <c r="L1368" s="4">
        <f t="shared" ref="L1368:L1374" si="272">K1368-N1368</f>
        <v>1500119</v>
      </c>
      <c r="N1368" s="5">
        <v>983293.0</v>
      </c>
      <c r="P1368" s="3"/>
      <c r="Q1368" s="3"/>
      <c r="R1368" s="3"/>
      <c r="S1368" s="3"/>
      <c r="T1368" s="3"/>
      <c r="U1368" s="3"/>
      <c r="V1368" s="3"/>
      <c r="W1368" s="3"/>
      <c r="X1368" s="3"/>
      <c r="Y1368" s="3"/>
      <c r="Z1368" s="3"/>
      <c r="AA1368" s="3"/>
      <c r="AB1368" s="3"/>
      <c r="AC1368" s="3"/>
      <c r="AD1368" s="3"/>
      <c r="AE1368" s="3"/>
      <c r="AF1368" s="3"/>
      <c r="AG1368" s="3"/>
    </row>
    <row r="1369">
      <c r="A1369" s="2">
        <v>2019.0</v>
      </c>
      <c r="B1369" s="1" t="s">
        <v>332</v>
      </c>
      <c r="D1369" s="5" t="s">
        <v>36</v>
      </c>
      <c r="F1369" s="5">
        <v>36901.0</v>
      </c>
      <c r="I1369" s="5">
        <v>0.0</v>
      </c>
      <c r="J1369" s="5">
        <v>1722.0</v>
      </c>
      <c r="K1369" s="4">
        <f t="shared" si="271"/>
        <v>38623</v>
      </c>
      <c r="L1369" s="4">
        <f t="shared" si="272"/>
        <v>38623</v>
      </c>
      <c r="N1369" s="5">
        <v>0.0</v>
      </c>
      <c r="P1369" s="3"/>
      <c r="Q1369" s="3"/>
      <c r="R1369" s="3"/>
      <c r="S1369" s="3"/>
      <c r="T1369" s="3"/>
      <c r="U1369" s="3"/>
      <c r="V1369" s="3"/>
      <c r="W1369" s="3"/>
      <c r="X1369" s="3"/>
      <c r="Y1369" s="3"/>
      <c r="Z1369" s="3"/>
      <c r="AA1369" s="3"/>
      <c r="AB1369" s="3"/>
      <c r="AC1369" s="3"/>
      <c r="AD1369" s="3"/>
      <c r="AE1369" s="3"/>
      <c r="AF1369" s="3"/>
      <c r="AG1369" s="3"/>
    </row>
    <row r="1370">
      <c r="A1370" s="2">
        <v>2019.0</v>
      </c>
      <c r="B1370" s="1" t="s">
        <v>332</v>
      </c>
      <c r="D1370" s="5" t="s">
        <v>36</v>
      </c>
      <c r="F1370" s="5">
        <v>197100.0</v>
      </c>
      <c r="I1370" s="5">
        <v>479198.0</v>
      </c>
      <c r="J1370" s="5">
        <v>10419.0</v>
      </c>
      <c r="K1370" s="4">
        <f t="shared" si="271"/>
        <v>686717</v>
      </c>
      <c r="L1370" s="4">
        <f t="shared" si="272"/>
        <v>324892</v>
      </c>
      <c r="N1370" s="5">
        <v>361825.0</v>
      </c>
      <c r="P1370" s="3"/>
      <c r="Q1370" s="3"/>
      <c r="R1370" s="3"/>
      <c r="S1370" s="3"/>
      <c r="T1370" s="3"/>
      <c r="U1370" s="3"/>
      <c r="V1370" s="3"/>
      <c r="W1370" s="3"/>
      <c r="X1370" s="3"/>
      <c r="Y1370" s="3"/>
      <c r="Z1370" s="3"/>
      <c r="AA1370" s="3"/>
      <c r="AB1370" s="3"/>
      <c r="AC1370" s="3"/>
      <c r="AD1370" s="3"/>
      <c r="AE1370" s="3"/>
      <c r="AF1370" s="3"/>
      <c r="AG1370" s="3"/>
    </row>
    <row r="1371">
      <c r="A1371" s="2">
        <v>2019.0</v>
      </c>
      <c r="B1371" s="1" t="s">
        <v>332</v>
      </c>
      <c r="D1371" s="5" t="s">
        <v>36</v>
      </c>
      <c r="F1371" s="5">
        <v>5185.0</v>
      </c>
      <c r="I1371" s="5">
        <v>0.0</v>
      </c>
      <c r="J1371" s="5">
        <v>135.0</v>
      </c>
      <c r="K1371" s="4">
        <f t="shared" si="271"/>
        <v>5320</v>
      </c>
      <c r="L1371" s="4">
        <f t="shared" si="272"/>
        <v>5320</v>
      </c>
      <c r="N1371" s="5">
        <v>0.0</v>
      </c>
      <c r="P1371" s="3"/>
      <c r="Q1371" s="3"/>
      <c r="R1371" s="3"/>
      <c r="S1371" s="3"/>
      <c r="T1371" s="3"/>
      <c r="U1371" s="3"/>
      <c r="V1371" s="3"/>
      <c r="W1371" s="3"/>
      <c r="X1371" s="3"/>
      <c r="Y1371" s="3"/>
      <c r="Z1371" s="3"/>
      <c r="AA1371" s="3"/>
      <c r="AB1371" s="3"/>
      <c r="AC1371" s="3"/>
      <c r="AD1371" s="3"/>
      <c r="AE1371" s="3"/>
      <c r="AF1371" s="3"/>
      <c r="AG1371" s="3"/>
    </row>
    <row r="1372">
      <c r="A1372" s="2">
        <v>2019.0</v>
      </c>
      <c r="B1372" s="1" t="s">
        <v>332</v>
      </c>
      <c r="D1372" s="5" t="s">
        <v>36</v>
      </c>
      <c r="F1372" s="5">
        <v>4294.0</v>
      </c>
      <c r="I1372" s="5">
        <v>0.0</v>
      </c>
      <c r="J1372" s="5">
        <v>111.0</v>
      </c>
      <c r="K1372" s="4">
        <f t="shared" si="271"/>
        <v>4405</v>
      </c>
      <c r="L1372" s="4">
        <f t="shared" si="272"/>
        <v>0</v>
      </c>
      <c r="N1372" s="5">
        <v>4405.0</v>
      </c>
      <c r="P1372" s="3"/>
      <c r="Q1372" s="3"/>
      <c r="R1372" s="3"/>
      <c r="S1372" s="3"/>
      <c r="T1372" s="3"/>
      <c r="U1372" s="3"/>
      <c r="V1372" s="3"/>
      <c r="W1372" s="3"/>
      <c r="X1372" s="3"/>
      <c r="Y1372" s="3"/>
      <c r="Z1372" s="3"/>
      <c r="AA1372" s="3"/>
      <c r="AB1372" s="3"/>
      <c r="AC1372" s="3"/>
      <c r="AD1372" s="3"/>
      <c r="AE1372" s="3"/>
      <c r="AF1372" s="3"/>
      <c r="AG1372" s="3"/>
    </row>
    <row r="1373">
      <c r="A1373" s="2">
        <v>2019.0</v>
      </c>
      <c r="B1373" s="1" t="s">
        <v>332</v>
      </c>
      <c r="D1373" s="5" t="s">
        <v>36</v>
      </c>
      <c r="F1373" s="5">
        <v>2267.0</v>
      </c>
      <c r="I1373" s="5">
        <v>0.0</v>
      </c>
      <c r="J1373" s="5">
        <v>103.0</v>
      </c>
      <c r="K1373" s="4">
        <f t="shared" si="271"/>
        <v>2370</v>
      </c>
      <c r="L1373" s="4">
        <f t="shared" si="272"/>
        <v>2370</v>
      </c>
      <c r="N1373" s="5">
        <v>0.0</v>
      </c>
      <c r="P1373" s="3"/>
      <c r="Q1373" s="3"/>
      <c r="R1373" s="3"/>
      <c r="S1373" s="3"/>
      <c r="T1373" s="3"/>
      <c r="U1373" s="3"/>
      <c r="V1373" s="3"/>
      <c r="W1373" s="3"/>
      <c r="X1373" s="3"/>
      <c r="Y1373" s="3"/>
      <c r="Z1373" s="3"/>
      <c r="AA1373" s="3"/>
      <c r="AB1373" s="3"/>
      <c r="AC1373" s="3"/>
      <c r="AD1373" s="3"/>
      <c r="AE1373" s="3"/>
      <c r="AF1373" s="3"/>
      <c r="AG1373" s="3"/>
    </row>
    <row r="1374">
      <c r="A1374" s="2">
        <v>2019.0</v>
      </c>
      <c r="B1374" s="1" t="s">
        <v>332</v>
      </c>
      <c r="D1374" s="5" t="s">
        <v>36</v>
      </c>
      <c r="F1374" s="5">
        <v>9213.0</v>
      </c>
      <c r="I1374" s="5">
        <v>736600.0</v>
      </c>
      <c r="J1374" s="5">
        <v>6674.0</v>
      </c>
      <c r="K1374" s="4">
        <f t="shared" si="271"/>
        <v>752487</v>
      </c>
      <c r="L1374" s="4">
        <f t="shared" si="272"/>
        <v>435211</v>
      </c>
      <c r="N1374" s="5">
        <v>317276.0</v>
      </c>
      <c r="P1374" s="3"/>
      <c r="Q1374" s="3"/>
      <c r="R1374" s="3"/>
      <c r="S1374" s="3"/>
      <c r="T1374" s="3"/>
      <c r="U1374" s="3"/>
      <c r="V1374" s="3"/>
      <c r="W1374" s="3"/>
      <c r="X1374" s="3"/>
      <c r="Y1374" s="3"/>
      <c r="Z1374" s="3"/>
      <c r="AA1374" s="3"/>
      <c r="AB1374" s="3"/>
      <c r="AC1374" s="3"/>
      <c r="AD1374" s="3"/>
      <c r="AE1374" s="3"/>
      <c r="AF1374" s="3"/>
      <c r="AG1374" s="3"/>
    </row>
    <row r="1375">
      <c r="A1375" s="2">
        <v>2019.0</v>
      </c>
      <c r="B1375" s="1" t="s">
        <v>332</v>
      </c>
      <c r="D1375" s="5" t="s">
        <v>48</v>
      </c>
      <c r="F1375" s="5">
        <f>SUM(F1368:F1374)</f>
        <v>1679212</v>
      </c>
      <c r="I1375" s="5">
        <f t="shared" ref="I1375:L1375" si="273">SUM(I1368:I1374)</f>
        <v>2245798</v>
      </c>
      <c r="J1375" s="5">
        <f t="shared" si="273"/>
        <v>48324</v>
      </c>
      <c r="K1375" s="4">
        <f t="shared" si="273"/>
        <v>3973334</v>
      </c>
      <c r="L1375" s="4">
        <f t="shared" si="273"/>
        <v>2306535</v>
      </c>
      <c r="N1375" s="5">
        <f>SUM(N1368:N1374)</f>
        <v>1666799</v>
      </c>
      <c r="P1375" s="3"/>
      <c r="Q1375" s="3"/>
      <c r="R1375" s="3"/>
      <c r="S1375" s="3"/>
      <c r="T1375" s="3"/>
      <c r="U1375" s="3"/>
      <c r="V1375" s="3"/>
      <c r="W1375" s="3"/>
      <c r="X1375" s="3"/>
      <c r="Y1375" s="3"/>
      <c r="Z1375" s="3"/>
      <c r="AA1375" s="3"/>
      <c r="AB1375" s="3"/>
      <c r="AC1375" s="3"/>
      <c r="AD1375" s="3"/>
      <c r="AE1375" s="3"/>
      <c r="AF1375" s="3"/>
      <c r="AG1375" s="3"/>
    </row>
    <row r="1376">
      <c r="A1376" s="2">
        <v>2019.0</v>
      </c>
      <c r="B1376" s="1" t="s">
        <v>332</v>
      </c>
      <c r="D1376" s="5" t="s">
        <v>48</v>
      </c>
      <c r="F1376" s="5" t="s">
        <v>1565</v>
      </c>
      <c r="I1376" s="5" t="s">
        <v>1565</v>
      </c>
      <c r="J1376" s="5" t="s">
        <v>1565</v>
      </c>
      <c r="K1376" s="4">
        <f t="shared" ref="K1376:K1378" si="274">SUM(F1376:J1376)</f>
        <v>0</v>
      </c>
      <c r="L1376" s="4">
        <f t="shared" ref="L1376:L1378" si="275">K1376-N1376</f>
        <v>0</v>
      </c>
      <c r="N1376" s="5">
        <v>0.0</v>
      </c>
      <c r="P1376" s="3"/>
      <c r="Q1376" s="3"/>
      <c r="R1376" s="3"/>
      <c r="S1376" s="3"/>
      <c r="T1376" s="3"/>
      <c r="U1376" s="3"/>
      <c r="V1376" s="3"/>
      <c r="W1376" s="3"/>
      <c r="X1376" s="3"/>
      <c r="Y1376" s="3"/>
      <c r="Z1376" s="3"/>
      <c r="AA1376" s="3"/>
      <c r="AB1376" s="3"/>
      <c r="AC1376" s="3"/>
      <c r="AD1376" s="3"/>
      <c r="AE1376" s="3"/>
      <c r="AF1376" s="3"/>
      <c r="AG1376" s="3"/>
    </row>
    <row r="1377">
      <c r="A1377" s="2">
        <v>2019.0</v>
      </c>
      <c r="B1377" s="1" t="s">
        <v>332</v>
      </c>
      <c r="D1377" s="5" t="s">
        <v>48</v>
      </c>
      <c r="F1377" s="5">
        <v>86577.0</v>
      </c>
      <c r="I1377" s="5">
        <v>3345427.0</v>
      </c>
      <c r="J1377" s="5">
        <v>9012.0</v>
      </c>
      <c r="K1377" s="4">
        <f t="shared" si="274"/>
        <v>3441016</v>
      </c>
      <c r="L1377" s="4">
        <f t="shared" si="275"/>
        <v>1379961</v>
      </c>
      <c r="N1377" s="5">
        <v>2061055.0</v>
      </c>
      <c r="P1377" s="3"/>
      <c r="Q1377" s="3"/>
      <c r="R1377" s="3"/>
      <c r="S1377" s="3"/>
      <c r="T1377" s="3"/>
      <c r="U1377" s="3"/>
      <c r="V1377" s="3"/>
      <c r="W1377" s="3"/>
      <c r="X1377" s="3"/>
      <c r="Y1377" s="3"/>
      <c r="Z1377" s="3"/>
      <c r="AA1377" s="3"/>
      <c r="AB1377" s="3"/>
      <c r="AC1377" s="3"/>
      <c r="AD1377" s="3"/>
      <c r="AE1377" s="3"/>
      <c r="AF1377" s="3"/>
      <c r="AG1377" s="3"/>
    </row>
    <row r="1378">
      <c r="A1378" s="2">
        <v>2019.0</v>
      </c>
      <c r="B1378" s="1" t="s">
        <v>332</v>
      </c>
      <c r="D1378" s="5" t="s">
        <v>48</v>
      </c>
      <c r="F1378" s="5">
        <v>735.0</v>
      </c>
      <c r="I1378" s="5">
        <v>557651.0</v>
      </c>
      <c r="J1378" s="5">
        <v>0.0</v>
      </c>
      <c r="K1378" s="4">
        <f t="shared" si="274"/>
        <v>558386</v>
      </c>
      <c r="L1378" s="4">
        <f t="shared" si="275"/>
        <v>556560</v>
      </c>
      <c r="N1378" s="5">
        <v>1826.0</v>
      </c>
      <c r="P1378" s="3"/>
      <c r="Q1378" s="3"/>
      <c r="R1378" s="3"/>
      <c r="S1378" s="3"/>
      <c r="T1378" s="3"/>
      <c r="U1378" s="3"/>
      <c r="V1378" s="3"/>
      <c r="W1378" s="3"/>
      <c r="X1378" s="3"/>
      <c r="Y1378" s="3"/>
      <c r="Z1378" s="3"/>
      <c r="AA1378" s="3"/>
      <c r="AB1378" s="3"/>
      <c r="AC1378" s="3"/>
      <c r="AD1378" s="3"/>
      <c r="AE1378" s="3"/>
      <c r="AF1378" s="3"/>
      <c r="AG1378" s="3"/>
    </row>
    <row r="1379">
      <c r="A1379" s="2">
        <v>2019.0</v>
      </c>
      <c r="B1379" s="1" t="s">
        <v>332</v>
      </c>
      <c r="D1379" s="5" t="s">
        <v>57</v>
      </c>
      <c r="F1379" s="5">
        <f>SUM(F1377:F1378)</f>
        <v>87312</v>
      </c>
      <c r="I1379" s="5">
        <f t="shared" ref="I1379:L1379" si="276">SUM(I1377:I1378)</f>
        <v>3903078</v>
      </c>
      <c r="J1379" s="5">
        <f t="shared" si="276"/>
        <v>9012</v>
      </c>
      <c r="K1379" s="4">
        <f t="shared" si="276"/>
        <v>3999402</v>
      </c>
      <c r="L1379" s="4">
        <f t="shared" si="276"/>
        <v>1936521</v>
      </c>
      <c r="N1379" s="5">
        <f>SUM(N1377:N1378)</f>
        <v>2062881</v>
      </c>
      <c r="P1379" s="3"/>
      <c r="Q1379" s="3"/>
      <c r="R1379" s="3"/>
      <c r="S1379" s="3"/>
      <c r="T1379" s="3"/>
      <c r="U1379" s="3"/>
      <c r="V1379" s="3"/>
      <c r="W1379" s="3"/>
      <c r="X1379" s="3"/>
      <c r="Y1379" s="3"/>
      <c r="Z1379" s="3"/>
      <c r="AA1379" s="3"/>
      <c r="AB1379" s="3"/>
      <c r="AC1379" s="3"/>
      <c r="AD1379" s="3"/>
      <c r="AE1379" s="3"/>
      <c r="AF1379" s="3"/>
      <c r="AG1379" s="3"/>
    </row>
    <row r="1380">
      <c r="A1380" s="2">
        <v>2019.0</v>
      </c>
      <c r="B1380" s="1" t="s">
        <v>332</v>
      </c>
      <c r="D1380" s="5" t="s">
        <v>57</v>
      </c>
      <c r="F1380" s="5">
        <v>4547.0</v>
      </c>
      <c r="I1380" s="5">
        <v>0.0</v>
      </c>
      <c r="J1380" s="5">
        <v>232.0</v>
      </c>
      <c r="K1380" s="4">
        <f t="shared" ref="K1380:K1385" si="277">SUM(F1380:J1380)</f>
        <v>4779</v>
      </c>
      <c r="L1380" s="4">
        <f t="shared" ref="L1380:L1385" si="278">K1380-N1380</f>
        <v>3318</v>
      </c>
      <c r="N1380" s="5">
        <v>1461.0</v>
      </c>
      <c r="P1380" s="3"/>
      <c r="Q1380" s="3"/>
      <c r="R1380" s="3"/>
      <c r="S1380" s="3"/>
      <c r="T1380" s="3"/>
      <c r="U1380" s="3"/>
      <c r="V1380" s="3"/>
      <c r="W1380" s="3"/>
      <c r="X1380" s="3"/>
      <c r="Y1380" s="3"/>
      <c r="Z1380" s="3"/>
      <c r="AA1380" s="3"/>
      <c r="AB1380" s="3"/>
      <c r="AC1380" s="3"/>
      <c r="AD1380" s="3"/>
      <c r="AE1380" s="3"/>
      <c r="AF1380" s="3"/>
      <c r="AG1380" s="3"/>
    </row>
    <row r="1381">
      <c r="A1381" s="2">
        <v>2019.0</v>
      </c>
      <c r="B1381" s="1" t="s">
        <v>332</v>
      </c>
      <c r="D1381" s="5" t="s">
        <v>57</v>
      </c>
      <c r="F1381" s="5">
        <v>36240.0</v>
      </c>
      <c r="I1381" s="5">
        <v>0.0</v>
      </c>
      <c r="J1381" s="5">
        <v>8538.0</v>
      </c>
      <c r="K1381" s="4">
        <f t="shared" si="277"/>
        <v>44778</v>
      </c>
      <c r="L1381" s="4">
        <f t="shared" si="278"/>
        <v>37711</v>
      </c>
      <c r="N1381" s="5">
        <v>7067.0</v>
      </c>
      <c r="P1381" s="3"/>
      <c r="Q1381" s="3"/>
      <c r="R1381" s="3"/>
      <c r="S1381" s="3"/>
      <c r="T1381" s="3"/>
      <c r="U1381" s="3"/>
      <c r="V1381" s="3"/>
      <c r="W1381" s="3"/>
      <c r="X1381" s="3"/>
      <c r="Y1381" s="3"/>
      <c r="Z1381" s="3"/>
      <c r="AA1381" s="3"/>
      <c r="AB1381" s="3"/>
      <c r="AC1381" s="3"/>
      <c r="AD1381" s="3"/>
      <c r="AE1381" s="3"/>
      <c r="AF1381" s="3"/>
      <c r="AG1381" s="3"/>
    </row>
    <row r="1382">
      <c r="A1382" s="2">
        <v>2019.0</v>
      </c>
      <c r="B1382" s="1" t="s">
        <v>332</v>
      </c>
      <c r="D1382" s="5" t="s">
        <v>57</v>
      </c>
      <c r="F1382" s="5">
        <v>408632.0</v>
      </c>
      <c r="I1382" s="5">
        <v>2024627.0</v>
      </c>
      <c r="J1382" s="5">
        <v>25593.0</v>
      </c>
      <c r="K1382" s="4">
        <f t="shared" si="277"/>
        <v>2458852</v>
      </c>
      <c r="L1382" s="4">
        <f t="shared" si="278"/>
        <v>1340380</v>
      </c>
      <c r="N1382" s="5">
        <v>1118472.0</v>
      </c>
      <c r="P1382" s="3"/>
      <c r="Q1382" s="3"/>
      <c r="R1382" s="3"/>
      <c r="S1382" s="3"/>
      <c r="T1382" s="3"/>
      <c r="U1382" s="3"/>
      <c r="V1382" s="3"/>
      <c r="W1382" s="3"/>
      <c r="X1382" s="3"/>
      <c r="Y1382" s="3"/>
      <c r="Z1382" s="3"/>
      <c r="AA1382" s="3"/>
      <c r="AB1382" s="3"/>
      <c r="AC1382" s="3"/>
      <c r="AD1382" s="3"/>
      <c r="AE1382" s="3"/>
      <c r="AF1382" s="3"/>
      <c r="AG1382" s="3"/>
    </row>
    <row r="1383">
      <c r="A1383" s="2">
        <v>2019.0</v>
      </c>
      <c r="B1383" s="1" t="s">
        <v>332</v>
      </c>
      <c r="D1383" s="5" t="s">
        <v>57</v>
      </c>
      <c r="F1383" s="5">
        <v>1666.0</v>
      </c>
      <c r="I1383" s="5">
        <v>940300.0</v>
      </c>
      <c r="J1383" s="5">
        <v>6184.0</v>
      </c>
      <c r="K1383" s="4">
        <f t="shared" si="277"/>
        <v>948150</v>
      </c>
      <c r="L1383" s="4">
        <f t="shared" si="278"/>
        <v>782456</v>
      </c>
      <c r="N1383" s="5">
        <v>165694.0</v>
      </c>
      <c r="P1383" s="3"/>
      <c r="Q1383" s="3"/>
      <c r="R1383" s="3"/>
      <c r="S1383" s="3"/>
      <c r="T1383" s="3"/>
      <c r="U1383" s="3"/>
      <c r="V1383" s="3"/>
      <c r="W1383" s="3"/>
      <c r="X1383" s="3"/>
      <c r="Y1383" s="3"/>
      <c r="Z1383" s="3"/>
      <c r="AA1383" s="3"/>
      <c r="AB1383" s="3"/>
      <c r="AC1383" s="3"/>
      <c r="AD1383" s="3"/>
      <c r="AE1383" s="3"/>
      <c r="AF1383" s="3"/>
      <c r="AG1383" s="3"/>
    </row>
    <row r="1384">
      <c r="A1384" s="2">
        <v>2019.0</v>
      </c>
      <c r="B1384" s="1" t="s">
        <v>332</v>
      </c>
      <c r="D1384" s="5" t="s">
        <v>57</v>
      </c>
      <c r="F1384" s="5">
        <v>218767.0</v>
      </c>
      <c r="I1384" s="5">
        <v>73505.0</v>
      </c>
      <c r="J1384" s="5">
        <v>10202.0</v>
      </c>
      <c r="K1384" s="4">
        <f t="shared" si="277"/>
        <v>302474</v>
      </c>
      <c r="L1384" s="4">
        <f t="shared" si="278"/>
        <v>102854</v>
      </c>
      <c r="N1384" s="5">
        <v>199620.0</v>
      </c>
      <c r="P1384" s="3"/>
      <c r="Q1384" s="3"/>
      <c r="R1384" s="3"/>
      <c r="S1384" s="3"/>
      <c r="T1384" s="3"/>
      <c r="U1384" s="3"/>
      <c r="V1384" s="3"/>
      <c r="W1384" s="3"/>
      <c r="X1384" s="3"/>
      <c r="Y1384" s="3"/>
      <c r="Z1384" s="3"/>
      <c r="AA1384" s="3"/>
      <c r="AB1384" s="3"/>
      <c r="AC1384" s="3"/>
      <c r="AD1384" s="3"/>
      <c r="AE1384" s="3"/>
      <c r="AF1384" s="3"/>
      <c r="AG1384" s="3"/>
    </row>
    <row r="1385">
      <c r="A1385" s="2">
        <v>2019.0</v>
      </c>
      <c r="B1385" s="1" t="s">
        <v>332</v>
      </c>
      <c r="D1385" s="5" t="s">
        <v>57</v>
      </c>
      <c r="F1385" s="5">
        <v>41215.0</v>
      </c>
      <c r="I1385" s="5">
        <v>58350.0</v>
      </c>
      <c r="J1385" s="5">
        <v>3567.0</v>
      </c>
      <c r="K1385" s="4">
        <f t="shared" si="277"/>
        <v>103132</v>
      </c>
      <c r="L1385" s="4">
        <f t="shared" si="278"/>
        <v>0</v>
      </c>
      <c r="N1385" s="5">
        <v>103132.0</v>
      </c>
      <c r="P1385" s="3"/>
      <c r="Q1385" s="3"/>
      <c r="R1385" s="3"/>
      <c r="S1385" s="3"/>
      <c r="T1385" s="3"/>
      <c r="U1385" s="3"/>
      <c r="V1385" s="3"/>
      <c r="W1385" s="3"/>
      <c r="X1385" s="3"/>
      <c r="Y1385" s="3"/>
      <c r="Z1385" s="3"/>
      <c r="AA1385" s="3"/>
      <c r="AB1385" s="3"/>
      <c r="AC1385" s="3"/>
      <c r="AD1385" s="3"/>
      <c r="AE1385" s="3"/>
      <c r="AF1385" s="3"/>
      <c r="AG1385" s="3"/>
    </row>
    <row r="1386">
      <c r="A1386" s="2">
        <v>2019.0</v>
      </c>
      <c r="B1386" s="1" t="s">
        <v>332</v>
      </c>
      <c r="D1386" s="5" t="s">
        <v>64</v>
      </c>
      <c r="F1386" s="5">
        <f>SUM(F1380:F1385)</f>
        <v>711067</v>
      </c>
      <c r="I1386" s="5">
        <f t="shared" ref="I1386:L1386" si="279">SUM(I1380:I1385)</f>
        <v>3096782</v>
      </c>
      <c r="J1386" s="5">
        <f t="shared" si="279"/>
        <v>54316</v>
      </c>
      <c r="K1386" s="4">
        <f t="shared" si="279"/>
        <v>3862165</v>
      </c>
      <c r="L1386" s="4">
        <f t="shared" si="279"/>
        <v>2266719</v>
      </c>
      <c r="N1386" s="5">
        <f>SUM(N1380:N1385)</f>
        <v>1595446</v>
      </c>
      <c r="P1386" s="3"/>
      <c r="Q1386" s="3"/>
      <c r="R1386" s="3"/>
      <c r="S1386" s="3"/>
      <c r="T1386" s="3"/>
      <c r="U1386" s="3"/>
      <c r="V1386" s="3"/>
      <c r="W1386" s="3"/>
      <c r="X1386" s="3"/>
      <c r="Y1386" s="3"/>
      <c r="Z1386" s="3"/>
      <c r="AA1386" s="3"/>
      <c r="AB1386" s="3"/>
      <c r="AC1386" s="3"/>
      <c r="AD1386" s="3"/>
      <c r="AE1386" s="3"/>
      <c r="AF1386" s="3"/>
      <c r="AG1386" s="3"/>
    </row>
    <row r="1387">
      <c r="A1387" s="2">
        <v>2019.0</v>
      </c>
      <c r="B1387" s="1" t="s">
        <v>332</v>
      </c>
      <c r="D1387" s="5" t="s">
        <v>64</v>
      </c>
      <c r="F1387" s="5">
        <v>1072.0</v>
      </c>
      <c r="I1387" s="5">
        <v>0.0</v>
      </c>
      <c r="J1387" s="5">
        <v>1136.0</v>
      </c>
      <c r="K1387" s="4">
        <f t="shared" ref="K1387:K1391" si="280">SUM(F1387:J1387)</f>
        <v>2208</v>
      </c>
      <c r="L1387" s="4">
        <f t="shared" ref="L1387:L1391" si="281">K1387-N1387</f>
        <v>0</v>
      </c>
      <c r="N1387" s="5">
        <v>2208.0</v>
      </c>
      <c r="P1387" s="3"/>
      <c r="Q1387" s="3"/>
      <c r="R1387" s="3"/>
      <c r="S1387" s="3"/>
      <c r="T1387" s="3"/>
      <c r="U1387" s="3"/>
      <c r="V1387" s="3"/>
      <c r="W1387" s="3"/>
      <c r="X1387" s="3"/>
      <c r="Y1387" s="3"/>
      <c r="Z1387" s="3"/>
      <c r="AA1387" s="3"/>
      <c r="AB1387" s="3"/>
      <c r="AC1387" s="3"/>
      <c r="AD1387" s="3"/>
      <c r="AE1387" s="3"/>
      <c r="AF1387" s="3"/>
      <c r="AG1387" s="3"/>
    </row>
    <row r="1388">
      <c r="A1388" s="2">
        <v>2019.0</v>
      </c>
      <c r="B1388" s="1" t="s">
        <v>332</v>
      </c>
      <c r="D1388" s="5" t="s">
        <v>64</v>
      </c>
      <c r="F1388" s="5">
        <v>452865.0</v>
      </c>
      <c r="I1388" s="5">
        <v>646000.0</v>
      </c>
      <c r="J1388" s="5">
        <v>12611.0</v>
      </c>
      <c r="K1388" s="4">
        <f t="shared" si="280"/>
        <v>1111476</v>
      </c>
      <c r="L1388" s="4">
        <f t="shared" si="281"/>
        <v>497469</v>
      </c>
      <c r="N1388" s="5">
        <v>614007.0</v>
      </c>
      <c r="P1388" s="3"/>
      <c r="Q1388" s="3"/>
      <c r="R1388" s="3"/>
      <c r="S1388" s="3"/>
      <c r="T1388" s="3"/>
      <c r="U1388" s="3"/>
      <c r="V1388" s="3"/>
      <c r="W1388" s="3"/>
      <c r="X1388" s="3"/>
      <c r="Y1388" s="3"/>
      <c r="Z1388" s="3"/>
      <c r="AA1388" s="3"/>
      <c r="AB1388" s="3"/>
      <c r="AC1388" s="3"/>
      <c r="AD1388" s="3"/>
      <c r="AE1388" s="3"/>
      <c r="AF1388" s="3"/>
      <c r="AG1388" s="3"/>
    </row>
    <row r="1389">
      <c r="A1389" s="2">
        <v>2019.0</v>
      </c>
      <c r="B1389" s="1" t="s">
        <v>332</v>
      </c>
      <c r="D1389" s="5" t="s">
        <v>64</v>
      </c>
      <c r="F1389" s="5">
        <v>1000.0</v>
      </c>
      <c r="I1389" s="5">
        <v>1359269.0</v>
      </c>
      <c r="J1389" s="5">
        <v>5901.0</v>
      </c>
      <c r="K1389" s="4">
        <f t="shared" si="280"/>
        <v>1366170</v>
      </c>
      <c r="L1389" s="4">
        <f t="shared" si="281"/>
        <v>940326</v>
      </c>
      <c r="N1389" s="5">
        <v>425844.0</v>
      </c>
      <c r="P1389" s="3"/>
      <c r="Q1389" s="3"/>
      <c r="R1389" s="3"/>
      <c r="S1389" s="3"/>
      <c r="T1389" s="3"/>
      <c r="U1389" s="3"/>
      <c r="V1389" s="3"/>
      <c r="W1389" s="3"/>
      <c r="X1389" s="3"/>
      <c r="Y1389" s="3"/>
      <c r="Z1389" s="3"/>
      <c r="AA1389" s="3"/>
      <c r="AB1389" s="3"/>
      <c r="AC1389" s="3"/>
      <c r="AD1389" s="3"/>
      <c r="AE1389" s="3"/>
      <c r="AF1389" s="3"/>
      <c r="AG1389" s="3"/>
    </row>
    <row r="1390">
      <c r="A1390" s="2">
        <v>2019.0</v>
      </c>
      <c r="B1390" s="1" t="s">
        <v>332</v>
      </c>
      <c r="D1390" s="5" t="s">
        <v>64</v>
      </c>
      <c r="F1390" s="5">
        <v>5438.0</v>
      </c>
      <c r="I1390" s="5">
        <v>19970.0</v>
      </c>
      <c r="J1390" s="5">
        <v>396.0</v>
      </c>
      <c r="K1390" s="4">
        <f t="shared" si="280"/>
        <v>25804</v>
      </c>
      <c r="L1390" s="4">
        <f t="shared" si="281"/>
        <v>18000</v>
      </c>
      <c r="N1390" s="5">
        <v>7804.0</v>
      </c>
      <c r="P1390" s="3"/>
      <c r="Q1390" s="3"/>
      <c r="R1390" s="3"/>
      <c r="S1390" s="3"/>
      <c r="T1390" s="3"/>
      <c r="U1390" s="3"/>
      <c r="V1390" s="3"/>
      <c r="W1390" s="3"/>
      <c r="X1390" s="3"/>
      <c r="Y1390" s="3"/>
      <c r="Z1390" s="3"/>
      <c r="AA1390" s="3"/>
      <c r="AB1390" s="3"/>
      <c r="AC1390" s="3"/>
      <c r="AD1390" s="3"/>
      <c r="AE1390" s="3"/>
      <c r="AF1390" s="3"/>
      <c r="AG1390" s="3"/>
    </row>
    <row r="1391">
      <c r="A1391" s="2">
        <v>2019.0</v>
      </c>
      <c r="B1391" s="1" t="s">
        <v>332</v>
      </c>
      <c r="D1391" s="5" t="s">
        <v>64</v>
      </c>
      <c r="F1391" s="5">
        <v>21108.0</v>
      </c>
      <c r="I1391" s="5">
        <v>15250.0</v>
      </c>
      <c r="J1391" s="5">
        <v>1309.0</v>
      </c>
      <c r="K1391" s="4">
        <f t="shared" si="280"/>
        <v>37667</v>
      </c>
      <c r="L1391" s="4">
        <f t="shared" si="281"/>
        <v>0</v>
      </c>
      <c r="N1391" s="5">
        <v>37667.0</v>
      </c>
      <c r="P1391" s="3"/>
      <c r="Q1391" s="3"/>
      <c r="R1391" s="3"/>
      <c r="S1391" s="3"/>
      <c r="T1391" s="3"/>
      <c r="U1391" s="3"/>
      <c r="V1391" s="3"/>
      <c r="W1391" s="3"/>
      <c r="X1391" s="3"/>
      <c r="Y1391" s="3"/>
      <c r="Z1391" s="3"/>
      <c r="AA1391" s="3"/>
      <c r="AB1391" s="3"/>
      <c r="AC1391" s="3"/>
      <c r="AD1391" s="3"/>
      <c r="AE1391" s="3"/>
      <c r="AF1391" s="3"/>
      <c r="AG1391" s="3"/>
    </row>
    <row r="1392">
      <c r="A1392" s="2">
        <v>2019.0</v>
      </c>
      <c r="B1392" s="1" t="s">
        <v>332</v>
      </c>
      <c r="D1392" s="5" t="s">
        <v>68</v>
      </c>
      <c r="F1392" s="5">
        <f>SUM(F1387:F1391)</f>
        <v>481483</v>
      </c>
      <c r="I1392" s="5">
        <f t="shared" ref="I1392:L1392" si="282">SUM(I1387:I1391)</f>
        <v>2040489</v>
      </c>
      <c r="J1392" s="5">
        <f t="shared" si="282"/>
        <v>21353</v>
      </c>
      <c r="K1392" s="4">
        <f t="shared" si="282"/>
        <v>2543325</v>
      </c>
      <c r="L1392" s="4">
        <f t="shared" si="282"/>
        <v>1455795</v>
      </c>
      <c r="N1392" s="5">
        <f>SUM(N1387:N1391)</f>
        <v>1087530</v>
      </c>
      <c r="P1392" s="3"/>
      <c r="Q1392" s="3"/>
      <c r="R1392" s="3"/>
      <c r="S1392" s="3"/>
      <c r="T1392" s="3"/>
      <c r="U1392" s="3"/>
      <c r="V1392" s="3"/>
      <c r="W1392" s="3"/>
      <c r="X1392" s="3"/>
      <c r="Y1392" s="3"/>
      <c r="Z1392" s="3"/>
      <c r="AA1392" s="3"/>
      <c r="AB1392" s="3"/>
      <c r="AC1392" s="3"/>
      <c r="AD1392" s="3"/>
      <c r="AE1392" s="3"/>
      <c r="AF1392" s="3"/>
      <c r="AG1392" s="3"/>
    </row>
    <row r="1393">
      <c r="A1393" s="2">
        <v>2019.0</v>
      </c>
      <c r="B1393" s="1" t="s">
        <v>332</v>
      </c>
      <c r="D1393" s="5" t="s">
        <v>68</v>
      </c>
      <c r="F1393" s="5">
        <v>2709.0</v>
      </c>
      <c r="I1393" s="5" t="s">
        <v>1566</v>
      </c>
      <c r="J1393" s="5">
        <v>109.0</v>
      </c>
      <c r="K1393" s="4">
        <f t="shared" ref="K1393:K1396" si="283">SUM(F1393:J1393)</f>
        <v>2818</v>
      </c>
      <c r="L1393" s="4">
        <f t="shared" ref="L1393:L1396" si="284">K1393-N1393</f>
        <v>0</v>
      </c>
      <c r="N1393" s="5">
        <v>2818.0</v>
      </c>
      <c r="P1393" s="3"/>
      <c r="Q1393" s="3"/>
      <c r="R1393" s="3"/>
      <c r="S1393" s="3"/>
      <c r="T1393" s="3"/>
      <c r="U1393" s="3"/>
      <c r="V1393" s="3"/>
      <c r="W1393" s="3"/>
      <c r="X1393" s="3"/>
      <c r="Y1393" s="3"/>
      <c r="Z1393" s="3"/>
      <c r="AA1393" s="3"/>
      <c r="AB1393" s="3"/>
      <c r="AC1393" s="3"/>
      <c r="AD1393" s="3"/>
      <c r="AE1393" s="3"/>
      <c r="AF1393" s="3"/>
      <c r="AG1393" s="3"/>
    </row>
    <row r="1394">
      <c r="A1394" s="2">
        <v>2019.0</v>
      </c>
      <c r="B1394" s="1" t="s">
        <v>332</v>
      </c>
      <c r="D1394" s="5" t="s">
        <v>68</v>
      </c>
      <c r="F1394" s="5">
        <v>34920.0</v>
      </c>
      <c r="I1394" s="5" t="s">
        <v>1566</v>
      </c>
      <c r="J1394" s="5">
        <v>1149.0</v>
      </c>
      <c r="K1394" s="4">
        <f t="shared" si="283"/>
        <v>36069</v>
      </c>
      <c r="L1394" s="4">
        <f t="shared" si="284"/>
        <v>33975</v>
      </c>
      <c r="N1394" s="5">
        <v>2094.0</v>
      </c>
      <c r="P1394" s="3"/>
      <c r="Q1394" s="3"/>
      <c r="R1394" s="3"/>
      <c r="S1394" s="3"/>
      <c r="T1394" s="3"/>
      <c r="U1394" s="3"/>
      <c r="V1394" s="3"/>
      <c r="W1394" s="3"/>
      <c r="X1394" s="3"/>
      <c r="Y1394" s="3"/>
      <c r="Z1394" s="3"/>
      <c r="AA1394" s="3"/>
      <c r="AB1394" s="3"/>
      <c r="AC1394" s="3"/>
      <c r="AD1394" s="3"/>
      <c r="AE1394" s="3"/>
      <c r="AF1394" s="3"/>
      <c r="AG1394" s="3"/>
    </row>
    <row r="1395">
      <c r="A1395" s="2">
        <v>2019.0</v>
      </c>
      <c r="B1395" s="1" t="s">
        <v>332</v>
      </c>
      <c r="D1395" s="5" t="s">
        <v>68</v>
      </c>
      <c r="F1395" s="5">
        <v>620684.0</v>
      </c>
      <c r="I1395" s="5">
        <v>1615627.0</v>
      </c>
      <c r="J1395" s="5">
        <v>21139.0</v>
      </c>
      <c r="K1395" s="4">
        <f t="shared" si="283"/>
        <v>2257450</v>
      </c>
      <c r="L1395" s="4">
        <f t="shared" si="284"/>
        <v>902362</v>
      </c>
      <c r="N1395" s="5">
        <v>1355088.0</v>
      </c>
      <c r="P1395" s="3"/>
      <c r="Q1395" s="3"/>
      <c r="R1395" s="3"/>
      <c r="S1395" s="3"/>
      <c r="T1395" s="3"/>
      <c r="U1395" s="3"/>
      <c r="V1395" s="3"/>
      <c r="W1395" s="3"/>
      <c r="X1395" s="3"/>
      <c r="Y1395" s="3"/>
      <c r="Z1395" s="3"/>
      <c r="AA1395" s="3"/>
      <c r="AB1395" s="3"/>
      <c r="AC1395" s="3"/>
      <c r="AD1395" s="3"/>
      <c r="AE1395" s="3"/>
      <c r="AF1395" s="3"/>
      <c r="AG1395" s="3"/>
    </row>
    <row r="1396">
      <c r="A1396" s="2">
        <v>2019.0</v>
      </c>
      <c r="B1396" s="1" t="s">
        <v>332</v>
      </c>
      <c r="D1396" s="5" t="s">
        <v>68</v>
      </c>
      <c r="F1396" s="5">
        <v>1000.0</v>
      </c>
      <c r="I1396" s="5">
        <v>1169902.0</v>
      </c>
      <c r="J1396" s="5">
        <v>5063.0</v>
      </c>
      <c r="K1396" s="4">
        <f t="shared" si="283"/>
        <v>1175965</v>
      </c>
      <c r="L1396" s="4">
        <f t="shared" si="284"/>
        <v>869749</v>
      </c>
      <c r="N1396" s="5">
        <v>306216.0</v>
      </c>
      <c r="P1396" s="3"/>
      <c r="Q1396" s="3"/>
      <c r="R1396" s="3"/>
      <c r="S1396" s="3"/>
      <c r="T1396" s="3"/>
      <c r="U1396" s="3"/>
      <c r="V1396" s="3"/>
      <c r="W1396" s="3"/>
      <c r="X1396" s="3"/>
      <c r="Y1396" s="3"/>
      <c r="Z1396" s="3"/>
      <c r="AA1396" s="3"/>
      <c r="AB1396" s="3"/>
      <c r="AC1396" s="3"/>
      <c r="AD1396" s="3"/>
      <c r="AE1396" s="3"/>
      <c r="AF1396" s="3"/>
      <c r="AG1396" s="3"/>
    </row>
    <row r="1397">
      <c r="A1397" s="2">
        <v>2019.0</v>
      </c>
      <c r="B1397" s="1" t="s">
        <v>332</v>
      </c>
      <c r="D1397" s="5" t="s">
        <v>73</v>
      </c>
      <c r="F1397" s="5">
        <f>SUM(F1393:F1396)</f>
        <v>659313</v>
      </c>
      <c r="I1397" s="5">
        <f>SUM(I1395:I1396)</f>
        <v>2785529</v>
      </c>
      <c r="J1397" s="5">
        <f t="shared" ref="J1397:L1397" si="285">SUM(J1393:J1396)</f>
        <v>27460</v>
      </c>
      <c r="K1397" s="4">
        <f t="shared" si="285"/>
        <v>3472302</v>
      </c>
      <c r="L1397" s="4">
        <f t="shared" si="285"/>
        <v>1806086</v>
      </c>
      <c r="N1397" s="5">
        <f>SUM(N1393:N1396)</f>
        <v>1666216</v>
      </c>
      <c r="P1397" s="3"/>
      <c r="Q1397" s="3"/>
      <c r="R1397" s="3"/>
      <c r="S1397" s="3"/>
      <c r="T1397" s="3"/>
      <c r="U1397" s="3"/>
      <c r="V1397" s="3"/>
      <c r="W1397" s="3"/>
      <c r="X1397" s="3"/>
      <c r="Y1397" s="3"/>
      <c r="Z1397" s="3"/>
      <c r="AA1397" s="3"/>
      <c r="AB1397" s="3"/>
      <c r="AC1397" s="3"/>
      <c r="AD1397" s="3"/>
      <c r="AE1397" s="3"/>
      <c r="AF1397" s="3"/>
      <c r="AG1397" s="3"/>
    </row>
    <row r="1398">
      <c r="A1398" s="2">
        <v>2019.0</v>
      </c>
      <c r="B1398" s="1" t="s">
        <v>332</v>
      </c>
      <c r="D1398" s="5" t="s">
        <v>73</v>
      </c>
      <c r="F1398" s="5">
        <v>4781.0</v>
      </c>
      <c r="I1398" s="5">
        <v>0.0</v>
      </c>
      <c r="J1398" s="5">
        <v>194.0</v>
      </c>
      <c r="K1398" s="4">
        <f t="shared" ref="K1398:K1399" si="286">SUM(F1398:J1398)</f>
        <v>4975</v>
      </c>
      <c r="L1398" s="4">
        <f t="shared" ref="L1398:L1401" si="287">K1398-N1398</f>
        <v>0</v>
      </c>
      <c r="N1398" s="5">
        <v>4975.0</v>
      </c>
      <c r="P1398" s="3"/>
      <c r="Q1398" s="3"/>
      <c r="R1398" s="3"/>
      <c r="S1398" s="3"/>
      <c r="T1398" s="3"/>
      <c r="U1398" s="3"/>
      <c r="V1398" s="3"/>
      <c r="W1398" s="3"/>
      <c r="X1398" s="3"/>
      <c r="Y1398" s="3"/>
      <c r="Z1398" s="3"/>
      <c r="AA1398" s="3"/>
      <c r="AB1398" s="3"/>
      <c r="AC1398" s="3"/>
      <c r="AD1398" s="3"/>
      <c r="AE1398" s="3"/>
      <c r="AF1398" s="3"/>
      <c r="AG1398" s="3"/>
    </row>
    <row r="1399">
      <c r="A1399" s="2">
        <v>2019.0</v>
      </c>
      <c r="B1399" s="1" t="s">
        <v>332</v>
      </c>
      <c r="D1399" s="5" t="s">
        <v>73</v>
      </c>
      <c r="F1399" s="5">
        <v>20352.0</v>
      </c>
      <c r="I1399" s="5">
        <v>0.0</v>
      </c>
      <c r="J1399" s="5">
        <v>820.0</v>
      </c>
      <c r="K1399" s="4">
        <f t="shared" si="286"/>
        <v>21172</v>
      </c>
      <c r="L1399" s="4">
        <f t="shared" si="287"/>
        <v>0</v>
      </c>
      <c r="N1399" s="5">
        <v>21172.0</v>
      </c>
      <c r="P1399" s="3"/>
      <c r="Q1399" s="3"/>
      <c r="R1399" s="3"/>
      <c r="S1399" s="3"/>
      <c r="T1399" s="3"/>
      <c r="U1399" s="3"/>
      <c r="V1399" s="3"/>
      <c r="W1399" s="3"/>
      <c r="X1399" s="3"/>
      <c r="Y1399" s="3"/>
      <c r="Z1399" s="3"/>
      <c r="AA1399" s="3"/>
      <c r="AB1399" s="3"/>
      <c r="AC1399" s="3"/>
      <c r="AD1399" s="3"/>
      <c r="AE1399" s="3"/>
      <c r="AF1399" s="3"/>
      <c r="AG1399" s="3"/>
    </row>
    <row r="1400">
      <c r="A1400" s="2">
        <v>2019.0</v>
      </c>
      <c r="B1400" s="1" t="s">
        <v>332</v>
      </c>
      <c r="D1400" s="5" t="s">
        <v>73</v>
      </c>
      <c r="F1400" s="5">
        <v>7931.0</v>
      </c>
      <c r="J1400" s="5" t="s">
        <v>401</v>
      </c>
      <c r="K1400" s="4"/>
      <c r="L1400" s="4">
        <f t="shared" si="287"/>
        <v>0</v>
      </c>
      <c r="P1400" s="3"/>
      <c r="Q1400" s="3"/>
      <c r="R1400" s="3"/>
      <c r="S1400" s="3"/>
      <c r="T1400" s="3"/>
      <c r="U1400" s="3"/>
      <c r="V1400" s="3"/>
      <c r="W1400" s="3"/>
      <c r="X1400" s="3"/>
      <c r="Y1400" s="3"/>
      <c r="Z1400" s="3"/>
      <c r="AA1400" s="3"/>
      <c r="AB1400" s="3"/>
      <c r="AC1400" s="3"/>
      <c r="AD1400" s="3"/>
      <c r="AE1400" s="3"/>
      <c r="AF1400" s="3"/>
      <c r="AG1400" s="3"/>
    </row>
    <row r="1401">
      <c r="A1401" s="2">
        <v>2019.0</v>
      </c>
      <c r="B1401" s="1" t="s">
        <v>332</v>
      </c>
      <c r="D1401" s="5" t="s">
        <v>73</v>
      </c>
      <c r="F1401" s="5">
        <v>126999.0</v>
      </c>
      <c r="I1401" s="5">
        <v>59962.0</v>
      </c>
      <c r="J1401" s="5">
        <v>3759.0</v>
      </c>
      <c r="K1401" s="4">
        <f>SUM(F1401:J1401)</f>
        <v>190720</v>
      </c>
      <c r="L1401" s="4">
        <f t="shared" si="287"/>
        <v>141600</v>
      </c>
      <c r="N1401" s="5">
        <v>49120.0</v>
      </c>
      <c r="P1401" s="3"/>
      <c r="Q1401" s="3"/>
      <c r="R1401" s="3"/>
      <c r="S1401" s="3"/>
      <c r="T1401" s="3"/>
      <c r="U1401" s="3"/>
      <c r="V1401" s="3"/>
      <c r="W1401" s="3"/>
      <c r="X1401" s="3"/>
      <c r="Y1401" s="3"/>
      <c r="Z1401" s="3"/>
      <c r="AA1401" s="3"/>
      <c r="AB1401" s="3"/>
      <c r="AC1401" s="3"/>
      <c r="AD1401" s="3"/>
      <c r="AE1401" s="3"/>
      <c r="AF1401" s="3"/>
      <c r="AG1401" s="3"/>
    </row>
    <row r="1402">
      <c r="A1402" s="2">
        <v>2019.0</v>
      </c>
      <c r="B1402" s="1" t="s">
        <v>332</v>
      </c>
      <c r="D1402" s="5" t="s">
        <v>77</v>
      </c>
      <c r="F1402" s="5">
        <f>SUM(F1398:F1401)</f>
        <v>160063</v>
      </c>
      <c r="I1402" s="5">
        <f t="shared" ref="I1402:L1402" si="288">SUM(I1398:I1401)</f>
        <v>59962</v>
      </c>
      <c r="J1402" s="5">
        <f t="shared" si="288"/>
        <v>4773</v>
      </c>
      <c r="K1402" s="4">
        <f t="shared" si="288"/>
        <v>216867</v>
      </c>
      <c r="L1402" s="4">
        <f t="shared" si="288"/>
        <v>141600</v>
      </c>
      <c r="N1402" s="5">
        <f>SUM(N1398:N1401)</f>
        <v>75267</v>
      </c>
      <c r="P1402" s="3"/>
      <c r="Q1402" s="3"/>
      <c r="R1402" s="3"/>
      <c r="S1402" s="3"/>
      <c r="T1402" s="3"/>
      <c r="U1402" s="3"/>
      <c r="V1402" s="3"/>
      <c r="W1402" s="3"/>
      <c r="X1402" s="3"/>
      <c r="Y1402" s="3"/>
      <c r="Z1402" s="3"/>
      <c r="AA1402" s="3"/>
      <c r="AB1402" s="3"/>
      <c r="AC1402" s="3"/>
      <c r="AD1402" s="3"/>
      <c r="AE1402" s="3"/>
      <c r="AF1402" s="3"/>
      <c r="AG1402" s="3"/>
    </row>
    <row r="1403">
      <c r="A1403" s="2">
        <v>2019.0</v>
      </c>
      <c r="B1403" s="1" t="s">
        <v>332</v>
      </c>
      <c r="D1403" s="5" t="s">
        <v>77</v>
      </c>
      <c r="F1403" s="5">
        <v>2324.0</v>
      </c>
      <c r="I1403" s="5" t="s">
        <v>1566</v>
      </c>
      <c r="J1403" s="5">
        <v>93.0</v>
      </c>
      <c r="K1403" s="4">
        <f t="shared" ref="K1403:K1407" si="289">SUM(F1403:J1403)</f>
        <v>2417</v>
      </c>
      <c r="L1403" s="4">
        <f t="shared" ref="L1403:L1407" si="290">K1403-N1403</f>
        <v>0</v>
      </c>
      <c r="N1403" s="5">
        <v>2417.0</v>
      </c>
      <c r="P1403" s="3"/>
      <c r="Q1403" s="3"/>
      <c r="R1403" s="3"/>
      <c r="S1403" s="3"/>
      <c r="T1403" s="3"/>
      <c r="U1403" s="3"/>
      <c r="V1403" s="3"/>
      <c r="W1403" s="3"/>
      <c r="X1403" s="3"/>
      <c r="Y1403" s="3"/>
      <c r="Z1403" s="3"/>
      <c r="AA1403" s="3"/>
      <c r="AB1403" s="3"/>
      <c r="AC1403" s="3"/>
      <c r="AD1403" s="3"/>
      <c r="AE1403" s="3"/>
      <c r="AF1403" s="3"/>
      <c r="AG1403" s="3"/>
    </row>
    <row r="1404">
      <c r="A1404" s="2">
        <v>2019.0</v>
      </c>
      <c r="B1404" s="1" t="s">
        <v>332</v>
      </c>
      <c r="D1404" s="5" t="s">
        <v>77</v>
      </c>
      <c r="F1404" s="5">
        <v>21968.0</v>
      </c>
      <c r="I1404" s="5" t="s">
        <v>1566</v>
      </c>
      <c r="J1404" s="5">
        <v>711.0</v>
      </c>
      <c r="K1404" s="4">
        <f t="shared" si="289"/>
        <v>22679</v>
      </c>
      <c r="L1404" s="4">
        <f t="shared" si="290"/>
        <v>22150</v>
      </c>
      <c r="N1404" s="5">
        <v>529.0</v>
      </c>
      <c r="P1404" s="3"/>
      <c r="Q1404" s="3"/>
      <c r="R1404" s="3"/>
      <c r="S1404" s="3"/>
      <c r="T1404" s="3"/>
      <c r="U1404" s="3"/>
      <c r="V1404" s="3"/>
      <c r="W1404" s="3"/>
      <c r="X1404" s="3"/>
      <c r="Y1404" s="3"/>
      <c r="Z1404" s="3"/>
      <c r="AA1404" s="3"/>
      <c r="AB1404" s="3"/>
      <c r="AC1404" s="3"/>
      <c r="AD1404" s="3"/>
      <c r="AE1404" s="3"/>
      <c r="AF1404" s="3"/>
      <c r="AG1404" s="3"/>
    </row>
    <row r="1405">
      <c r="A1405" s="2">
        <v>2019.0</v>
      </c>
      <c r="B1405" s="1" t="s">
        <v>332</v>
      </c>
      <c r="D1405" s="5" t="s">
        <v>77</v>
      </c>
      <c r="F1405" s="5">
        <v>387808.0</v>
      </c>
      <c r="I1405" s="5">
        <v>1024627.0</v>
      </c>
      <c r="J1405" s="5">
        <v>8335.0</v>
      </c>
      <c r="K1405" s="4">
        <f t="shared" si="289"/>
        <v>1420770</v>
      </c>
      <c r="L1405" s="4">
        <f t="shared" si="290"/>
        <v>729864</v>
      </c>
      <c r="N1405" s="5">
        <v>690906.0</v>
      </c>
      <c r="P1405" s="3"/>
      <c r="Q1405" s="3"/>
      <c r="R1405" s="3"/>
      <c r="S1405" s="3"/>
      <c r="T1405" s="3"/>
      <c r="U1405" s="3"/>
      <c r="V1405" s="3"/>
      <c r="W1405" s="3"/>
      <c r="X1405" s="3"/>
      <c r="Y1405" s="3"/>
      <c r="Z1405" s="3"/>
      <c r="AA1405" s="3"/>
      <c r="AB1405" s="3"/>
      <c r="AC1405" s="3"/>
      <c r="AD1405" s="3"/>
      <c r="AE1405" s="3"/>
      <c r="AF1405" s="3"/>
      <c r="AG1405" s="3"/>
    </row>
    <row r="1406">
      <c r="A1406" s="2">
        <v>2019.0</v>
      </c>
      <c r="B1406" s="1" t="s">
        <v>332</v>
      </c>
      <c r="D1406" s="5" t="s">
        <v>77</v>
      </c>
      <c r="F1406" s="5">
        <v>1000.0</v>
      </c>
      <c r="I1406" s="5">
        <v>689100.0</v>
      </c>
      <c r="J1406" s="5">
        <v>4480.0</v>
      </c>
      <c r="K1406" s="4">
        <f t="shared" si="289"/>
        <v>694580</v>
      </c>
      <c r="L1406" s="4">
        <f t="shared" si="290"/>
        <v>483422</v>
      </c>
      <c r="N1406" s="5">
        <v>211158.0</v>
      </c>
      <c r="P1406" s="3"/>
      <c r="Q1406" s="3"/>
      <c r="R1406" s="3"/>
      <c r="S1406" s="3"/>
      <c r="T1406" s="3"/>
      <c r="U1406" s="3"/>
      <c r="V1406" s="3"/>
      <c r="W1406" s="3"/>
      <c r="X1406" s="3"/>
      <c r="Y1406" s="3"/>
      <c r="Z1406" s="3"/>
      <c r="AA1406" s="3"/>
      <c r="AB1406" s="3"/>
      <c r="AC1406" s="3"/>
      <c r="AD1406" s="3"/>
      <c r="AE1406" s="3"/>
      <c r="AF1406" s="3"/>
      <c r="AG1406" s="3"/>
    </row>
    <row r="1407">
      <c r="A1407" s="2">
        <v>2019.0</v>
      </c>
      <c r="B1407" s="1" t="s">
        <v>332</v>
      </c>
      <c r="D1407" s="5" t="s">
        <v>77</v>
      </c>
      <c r="F1407" s="5">
        <v>73735.0</v>
      </c>
      <c r="I1407" s="5">
        <v>34088.0</v>
      </c>
      <c r="J1407" s="5" t="s">
        <v>1566</v>
      </c>
      <c r="K1407" s="4">
        <f t="shared" si="289"/>
        <v>107823</v>
      </c>
      <c r="L1407" s="4">
        <f t="shared" si="290"/>
        <v>51788</v>
      </c>
      <c r="N1407" s="5">
        <v>56035.0</v>
      </c>
      <c r="P1407" s="3"/>
      <c r="Q1407" s="3"/>
      <c r="R1407" s="3"/>
      <c r="S1407" s="3"/>
      <c r="T1407" s="3"/>
      <c r="U1407" s="3"/>
      <c r="V1407" s="3"/>
      <c r="W1407" s="3"/>
      <c r="X1407" s="3"/>
      <c r="Y1407" s="3"/>
      <c r="Z1407" s="3"/>
      <c r="AA1407" s="3"/>
      <c r="AB1407" s="3"/>
      <c r="AC1407" s="3"/>
      <c r="AD1407" s="3"/>
      <c r="AE1407" s="3"/>
      <c r="AF1407" s="3"/>
      <c r="AG1407" s="3"/>
    </row>
    <row r="1408">
      <c r="A1408" s="2">
        <v>2019.0</v>
      </c>
      <c r="B1408" s="1" t="s">
        <v>332</v>
      </c>
      <c r="D1408" s="5" t="s">
        <v>84</v>
      </c>
      <c r="F1408" s="5">
        <f>SUM(F1403:F1407)</f>
        <v>486835</v>
      </c>
      <c r="I1408" s="5">
        <f>SUM(I1405:I1407)</f>
        <v>1747815</v>
      </c>
      <c r="J1408" s="5">
        <f t="shared" ref="J1408:L1408" si="291">SUM(J1403:J1407)</f>
        <v>13619</v>
      </c>
      <c r="K1408" s="4">
        <f t="shared" si="291"/>
        <v>2248269</v>
      </c>
      <c r="L1408" s="4">
        <f t="shared" si="291"/>
        <v>1287224</v>
      </c>
      <c r="N1408" s="5">
        <f>SUM(N1403:N1407)</f>
        <v>961045</v>
      </c>
      <c r="P1408" s="3"/>
      <c r="Q1408" s="3"/>
      <c r="R1408" s="3"/>
      <c r="S1408" s="3"/>
      <c r="T1408" s="3"/>
      <c r="U1408" s="3"/>
      <c r="V1408" s="3"/>
      <c r="W1408" s="3"/>
      <c r="X1408" s="3"/>
      <c r="Y1408" s="3"/>
      <c r="Z1408" s="3"/>
      <c r="AA1408" s="3"/>
      <c r="AB1408" s="3"/>
      <c r="AC1408" s="3"/>
      <c r="AD1408" s="3"/>
      <c r="AE1408" s="3"/>
      <c r="AF1408" s="3"/>
      <c r="AG1408" s="3"/>
    </row>
    <row r="1409">
      <c r="A1409" s="2">
        <v>2019.0</v>
      </c>
      <c r="B1409" s="1" t="s">
        <v>332</v>
      </c>
      <c r="D1409" s="5" t="s">
        <v>84</v>
      </c>
      <c r="F1409" s="5">
        <v>337.0</v>
      </c>
      <c r="J1409" s="5">
        <v>13.0</v>
      </c>
      <c r="K1409" s="4">
        <f t="shared" ref="K1409:K1412" si="292">SUM(F1409:J1409)</f>
        <v>350</v>
      </c>
      <c r="L1409" s="4">
        <f t="shared" ref="L1409:L1412" si="293">K1409-N1409</f>
        <v>0</v>
      </c>
      <c r="N1409" s="5">
        <v>350.0</v>
      </c>
      <c r="P1409" s="3"/>
      <c r="Q1409" s="3"/>
      <c r="R1409" s="3"/>
      <c r="S1409" s="3"/>
      <c r="T1409" s="3"/>
      <c r="U1409" s="3"/>
      <c r="V1409" s="3"/>
      <c r="W1409" s="3"/>
      <c r="X1409" s="3"/>
      <c r="Y1409" s="3"/>
      <c r="Z1409" s="3"/>
      <c r="AA1409" s="3"/>
      <c r="AB1409" s="3"/>
      <c r="AC1409" s="3"/>
      <c r="AD1409" s="3"/>
      <c r="AE1409" s="3"/>
      <c r="AF1409" s="3"/>
      <c r="AG1409" s="3"/>
    </row>
    <row r="1410">
      <c r="A1410" s="2">
        <v>2019.0</v>
      </c>
      <c r="B1410" s="1" t="s">
        <v>332</v>
      </c>
      <c r="D1410" s="5" t="s">
        <v>84</v>
      </c>
      <c r="F1410" s="5">
        <v>774.0</v>
      </c>
      <c r="J1410" s="5">
        <v>108.0</v>
      </c>
      <c r="K1410" s="4">
        <f t="shared" si="292"/>
        <v>882</v>
      </c>
      <c r="L1410" s="4">
        <f t="shared" si="293"/>
        <v>0</v>
      </c>
      <c r="N1410" s="5">
        <v>882.0</v>
      </c>
      <c r="P1410" s="3"/>
      <c r="Q1410" s="3"/>
      <c r="R1410" s="3"/>
      <c r="S1410" s="3"/>
      <c r="T1410" s="3"/>
      <c r="U1410" s="3"/>
      <c r="V1410" s="3"/>
      <c r="W1410" s="3"/>
      <c r="X1410" s="3"/>
      <c r="Y1410" s="3"/>
      <c r="Z1410" s="3"/>
      <c r="AA1410" s="3"/>
      <c r="AB1410" s="3"/>
      <c r="AC1410" s="3"/>
      <c r="AD1410" s="3"/>
      <c r="AE1410" s="3"/>
      <c r="AF1410" s="3"/>
      <c r="AG1410" s="3"/>
    </row>
    <row r="1411">
      <c r="A1411" s="2">
        <v>2019.0</v>
      </c>
      <c r="B1411" s="1" t="s">
        <v>332</v>
      </c>
      <c r="D1411" s="5" t="s">
        <v>84</v>
      </c>
      <c r="F1411" s="4">
        <v>41948.0</v>
      </c>
      <c r="I1411" s="5">
        <v>2723100.0</v>
      </c>
      <c r="J1411" s="4">
        <v>11710.0</v>
      </c>
      <c r="K1411" s="4">
        <f t="shared" si="292"/>
        <v>2776758</v>
      </c>
      <c r="L1411" s="4">
        <f t="shared" si="293"/>
        <v>1395382</v>
      </c>
      <c r="N1411" s="5">
        <v>1381376.0</v>
      </c>
      <c r="P1411" s="3"/>
      <c r="Q1411" s="3"/>
      <c r="R1411" s="3"/>
      <c r="S1411" s="3"/>
      <c r="T1411" s="3"/>
      <c r="U1411" s="3"/>
      <c r="V1411" s="3"/>
      <c r="W1411" s="3"/>
      <c r="X1411" s="3"/>
      <c r="Y1411" s="3"/>
      <c r="Z1411" s="3"/>
      <c r="AA1411" s="3"/>
      <c r="AB1411" s="3"/>
      <c r="AC1411" s="3"/>
      <c r="AD1411" s="3"/>
      <c r="AE1411" s="3"/>
      <c r="AF1411" s="3"/>
      <c r="AG1411" s="3"/>
    </row>
    <row r="1412">
      <c r="A1412" s="2">
        <v>2019.0</v>
      </c>
      <c r="B1412" s="1" t="s">
        <v>332</v>
      </c>
      <c r="D1412" s="5" t="s">
        <v>84</v>
      </c>
      <c r="F1412" s="4">
        <v>65467.0</v>
      </c>
      <c r="I1412" s="4">
        <v>20180.0</v>
      </c>
      <c r="J1412" s="4">
        <v>2890.0</v>
      </c>
      <c r="K1412" s="4">
        <f t="shared" si="292"/>
        <v>88537</v>
      </c>
      <c r="L1412" s="4">
        <f t="shared" si="293"/>
        <v>83456</v>
      </c>
      <c r="N1412" s="4">
        <v>5081.0</v>
      </c>
      <c r="P1412" s="3"/>
      <c r="Q1412" s="3"/>
      <c r="R1412" s="3"/>
      <c r="S1412" s="3"/>
      <c r="T1412" s="3"/>
      <c r="U1412" s="3"/>
      <c r="V1412" s="3"/>
      <c r="W1412" s="3"/>
      <c r="X1412" s="3"/>
      <c r="Y1412" s="3"/>
      <c r="Z1412" s="3"/>
      <c r="AA1412" s="3"/>
      <c r="AB1412" s="3"/>
      <c r="AC1412" s="3"/>
      <c r="AD1412" s="3"/>
      <c r="AE1412" s="3"/>
      <c r="AF1412" s="3"/>
      <c r="AG1412" s="3"/>
    </row>
    <row r="1413">
      <c r="A1413" s="2">
        <v>2019.0</v>
      </c>
      <c r="B1413" s="1" t="s">
        <v>332</v>
      </c>
      <c r="D1413" s="5" t="s">
        <v>89</v>
      </c>
      <c r="F1413" s="4">
        <f>SUM(F1409:F1412)</f>
        <v>108526</v>
      </c>
      <c r="I1413" s="4">
        <f>SUM(I1411:I1412)</f>
        <v>2743280</v>
      </c>
      <c r="J1413" s="4">
        <f t="shared" ref="J1413:L1413" si="294">SUM(J1409:J1412)</f>
        <v>14721</v>
      </c>
      <c r="K1413" s="4">
        <f t="shared" si="294"/>
        <v>2866527</v>
      </c>
      <c r="L1413" s="4">
        <f t="shared" si="294"/>
        <v>1478838</v>
      </c>
      <c r="N1413" s="4">
        <f>SUM(N1409:N1412)</f>
        <v>1387689</v>
      </c>
      <c r="P1413" s="3"/>
      <c r="Q1413" s="3"/>
      <c r="R1413" s="3"/>
      <c r="S1413" s="3"/>
      <c r="T1413" s="3"/>
      <c r="U1413" s="3"/>
      <c r="V1413" s="3"/>
      <c r="W1413" s="3"/>
      <c r="X1413" s="3"/>
      <c r="Y1413" s="3"/>
      <c r="Z1413" s="3"/>
      <c r="AA1413" s="3"/>
      <c r="AB1413" s="3"/>
      <c r="AC1413" s="3"/>
      <c r="AD1413" s="3"/>
      <c r="AE1413" s="3"/>
      <c r="AF1413" s="3"/>
      <c r="AG1413" s="3"/>
    </row>
    <row r="1414">
      <c r="A1414" s="2">
        <v>2019.0</v>
      </c>
      <c r="B1414" s="1" t="s">
        <v>332</v>
      </c>
      <c r="D1414" s="5" t="s">
        <v>89</v>
      </c>
      <c r="I1414" s="5">
        <v>696200.0</v>
      </c>
      <c r="J1414" s="5">
        <v>2670.0</v>
      </c>
      <c r="K1414" s="4">
        <f t="shared" ref="K1414:K1416" si="295">SUM(F1414:J1414)</f>
        <v>698870</v>
      </c>
      <c r="L1414" s="4">
        <f t="shared" ref="L1414:L1416" si="296">K1414-N1414</f>
        <v>583267</v>
      </c>
      <c r="N1414" s="5">
        <v>115603.0</v>
      </c>
      <c r="P1414" s="3"/>
      <c r="Q1414" s="3"/>
      <c r="R1414" s="3"/>
      <c r="S1414" s="3"/>
      <c r="T1414" s="3"/>
      <c r="U1414" s="3"/>
      <c r="V1414" s="3"/>
      <c r="W1414" s="3"/>
      <c r="X1414" s="3"/>
      <c r="Y1414" s="3"/>
      <c r="Z1414" s="3"/>
      <c r="AA1414" s="3"/>
      <c r="AB1414" s="3"/>
      <c r="AC1414" s="3"/>
      <c r="AD1414" s="3"/>
      <c r="AE1414" s="3"/>
      <c r="AF1414" s="3"/>
      <c r="AG1414" s="3"/>
    </row>
    <row r="1415">
      <c r="A1415" s="2">
        <v>2019.0</v>
      </c>
      <c r="B1415" s="1" t="s">
        <v>332</v>
      </c>
      <c r="D1415" s="5" t="s">
        <v>89</v>
      </c>
      <c r="F1415" s="5">
        <v>3406.0</v>
      </c>
      <c r="I1415" s="5" t="s">
        <v>401</v>
      </c>
      <c r="J1415" s="5" t="s">
        <v>401</v>
      </c>
      <c r="K1415" s="4">
        <f t="shared" si="295"/>
        <v>3406</v>
      </c>
      <c r="L1415" s="4">
        <f t="shared" si="296"/>
        <v>3406</v>
      </c>
      <c r="N1415" s="5">
        <v>0.0</v>
      </c>
      <c r="P1415" s="3"/>
      <c r="Q1415" s="3"/>
      <c r="R1415" s="3"/>
      <c r="S1415" s="3"/>
      <c r="T1415" s="3"/>
      <c r="U1415" s="3"/>
      <c r="V1415" s="3"/>
      <c r="W1415" s="3"/>
      <c r="X1415" s="3"/>
      <c r="Y1415" s="3"/>
      <c r="Z1415" s="3"/>
      <c r="AA1415" s="3"/>
      <c r="AB1415" s="3"/>
      <c r="AC1415" s="3"/>
      <c r="AD1415" s="3"/>
      <c r="AE1415" s="3"/>
      <c r="AF1415" s="3"/>
      <c r="AG1415" s="3"/>
    </row>
    <row r="1416">
      <c r="A1416" s="2">
        <v>2019.0</v>
      </c>
      <c r="B1416" s="1" t="s">
        <v>332</v>
      </c>
      <c r="D1416" s="5" t="s">
        <v>89</v>
      </c>
      <c r="F1416" s="5">
        <v>351642.0</v>
      </c>
      <c r="I1416" s="5">
        <v>877712.0</v>
      </c>
      <c r="J1416" s="5" t="s">
        <v>401</v>
      </c>
      <c r="K1416" s="4">
        <f t="shared" si="295"/>
        <v>1229354</v>
      </c>
      <c r="L1416" s="4">
        <f t="shared" si="296"/>
        <v>185260</v>
      </c>
      <c r="N1416" s="5">
        <v>1044094.0</v>
      </c>
      <c r="P1416" s="3"/>
      <c r="Q1416" s="3"/>
      <c r="R1416" s="3"/>
      <c r="S1416" s="3"/>
      <c r="T1416" s="3"/>
      <c r="U1416" s="3"/>
      <c r="V1416" s="3"/>
      <c r="W1416" s="3"/>
      <c r="X1416" s="3"/>
      <c r="Y1416" s="3"/>
      <c r="Z1416" s="3"/>
      <c r="AA1416" s="3"/>
      <c r="AB1416" s="3"/>
      <c r="AC1416" s="3"/>
      <c r="AD1416" s="3"/>
      <c r="AE1416" s="3"/>
      <c r="AF1416" s="3"/>
      <c r="AG1416" s="3"/>
    </row>
    <row r="1417">
      <c r="A1417" s="2">
        <v>2019.0</v>
      </c>
      <c r="B1417" s="1" t="s">
        <v>332</v>
      </c>
      <c r="D1417" s="5" t="s">
        <v>101</v>
      </c>
      <c r="F1417" s="5">
        <f>SUM(F1415:F1416)</f>
        <v>355048</v>
      </c>
      <c r="I1417" s="5">
        <f t="shared" ref="I1417:L1417" si="297">SUM(I1414:I1416)</f>
        <v>1573912</v>
      </c>
      <c r="J1417" s="5">
        <f t="shared" si="297"/>
        <v>2670</v>
      </c>
      <c r="K1417" s="4">
        <f t="shared" si="297"/>
        <v>1931630</v>
      </c>
      <c r="L1417" s="4">
        <f t="shared" si="297"/>
        <v>771933</v>
      </c>
      <c r="N1417" s="5">
        <f>SUM(N1414:N1416)</f>
        <v>1159697</v>
      </c>
      <c r="P1417" s="3"/>
      <c r="Q1417" s="3"/>
      <c r="R1417" s="3"/>
      <c r="S1417" s="3"/>
      <c r="T1417" s="3"/>
      <c r="U1417" s="3"/>
      <c r="V1417" s="3"/>
      <c r="W1417" s="3"/>
      <c r="X1417" s="3"/>
      <c r="Y1417" s="3"/>
      <c r="Z1417" s="3"/>
      <c r="AA1417" s="3"/>
      <c r="AB1417" s="3"/>
      <c r="AC1417" s="3"/>
      <c r="AD1417" s="3"/>
      <c r="AE1417" s="3"/>
      <c r="AF1417" s="3"/>
      <c r="AG1417" s="3"/>
    </row>
    <row r="1418">
      <c r="A1418" s="2">
        <v>2019.0</v>
      </c>
      <c r="B1418" s="1" t="s">
        <v>332</v>
      </c>
      <c r="D1418" s="5" t="s">
        <v>101</v>
      </c>
      <c r="F1418" s="5">
        <v>110146.0</v>
      </c>
      <c r="I1418" s="5" t="s">
        <v>1566</v>
      </c>
      <c r="J1418" s="5" t="s">
        <v>1566</v>
      </c>
      <c r="K1418" s="4">
        <f t="shared" ref="K1418:K1421" si="298">SUM(F1418:J1418)</f>
        <v>110146</v>
      </c>
      <c r="L1418" s="4">
        <f t="shared" ref="L1418:L1421" si="299">K1418-N1418</f>
        <v>10500</v>
      </c>
      <c r="N1418" s="5">
        <v>99646.0</v>
      </c>
      <c r="P1418" s="3"/>
      <c r="Q1418" s="3"/>
      <c r="R1418" s="3"/>
      <c r="S1418" s="3"/>
      <c r="T1418" s="3"/>
      <c r="U1418" s="3"/>
      <c r="V1418" s="3"/>
      <c r="W1418" s="3"/>
      <c r="X1418" s="3"/>
      <c r="Y1418" s="3"/>
      <c r="Z1418" s="3"/>
      <c r="AA1418" s="3"/>
      <c r="AB1418" s="3"/>
      <c r="AC1418" s="3"/>
      <c r="AD1418" s="3"/>
      <c r="AE1418" s="3"/>
      <c r="AF1418" s="3"/>
      <c r="AG1418" s="3"/>
    </row>
    <row r="1419">
      <c r="A1419" s="2">
        <v>2019.0</v>
      </c>
      <c r="B1419" s="1" t="s">
        <v>332</v>
      </c>
      <c r="D1419" s="5" t="s">
        <v>101</v>
      </c>
      <c r="F1419" s="5">
        <v>467868.0</v>
      </c>
      <c r="I1419" s="5" t="s">
        <v>1566</v>
      </c>
      <c r="J1419" s="5">
        <v>17884.0</v>
      </c>
      <c r="K1419" s="4">
        <f t="shared" si="298"/>
        <v>485752</v>
      </c>
      <c r="L1419" s="4">
        <f t="shared" si="299"/>
        <v>484323</v>
      </c>
      <c r="N1419" s="5">
        <v>1429.0</v>
      </c>
      <c r="P1419" s="3"/>
      <c r="Q1419" s="3"/>
      <c r="R1419" s="3"/>
      <c r="S1419" s="3"/>
      <c r="T1419" s="3"/>
      <c r="U1419" s="3"/>
      <c r="V1419" s="3"/>
      <c r="W1419" s="3"/>
      <c r="X1419" s="3"/>
      <c r="Y1419" s="3"/>
      <c r="Z1419" s="3"/>
      <c r="AA1419" s="3"/>
      <c r="AB1419" s="3"/>
      <c r="AC1419" s="3"/>
      <c r="AD1419" s="3"/>
      <c r="AE1419" s="3"/>
      <c r="AF1419" s="3"/>
      <c r="AG1419" s="3"/>
    </row>
    <row r="1420">
      <c r="A1420" s="2">
        <v>2019.0</v>
      </c>
      <c r="B1420" s="1" t="s">
        <v>332</v>
      </c>
      <c r="D1420" s="5" t="s">
        <v>101</v>
      </c>
      <c r="F1420" s="5">
        <v>32517.0</v>
      </c>
      <c r="I1420" s="5">
        <v>984115.0</v>
      </c>
      <c r="J1420" s="5">
        <v>7745.0</v>
      </c>
      <c r="K1420" s="4">
        <f t="shared" si="298"/>
        <v>1024377</v>
      </c>
      <c r="L1420" s="4">
        <f t="shared" si="299"/>
        <v>616030</v>
      </c>
      <c r="N1420" s="5">
        <v>408347.0</v>
      </c>
      <c r="P1420" s="3"/>
      <c r="Q1420" s="3"/>
      <c r="R1420" s="3"/>
      <c r="S1420" s="3"/>
      <c r="T1420" s="3"/>
      <c r="U1420" s="3"/>
      <c r="V1420" s="3"/>
      <c r="W1420" s="3"/>
      <c r="X1420" s="3"/>
      <c r="Y1420" s="3"/>
      <c r="Z1420" s="3"/>
      <c r="AA1420" s="3"/>
      <c r="AB1420" s="3"/>
      <c r="AC1420" s="3"/>
      <c r="AD1420" s="3"/>
      <c r="AE1420" s="3"/>
      <c r="AF1420" s="3"/>
      <c r="AG1420" s="3"/>
    </row>
    <row r="1421">
      <c r="A1421" s="2">
        <v>2019.0</v>
      </c>
      <c r="B1421" s="1" t="s">
        <v>332</v>
      </c>
      <c r="D1421" s="5" t="s">
        <v>101</v>
      </c>
      <c r="F1421" s="5">
        <v>114884.0</v>
      </c>
      <c r="I1421" s="5">
        <v>73505.0</v>
      </c>
      <c r="J1421" s="5">
        <v>10202.0</v>
      </c>
      <c r="K1421" s="4">
        <f t="shared" si="298"/>
        <v>198591</v>
      </c>
      <c r="L1421" s="4">
        <f t="shared" si="299"/>
        <v>98971</v>
      </c>
      <c r="N1421" s="5">
        <v>99620.0</v>
      </c>
      <c r="P1421" s="3"/>
      <c r="Q1421" s="3"/>
      <c r="R1421" s="3"/>
      <c r="S1421" s="3"/>
      <c r="T1421" s="3"/>
      <c r="U1421" s="3"/>
      <c r="V1421" s="3"/>
      <c r="W1421" s="3"/>
      <c r="X1421" s="3"/>
      <c r="Y1421" s="3"/>
      <c r="Z1421" s="3"/>
      <c r="AA1421" s="3"/>
      <c r="AB1421" s="3"/>
      <c r="AC1421" s="3"/>
      <c r="AD1421" s="3"/>
      <c r="AE1421" s="3"/>
      <c r="AF1421" s="3"/>
      <c r="AG1421" s="3"/>
    </row>
    <row r="1422">
      <c r="A1422" s="2">
        <v>2019.0</v>
      </c>
      <c r="B1422" s="1" t="s">
        <v>332</v>
      </c>
      <c r="D1422" s="5" t="s">
        <v>107</v>
      </c>
      <c r="F1422" s="5">
        <f>SUM(F1418:F1421)</f>
        <v>725415</v>
      </c>
      <c r="I1422" s="5">
        <f>SUM(I1420:I1421)</f>
        <v>1057620</v>
      </c>
      <c r="J1422" s="5">
        <f>SUM(J1419:J1421)</f>
        <v>35831</v>
      </c>
      <c r="K1422" s="4">
        <f t="shared" ref="K1422:L1422" si="300">SUM(K1418:K1421)</f>
        <v>1818866</v>
      </c>
      <c r="L1422" s="4">
        <f t="shared" si="300"/>
        <v>1209824</v>
      </c>
      <c r="N1422" s="5">
        <f>SUM(N1418:N1421)</f>
        <v>609042</v>
      </c>
      <c r="P1422" s="3"/>
      <c r="Q1422" s="3"/>
      <c r="R1422" s="3"/>
      <c r="S1422" s="3"/>
      <c r="T1422" s="3"/>
      <c r="U1422" s="3"/>
      <c r="V1422" s="3"/>
      <c r="W1422" s="3"/>
      <c r="X1422" s="3"/>
      <c r="Y1422" s="3"/>
      <c r="Z1422" s="3"/>
      <c r="AA1422" s="3"/>
      <c r="AB1422" s="3"/>
      <c r="AC1422" s="3"/>
      <c r="AD1422" s="3"/>
      <c r="AE1422" s="3"/>
      <c r="AF1422" s="3"/>
      <c r="AG1422" s="3"/>
    </row>
    <row r="1423">
      <c r="A1423" s="2">
        <v>2019.0</v>
      </c>
      <c r="B1423" s="1" t="s">
        <v>332</v>
      </c>
      <c r="D1423" s="5" t="s">
        <v>107</v>
      </c>
      <c r="F1423" s="5">
        <v>2181847.0</v>
      </c>
      <c r="I1423" s="5">
        <v>527100.0</v>
      </c>
      <c r="J1423" s="5">
        <v>45509.0</v>
      </c>
      <c r="K1423" s="4">
        <f t="shared" ref="K1423:K1424" si="301">SUM(F1423:J1423)</f>
        <v>2754456</v>
      </c>
      <c r="L1423" s="4">
        <f t="shared" ref="L1423:L1424" si="302">K1423-N1423</f>
        <v>2745800</v>
      </c>
      <c r="N1423" s="5">
        <v>8656.0</v>
      </c>
      <c r="P1423" s="3"/>
      <c r="Q1423" s="3"/>
      <c r="R1423" s="3"/>
      <c r="S1423" s="3"/>
      <c r="T1423" s="3"/>
      <c r="U1423" s="3"/>
      <c r="V1423" s="3"/>
      <c r="W1423" s="3"/>
      <c r="X1423" s="3"/>
      <c r="Y1423" s="3"/>
      <c r="Z1423" s="3"/>
      <c r="AA1423" s="3"/>
      <c r="AB1423" s="3"/>
      <c r="AC1423" s="3"/>
      <c r="AD1423" s="3"/>
      <c r="AE1423" s="3"/>
      <c r="AF1423" s="3"/>
      <c r="AG1423" s="3"/>
    </row>
    <row r="1424">
      <c r="A1424" s="2">
        <v>2019.0</v>
      </c>
      <c r="B1424" s="1" t="s">
        <v>332</v>
      </c>
      <c r="D1424" s="5" t="s">
        <v>107</v>
      </c>
      <c r="F1424" s="5">
        <v>226954.0</v>
      </c>
      <c r="I1424" s="5">
        <v>70060.0</v>
      </c>
      <c r="J1424" s="5">
        <v>10172.0</v>
      </c>
      <c r="K1424" s="4">
        <f t="shared" si="301"/>
        <v>307186</v>
      </c>
      <c r="L1424" s="4">
        <f t="shared" si="302"/>
        <v>163000</v>
      </c>
      <c r="N1424" s="5">
        <v>144186.0</v>
      </c>
      <c r="P1424" s="3"/>
      <c r="Q1424" s="3"/>
      <c r="R1424" s="3"/>
      <c r="S1424" s="3"/>
      <c r="T1424" s="3"/>
      <c r="U1424" s="3"/>
      <c r="V1424" s="3"/>
      <c r="W1424" s="3"/>
      <c r="X1424" s="3"/>
      <c r="Y1424" s="3"/>
      <c r="Z1424" s="3"/>
      <c r="AA1424" s="3"/>
      <c r="AB1424" s="3"/>
      <c r="AC1424" s="3"/>
      <c r="AD1424" s="3"/>
      <c r="AE1424" s="3"/>
      <c r="AF1424" s="3"/>
      <c r="AG1424" s="3"/>
    </row>
    <row r="1425">
      <c r="A1425" s="2">
        <v>2019.0</v>
      </c>
      <c r="B1425" s="1" t="s">
        <v>332</v>
      </c>
      <c r="D1425" s="5" t="s">
        <v>111</v>
      </c>
      <c r="F1425" s="5">
        <f>SUM(F1423:F1424)</f>
        <v>2408801</v>
      </c>
      <c r="I1425" s="5">
        <f t="shared" ref="I1425:L1425" si="303">SUM(I1423:I1424)</f>
        <v>597160</v>
      </c>
      <c r="J1425" s="5">
        <f t="shared" si="303"/>
        <v>55681</v>
      </c>
      <c r="K1425" s="4">
        <f t="shared" si="303"/>
        <v>3061642</v>
      </c>
      <c r="L1425" s="4">
        <f t="shared" si="303"/>
        <v>2908800</v>
      </c>
      <c r="N1425" s="5">
        <f>SUM(N1423:N1424)</f>
        <v>152842</v>
      </c>
      <c r="P1425" s="3"/>
      <c r="Q1425" s="3"/>
      <c r="R1425" s="3"/>
      <c r="S1425" s="3"/>
      <c r="T1425" s="3"/>
      <c r="U1425" s="3"/>
      <c r="V1425" s="3"/>
      <c r="W1425" s="3"/>
      <c r="X1425" s="3"/>
      <c r="Y1425" s="3"/>
      <c r="Z1425" s="3"/>
      <c r="AA1425" s="3"/>
      <c r="AB1425" s="3"/>
      <c r="AC1425" s="3"/>
      <c r="AD1425" s="3"/>
      <c r="AE1425" s="3"/>
      <c r="AF1425" s="3"/>
      <c r="AG1425" s="3"/>
    </row>
    <row r="1426">
      <c r="A1426" s="2">
        <v>2019.0</v>
      </c>
      <c r="B1426" s="1" t="s">
        <v>332</v>
      </c>
      <c r="D1426" s="5" t="s">
        <v>111</v>
      </c>
      <c r="F1426" s="5">
        <v>112550.0</v>
      </c>
      <c r="I1426" s="5">
        <v>2028265.0</v>
      </c>
      <c r="J1426" s="5">
        <v>11456.0</v>
      </c>
      <c r="K1426" s="4">
        <f t="shared" ref="K1426:K1427" si="304">SUM(F1426:J1426)</f>
        <v>2152271</v>
      </c>
      <c r="L1426" s="4">
        <f t="shared" ref="L1426:L1427" si="305">K1426-N1426</f>
        <v>1395027</v>
      </c>
      <c r="N1426" s="5">
        <v>757244.0</v>
      </c>
      <c r="P1426" s="3"/>
      <c r="Q1426" s="3"/>
      <c r="R1426" s="3"/>
      <c r="S1426" s="3"/>
      <c r="T1426" s="3"/>
      <c r="U1426" s="3"/>
      <c r="V1426" s="3"/>
      <c r="W1426" s="3"/>
      <c r="X1426" s="3"/>
      <c r="Y1426" s="3"/>
      <c r="Z1426" s="3"/>
      <c r="AA1426" s="3"/>
      <c r="AB1426" s="3"/>
      <c r="AC1426" s="3"/>
      <c r="AD1426" s="3"/>
      <c r="AE1426" s="3"/>
      <c r="AF1426" s="3"/>
      <c r="AG1426" s="3"/>
    </row>
    <row r="1427">
      <c r="A1427" s="2">
        <v>2019.0</v>
      </c>
      <c r="B1427" s="1" t="s">
        <v>332</v>
      </c>
      <c r="D1427" s="5" t="s">
        <v>111</v>
      </c>
      <c r="F1427" s="5">
        <v>13680.0</v>
      </c>
      <c r="I1427" s="5">
        <v>7840.0</v>
      </c>
      <c r="J1427" s="5">
        <v>696.0</v>
      </c>
      <c r="K1427" s="4">
        <f t="shared" si="304"/>
        <v>22216</v>
      </c>
      <c r="L1427" s="4">
        <f t="shared" si="305"/>
        <v>0</v>
      </c>
      <c r="N1427" s="5">
        <v>22216.0</v>
      </c>
      <c r="P1427" s="3"/>
      <c r="Q1427" s="3"/>
      <c r="R1427" s="3"/>
      <c r="S1427" s="3"/>
      <c r="T1427" s="3"/>
      <c r="U1427" s="3"/>
      <c r="V1427" s="3"/>
      <c r="W1427" s="3"/>
      <c r="X1427" s="3"/>
      <c r="Y1427" s="3"/>
      <c r="Z1427" s="3"/>
      <c r="AA1427" s="3"/>
      <c r="AB1427" s="3"/>
      <c r="AC1427" s="3"/>
      <c r="AD1427" s="3"/>
      <c r="AE1427" s="3"/>
      <c r="AF1427" s="3"/>
      <c r="AG1427" s="3"/>
    </row>
    <row r="1428">
      <c r="A1428" s="2">
        <v>2019.0</v>
      </c>
      <c r="B1428" s="1" t="s">
        <v>332</v>
      </c>
      <c r="D1428" s="5" t="s">
        <v>116</v>
      </c>
      <c r="F1428" s="5">
        <f>SUM(F1426:F1427)</f>
        <v>126230</v>
      </c>
      <c r="I1428" s="5">
        <f t="shared" ref="I1428:L1428" si="306">SUM(I1426:I1427)</f>
        <v>2036105</v>
      </c>
      <c r="J1428" s="5">
        <f t="shared" si="306"/>
        <v>12152</v>
      </c>
      <c r="K1428" s="4">
        <f t="shared" si="306"/>
        <v>2174487</v>
      </c>
      <c r="L1428" s="4">
        <f t="shared" si="306"/>
        <v>1395027</v>
      </c>
      <c r="N1428" s="5">
        <f>SUM(N1426:N1427)</f>
        <v>779460</v>
      </c>
      <c r="P1428" s="3"/>
      <c r="Q1428" s="3"/>
      <c r="R1428" s="3"/>
      <c r="S1428" s="3"/>
      <c r="T1428" s="3"/>
      <c r="U1428" s="3"/>
      <c r="V1428" s="3"/>
      <c r="W1428" s="3"/>
      <c r="X1428" s="3"/>
      <c r="Y1428" s="3"/>
      <c r="Z1428" s="3"/>
      <c r="AA1428" s="3"/>
      <c r="AB1428" s="3"/>
      <c r="AC1428" s="3"/>
      <c r="AD1428" s="3"/>
      <c r="AE1428" s="3"/>
      <c r="AF1428" s="3"/>
      <c r="AG1428" s="3"/>
    </row>
    <row r="1429">
      <c r="A1429" s="2">
        <v>2019.0</v>
      </c>
      <c r="B1429" s="1" t="s">
        <v>332</v>
      </c>
      <c r="D1429" s="5" t="s">
        <v>116</v>
      </c>
      <c r="F1429" s="5">
        <v>38336.0</v>
      </c>
      <c r="I1429" s="5">
        <v>0.0</v>
      </c>
      <c r="J1429" s="5">
        <v>0.0</v>
      </c>
      <c r="K1429" s="5">
        <f t="shared" ref="K1429:K1431" si="307">SUM(F1429:J1429)</f>
        <v>38336</v>
      </c>
      <c r="L1429" s="5">
        <v>38336.0</v>
      </c>
      <c r="N1429" s="5">
        <f t="shared" ref="N1429:N1431" si="308">K1429-L1429</f>
        <v>0</v>
      </c>
      <c r="P1429" s="3"/>
      <c r="Q1429" s="3"/>
      <c r="R1429" s="3"/>
      <c r="S1429" s="3"/>
      <c r="T1429" s="3"/>
      <c r="U1429" s="3"/>
      <c r="V1429" s="3"/>
      <c r="W1429" s="3"/>
      <c r="X1429" s="3"/>
      <c r="Y1429" s="3"/>
      <c r="Z1429" s="3"/>
      <c r="AA1429" s="3"/>
      <c r="AB1429" s="3"/>
      <c r="AC1429" s="3"/>
      <c r="AD1429" s="3"/>
      <c r="AE1429" s="3"/>
      <c r="AF1429" s="3"/>
      <c r="AG1429" s="3"/>
    </row>
    <row r="1430">
      <c r="A1430" s="2">
        <v>2019.0</v>
      </c>
      <c r="B1430" s="1" t="s">
        <v>332</v>
      </c>
      <c r="D1430" s="5" t="s">
        <v>116</v>
      </c>
      <c r="F1430" s="5">
        <v>902694.0</v>
      </c>
      <c r="I1430" s="5">
        <v>2610694.0</v>
      </c>
      <c r="J1430" s="5">
        <v>30243.0</v>
      </c>
      <c r="K1430" s="5">
        <f t="shared" si="307"/>
        <v>3543631</v>
      </c>
      <c r="L1430" s="5">
        <v>2035070.0</v>
      </c>
      <c r="N1430" s="5">
        <f t="shared" si="308"/>
        <v>1508561</v>
      </c>
      <c r="P1430" s="3"/>
      <c r="Q1430" s="3"/>
      <c r="R1430" s="3"/>
      <c r="S1430" s="3"/>
      <c r="T1430" s="3"/>
      <c r="U1430" s="3"/>
      <c r="V1430" s="3"/>
      <c r="W1430" s="3"/>
      <c r="X1430" s="3"/>
      <c r="Y1430" s="3"/>
      <c r="Z1430" s="3"/>
      <c r="AA1430" s="3"/>
      <c r="AB1430" s="3"/>
      <c r="AC1430" s="3"/>
      <c r="AD1430" s="3"/>
      <c r="AE1430" s="3"/>
      <c r="AF1430" s="3"/>
      <c r="AG1430" s="3"/>
    </row>
    <row r="1431">
      <c r="A1431" s="2">
        <v>2019.0</v>
      </c>
      <c r="B1431" s="1" t="s">
        <v>332</v>
      </c>
      <c r="D1431" s="5" t="s">
        <v>116</v>
      </c>
      <c r="F1431" s="5">
        <v>299026.0</v>
      </c>
      <c r="I1431" s="5">
        <v>405470.0</v>
      </c>
      <c r="J1431" s="5">
        <v>6990.0</v>
      </c>
      <c r="K1431" s="5">
        <f t="shared" si="307"/>
        <v>711486</v>
      </c>
      <c r="L1431" s="5">
        <v>587061.0</v>
      </c>
      <c r="N1431" s="5">
        <f t="shared" si="308"/>
        <v>124425</v>
      </c>
      <c r="P1431" s="3"/>
      <c r="Q1431" s="3"/>
      <c r="R1431" s="3"/>
      <c r="S1431" s="3"/>
      <c r="T1431" s="3"/>
      <c r="U1431" s="3"/>
      <c r="V1431" s="3"/>
      <c r="W1431" s="3"/>
      <c r="X1431" s="3"/>
      <c r="Y1431" s="3"/>
      <c r="Z1431" s="3"/>
      <c r="AA1431" s="3"/>
      <c r="AB1431" s="3"/>
      <c r="AC1431" s="3"/>
      <c r="AD1431" s="3"/>
      <c r="AE1431" s="3"/>
      <c r="AF1431" s="3"/>
      <c r="AG1431" s="3"/>
    </row>
    <row r="1432">
      <c r="A1432" s="2">
        <v>2019.0</v>
      </c>
      <c r="B1432" s="1" t="s">
        <v>332</v>
      </c>
      <c r="D1432" s="5" t="s">
        <v>121</v>
      </c>
      <c r="F1432" s="5">
        <f>SUM(F1429:F1431)</f>
        <v>1240056</v>
      </c>
      <c r="I1432" s="5">
        <f t="shared" ref="I1432:L1432" si="309">SUM(I1429:I1431)</f>
        <v>3016164</v>
      </c>
      <c r="J1432" s="5">
        <f t="shared" si="309"/>
        <v>37233</v>
      </c>
      <c r="K1432" s="5">
        <f t="shared" si="309"/>
        <v>4293453</v>
      </c>
      <c r="L1432" s="5">
        <f t="shared" si="309"/>
        <v>2660467</v>
      </c>
      <c r="N1432" s="5">
        <f>SUM(N1429:N1431)</f>
        <v>1632986</v>
      </c>
      <c r="P1432" s="3"/>
      <c r="Q1432" s="3"/>
      <c r="R1432" s="3"/>
      <c r="S1432" s="3"/>
      <c r="T1432" s="3"/>
      <c r="U1432" s="3"/>
      <c r="V1432" s="3"/>
      <c r="W1432" s="3"/>
      <c r="X1432" s="3"/>
      <c r="Y1432" s="3"/>
      <c r="Z1432" s="3"/>
      <c r="AA1432" s="3"/>
      <c r="AB1432" s="3"/>
      <c r="AC1432" s="3"/>
      <c r="AD1432" s="3"/>
      <c r="AE1432" s="3"/>
      <c r="AF1432" s="3"/>
      <c r="AG1432" s="3"/>
    </row>
    <row r="1433">
      <c r="A1433" s="2">
        <v>2019.0</v>
      </c>
      <c r="B1433" s="1" t="s">
        <v>332</v>
      </c>
      <c r="D1433" s="5" t="s">
        <v>121</v>
      </c>
      <c r="F1433" s="5">
        <v>101176.0</v>
      </c>
      <c r="I1433" s="5">
        <v>0.0</v>
      </c>
      <c r="J1433" s="5">
        <v>5070.0</v>
      </c>
      <c r="K1433" s="5">
        <f t="shared" ref="K1433:K1436" si="310">SUM(F1433:J1433)</f>
        <v>106246</v>
      </c>
      <c r="L1433" s="5">
        <v>95458.0</v>
      </c>
      <c r="N1433" s="5">
        <f t="shared" ref="N1433:N1440" si="311">K1433-L1433</f>
        <v>10788</v>
      </c>
      <c r="P1433" s="3"/>
      <c r="Q1433" s="3"/>
      <c r="R1433" s="3"/>
      <c r="S1433" s="3"/>
      <c r="T1433" s="3"/>
      <c r="U1433" s="3"/>
      <c r="V1433" s="3"/>
      <c r="W1433" s="3"/>
      <c r="X1433" s="3"/>
      <c r="Y1433" s="3"/>
      <c r="Z1433" s="3"/>
      <c r="AA1433" s="3"/>
      <c r="AB1433" s="3"/>
      <c r="AC1433" s="3"/>
      <c r="AD1433" s="3"/>
      <c r="AE1433" s="3"/>
      <c r="AF1433" s="3"/>
      <c r="AG1433" s="3"/>
    </row>
    <row r="1434">
      <c r="A1434" s="2">
        <v>2019.0</v>
      </c>
      <c r="B1434" s="1" t="s">
        <v>332</v>
      </c>
      <c r="D1434" s="5" t="s">
        <v>121</v>
      </c>
      <c r="F1434" s="5">
        <v>903110.0</v>
      </c>
      <c r="I1434" s="5">
        <v>1114000.0</v>
      </c>
      <c r="J1434" s="5">
        <v>15646.0</v>
      </c>
      <c r="K1434" s="5">
        <f t="shared" si="310"/>
        <v>2032756</v>
      </c>
      <c r="L1434" s="5">
        <v>847337.0</v>
      </c>
      <c r="N1434" s="5">
        <f t="shared" si="311"/>
        <v>1185419</v>
      </c>
      <c r="P1434" s="3"/>
      <c r="Q1434" s="3"/>
      <c r="R1434" s="3"/>
      <c r="S1434" s="3"/>
      <c r="T1434" s="3"/>
      <c r="U1434" s="3"/>
      <c r="V1434" s="3"/>
      <c r="W1434" s="3"/>
      <c r="X1434" s="3"/>
      <c r="Y1434" s="3"/>
      <c r="Z1434" s="3"/>
      <c r="AA1434" s="3"/>
      <c r="AB1434" s="3"/>
      <c r="AC1434" s="3"/>
      <c r="AD1434" s="3"/>
      <c r="AE1434" s="3"/>
      <c r="AF1434" s="3"/>
      <c r="AG1434" s="3"/>
    </row>
    <row r="1435">
      <c r="A1435" s="2">
        <v>2019.0</v>
      </c>
      <c r="B1435" s="1" t="s">
        <v>332</v>
      </c>
      <c r="D1435" s="5" t="s">
        <v>121</v>
      </c>
      <c r="F1435" s="5">
        <v>25045.0</v>
      </c>
      <c r="I1435" s="5">
        <v>1427542.0</v>
      </c>
      <c r="J1435" s="5">
        <v>5280.0</v>
      </c>
      <c r="K1435" s="5">
        <f t="shared" si="310"/>
        <v>1457867</v>
      </c>
      <c r="L1435" s="5">
        <v>1215624.0</v>
      </c>
      <c r="N1435" s="5">
        <f t="shared" si="311"/>
        <v>242243</v>
      </c>
      <c r="P1435" s="3"/>
      <c r="Q1435" s="3"/>
      <c r="R1435" s="3"/>
      <c r="S1435" s="3"/>
      <c r="T1435" s="3"/>
      <c r="U1435" s="3"/>
      <c r="V1435" s="3"/>
      <c r="W1435" s="3"/>
      <c r="X1435" s="3"/>
      <c r="Y1435" s="3"/>
      <c r="Z1435" s="3"/>
      <c r="AA1435" s="3"/>
      <c r="AB1435" s="3"/>
      <c r="AC1435" s="3"/>
      <c r="AD1435" s="3"/>
      <c r="AE1435" s="3"/>
      <c r="AF1435" s="3"/>
      <c r="AG1435" s="3"/>
    </row>
    <row r="1436">
      <c r="A1436" s="2">
        <v>2019.0</v>
      </c>
      <c r="B1436" s="1" t="s">
        <v>332</v>
      </c>
      <c r="D1436" s="5" t="s">
        <v>121</v>
      </c>
      <c r="F1436" s="5" t="s">
        <v>1305</v>
      </c>
      <c r="K1436" s="5">
        <f t="shared" si="310"/>
        <v>0</v>
      </c>
      <c r="N1436" s="5">
        <f t="shared" si="311"/>
        <v>0</v>
      </c>
      <c r="P1436" s="3"/>
      <c r="Q1436" s="3"/>
      <c r="R1436" s="3"/>
      <c r="S1436" s="3"/>
      <c r="T1436" s="3"/>
      <c r="U1436" s="3"/>
      <c r="V1436" s="3"/>
      <c r="W1436" s="3"/>
      <c r="X1436" s="3"/>
      <c r="Y1436" s="3"/>
      <c r="Z1436" s="3"/>
      <c r="AA1436" s="3"/>
      <c r="AB1436" s="3"/>
      <c r="AC1436" s="3"/>
      <c r="AD1436" s="3"/>
      <c r="AE1436" s="3"/>
      <c r="AF1436" s="3"/>
      <c r="AG1436" s="3"/>
    </row>
    <row r="1437">
      <c r="A1437" s="2">
        <v>2019.0</v>
      </c>
      <c r="B1437" s="1" t="s">
        <v>332</v>
      </c>
      <c r="D1437" s="5" t="s">
        <v>120</v>
      </c>
      <c r="F1437" s="5">
        <f>SUM(F1433:F1436)</f>
        <v>1029331</v>
      </c>
      <c r="I1437" s="5">
        <f t="shared" ref="I1437:L1437" si="312">SUM(I1433:I1436)</f>
        <v>2541542</v>
      </c>
      <c r="J1437" s="5">
        <f t="shared" si="312"/>
        <v>25996</v>
      </c>
      <c r="K1437" s="5">
        <f t="shared" si="312"/>
        <v>3596869</v>
      </c>
      <c r="L1437" s="5">
        <f t="shared" si="312"/>
        <v>2158419</v>
      </c>
      <c r="N1437" s="5">
        <f t="shared" si="311"/>
        <v>1438450</v>
      </c>
      <c r="P1437" s="3"/>
      <c r="Q1437" s="3"/>
      <c r="R1437" s="3"/>
      <c r="S1437" s="3"/>
      <c r="T1437" s="3"/>
      <c r="U1437" s="3"/>
      <c r="V1437" s="3"/>
      <c r="W1437" s="3"/>
      <c r="X1437" s="3"/>
      <c r="Y1437" s="3"/>
      <c r="Z1437" s="3"/>
      <c r="AA1437" s="3"/>
      <c r="AB1437" s="3"/>
      <c r="AC1437" s="3"/>
      <c r="AD1437" s="3"/>
      <c r="AE1437" s="3"/>
      <c r="AF1437" s="3"/>
      <c r="AG1437" s="3"/>
    </row>
    <row r="1438">
      <c r="A1438" s="2">
        <v>2019.0</v>
      </c>
      <c r="B1438" s="1" t="s">
        <v>332</v>
      </c>
      <c r="D1438" s="5" t="s">
        <v>120</v>
      </c>
      <c r="F1438" s="5">
        <v>375429.0</v>
      </c>
      <c r="I1438" s="5">
        <v>2028000.0</v>
      </c>
      <c r="J1438" s="5">
        <v>7078.0</v>
      </c>
      <c r="K1438" s="5">
        <f t="shared" ref="K1438:K1440" si="313">SUM(F1438:J1438)</f>
        <v>2410507</v>
      </c>
      <c r="L1438" s="5">
        <v>1410933.0</v>
      </c>
      <c r="N1438" s="5">
        <f t="shared" si="311"/>
        <v>999574</v>
      </c>
      <c r="P1438" s="3"/>
      <c r="Q1438" s="3"/>
      <c r="R1438" s="3"/>
      <c r="S1438" s="3"/>
      <c r="T1438" s="3"/>
      <c r="U1438" s="3"/>
      <c r="V1438" s="3"/>
      <c r="W1438" s="3"/>
      <c r="X1438" s="3"/>
      <c r="Y1438" s="3"/>
      <c r="Z1438" s="3"/>
      <c r="AA1438" s="3"/>
      <c r="AB1438" s="3"/>
      <c r="AC1438" s="3"/>
      <c r="AD1438" s="3"/>
      <c r="AE1438" s="3"/>
      <c r="AF1438" s="3"/>
      <c r="AG1438" s="3"/>
    </row>
    <row r="1439">
      <c r="A1439" s="2">
        <v>2019.0</v>
      </c>
      <c r="B1439" s="1" t="s">
        <v>332</v>
      </c>
      <c r="D1439" s="5" t="s">
        <v>120</v>
      </c>
      <c r="F1439" s="5">
        <v>7928.0</v>
      </c>
      <c r="I1439" s="5">
        <v>1499148.0</v>
      </c>
      <c r="J1439" s="5">
        <v>11575.0</v>
      </c>
      <c r="K1439" s="5">
        <f t="shared" si="313"/>
        <v>1518651</v>
      </c>
      <c r="L1439" s="5">
        <v>1089280.0</v>
      </c>
      <c r="N1439" s="5">
        <f t="shared" si="311"/>
        <v>429371</v>
      </c>
      <c r="P1439" s="3"/>
      <c r="Q1439" s="3"/>
      <c r="R1439" s="3"/>
      <c r="S1439" s="3"/>
      <c r="T1439" s="3"/>
      <c r="U1439" s="3"/>
      <c r="V1439" s="3"/>
      <c r="W1439" s="3"/>
      <c r="X1439" s="3"/>
      <c r="Y1439" s="3"/>
      <c r="Z1439" s="3"/>
      <c r="AA1439" s="3"/>
      <c r="AB1439" s="3"/>
      <c r="AC1439" s="3"/>
      <c r="AD1439" s="3"/>
      <c r="AE1439" s="3"/>
      <c r="AF1439" s="3"/>
      <c r="AG1439" s="3"/>
    </row>
    <row r="1440">
      <c r="A1440" s="2">
        <v>2019.0</v>
      </c>
      <c r="B1440" s="1" t="s">
        <v>332</v>
      </c>
      <c r="D1440" s="5" t="s">
        <v>120</v>
      </c>
      <c r="F1440" s="5">
        <v>39806.0</v>
      </c>
      <c r="I1440" s="5">
        <v>94810.0</v>
      </c>
      <c r="J1440" s="5">
        <v>637.0</v>
      </c>
      <c r="K1440" s="5">
        <f t="shared" si="313"/>
        <v>135253</v>
      </c>
      <c r="L1440" s="5">
        <v>134147.0</v>
      </c>
      <c r="N1440" s="5">
        <f t="shared" si="311"/>
        <v>1106</v>
      </c>
      <c r="P1440" s="3"/>
      <c r="Q1440" s="3"/>
      <c r="R1440" s="3"/>
      <c r="S1440" s="3"/>
      <c r="T1440" s="3"/>
      <c r="U1440" s="3"/>
      <c r="V1440" s="3"/>
      <c r="W1440" s="3"/>
      <c r="X1440" s="3"/>
      <c r="Y1440" s="3"/>
      <c r="Z1440" s="3"/>
      <c r="AA1440" s="3"/>
      <c r="AB1440" s="3"/>
      <c r="AC1440" s="3"/>
      <c r="AD1440" s="3"/>
      <c r="AE1440" s="3"/>
      <c r="AF1440" s="3"/>
      <c r="AG1440" s="3"/>
    </row>
    <row r="1441">
      <c r="A1441" s="2">
        <v>2019.0</v>
      </c>
      <c r="B1441" s="1" t="s">
        <v>332</v>
      </c>
      <c r="D1441" s="5" t="s">
        <v>266</v>
      </c>
      <c r="F1441" s="5">
        <f>SUM(F1438:F1440)</f>
        <v>423163</v>
      </c>
      <c r="I1441" s="5">
        <f t="shared" ref="I1441:L1441" si="314">SUM(I1438:I1440)</f>
        <v>3621958</v>
      </c>
      <c r="J1441" s="5">
        <f t="shared" si="314"/>
        <v>19290</v>
      </c>
      <c r="K1441" s="5">
        <f t="shared" si="314"/>
        <v>4064411</v>
      </c>
      <c r="L1441" s="5">
        <f t="shared" si="314"/>
        <v>2634360</v>
      </c>
      <c r="N1441" s="5">
        <f>SUM(N1438:N1440)</f>
        <v>1430051</v>
      </c>
      <c r="P1441" s="3"/>
      <c r="Q1441" s="3"/>
      <c r="R1441" s="3"/>
      <c r="S1441" s="3"/>
      <c r="T1441" s="3"/>
      <c r="U1441" s="3"/>
      <c r="V1441" s="3"/>
      <c r="W1441" s="3"/>
      <c r="X1441" s="3"/>
      <c r="Y1441" s="3"/>
      <c r="Z1441" s="3"/>
      <c r="AA1441" s="3"/>
      <c r="AB1441" s="3"/>
      <c r="AC1441" s="3"/>
      <c r="AD1441" s="3"/>
      <c r="AE1441" s="3"/>
      <c r="AF1441" s="3"/>
      <c r="AG1441" s="3"/>
    </row>
    <row r="1442">
      <c r="A1442" s="2">
        <v>2019.0</v>
      </c>
      <c r="B1442" s="1" t="s">
        <v>332</v>
      </c>
      <c r="D1442" s="5" t="s">
        <v>266</v>
      </c>
      <c r="F1442" s="5">
        <v>19370.0</v>
      </c>
      <c r="I1442" s="5">
        <v>457700.0</v>
      </c>
      <c r="J1442" s="5">
        <v>3476.0</v>
      </c>
      <c r="K1442" s="5">
        <f t="shared" ref="K1442:K1444" si="315">SUM(F1442:J1442)</f>
        <v>480546</v>
      </c>
      <c r="L1442" s="5">
        <v>426000.0</v>
      </c>
      <c r="N1442" s="5">
        <f t="shared" ref="N1442:N1444" si="316">K1442-L1442</f>
        <v>54546</v>
      </c>
      <c r="P1442" s="3"/>
      <c r="Q1442" s="3"/>
      <c r="R1442" s="3"/>
      <c r="S1442" s="3"/>
      <c r="T1442" s="3"/>
      <c r="U1442" s="3"/>
      <c r="V1442" s="3"/>
      <c r="W1442" s="3"/>
      <c r="X1442" s="3"/>
      <c r="Y1442" s="3"/>
      <c r="Z1442" s="3"/>
      <c r="AA1442" s="3"/>
      <c r="AB1442" s="3"/>
      <c r="AC1442" s="3"/>
      <c r="AD1442" s="3"/>
      <c r="AE1442" s="3"/>
      <c r="AF1442" s="3"/>
      <c r="AG1442" s="3"/>
    </row>
    <row r="1443">
      <c r="A1443" s="2">
        <v>2019.0</v>
      </c>
      <c r="B1443" s="1" t="s">
        <v>332</v>
      </c>
      <c r="D1443" s="5" t="s">
        <v>266</v>
      </c>
      <c r="F1443" s="5">
        <v>1242580.0</v>
      </c>
      <c r="I1443" s="5">
        <v>768000.0</v>
      </c>
      <c r="J1443" s="5">
        <v>0.0</v>
      </c>
      <c r="K1443" s="5">
        <f t="shared" si="315"/>
        <v>2010580</v>
      </c>
      <c r="L1443" s="5">
        <v>1879124.0</v>
      </c>
      <c r="N1443" s="5">
        <f t="shared" si="316"/>
        <v>131456</v>
      </c>
      <c r="P1443" s="3"/>
      <c r="Q1443" s="3"/>
      <c r="R1443" s="3"/>
      <c r="S1443" s="3"/>
      <c r="T1443" s="3"/>
      <c r="U1443" s="3"/>
      <c r="V1443" s="3"/>
      <c r="W1443" s="3"/>
      <c r="X1443" s="3"/>
      <c r="Y1443" s="3"/>
      <c r="Z1443" s="3"/>
      <c r="AA1443" s="3"/>
      <c r="AB1443" s="3"/>
      <c r="AC1443" s="3"/>
      <c r="AD1443" s="3"/>
      <c r="AE1443" s="3"/>
      <c r="AF1443" s="3"/>
      <c r="AG1443" s="3"/>
    </row>
    <row r="1444">
      <c r="A1444" s="2">
        <v>2019.0</v>
      </c>
      <c r="B1444" s="1" t="s">
        <v>332</v>
      </c>
      <c r="D1444" s="5" t="s">
        <v>266</v>
      </c>
      <c r="F1444" s="5">
        <v>536.0</v>
      </c>
      <c r="I1444" s="5">
        <v>0.0</v>
      </c>
      <c r="J1444" s="5">
        <v>0.0</v>
      </c>
      <c r="K1444" s="5">
        <f t="shared" si="315"/>
        <v>536</v>
      </c>
      <c r="L1444" s="5">
        <v>0.0</v>
      </c>
      <c r="N1444" s="5">
        <f t="shared" si="316"/>
        <v>536</v>
      </c>
      <c r="P1444" s="3"/>
      <c r="Q1444" s="3"/>
      <c r="R1444" s="3"/>
      <c r="S1444" s="3"/>
      <c r="T1444" s="3"/>
      <c r="U1444" s="3"/>
      <c r="V1444" s="3"/>
      <c r="W1444" s="3"/>
      <c r="X1444" s="3"/>
      <c r="Y1444" s="3"/>
      <c r="Z1444" s="3"/>
      <c r="AA1444" s="3"/>
      <c r="AB1444" s="3"/>
      <c r="AC1444" s="3"/>
      <c r="AD1444" s="3"/>
      <c r="AE1444" s="3"/>
      <c r="AF1444" s="3"/>
      <c r="AG1444" s="3"/>
    </row>
    <row r="1445">
      <c r="A1445" s="2">
        <v>2019.0</v>
      </c>
      <c r="B1445" s="1" t="s">
        <v>332</v>
      </c>
      <c r="D1445" s="5" t="s">
        <v>266</v>
      </c>
      <c r="F1445" s="5" t="s">
        <v>1305</v>
      </c>
      <c r="P1445" s="3"/>
      <c r="Q1445" s="3"/>
      <c r="R1445" s="3"/>
      <c r="S1445" s="3"/>
      <c r="T1445" s="3"/>
      <c r="U1445" s="3"/>
      <c r="V1445" s="3"/>
      <c r="W1445" s="3"/>
      <c r="X1445" s="3"/>
      <c r="Y1445" s="3"/>
      <c r="Z1445" s="3"/>
      <c r="AA1445" s="3"/>
      <c r="AB1445" s="3"/>
      <c r="AC1445" s="3"/>
      <c r="AD1445" s="3"/>
      <c r="AE1445" s="3"/>
      <c r="AF1445" s="3"/>
      <c r="AG1445" s="3"/>
    </row>
    <row r="1446">
      <c r="A1446" s="2">
        <v>2019.0</v>
      </c>
      <c r="B1446" s="1" t="s">
        <v>332</v>
      </c>
      <c r="D1446" s="5" t="s">
        <v>125</v>
      </c>
      <c r="F1446" s="5">
        <f>SUM(F1442:F1445)</f>
        <v>1262486</v>
      </c>
      <c r="I1446" s="5">
        <f t="shared" ref="I1446:L1446" si="317">SUM(I1442:I1445)</f>
        <v>1225700</v>
      </c>
      <c r="J1446" s="5">
        <f t="shared" si="317"/>
        <v>3476</v>
      </c>
      <c r="K1446" s="5">
        <f t="shared" si="317"/>
        <v>2491662</v>
      </c>
      <c r="L1446" s="5">
        <f t="shared" si="317"/>
        <v>2305124</v>
      </c>
      <c r="N1446" s="5">
        <f>SUM(N1442:N1445)</f>
        <v>186538</v>
      </c>
      <c r="P1446" s="3"/>
      <c r="Q1446" s="3"/>
      <c r="R1446" s="3"/>
      <c r="S1446" s="3"/>
      <c r="T1446" s="3"/>
      <c r="U1446" s="3"/>
      <c r="V1446" s="3"/>
      <c r="W1446" s="3"/>
      <c r="X1446" s="3"/>
      <c r="Y1446" s="3"/>
      <c r="Z1446" s="3"/>
      <c r="AA1446" s="3"/>
      <c r="AB1446" s="3"/>
      <c r="AC1446" s="3"/>
      <c r="AD1446" s="3"/>
      <c r="AE1446" s="3"/>
      <c r="AF1446" s="3"/>
      <c r="AG1446" s="3"/>
    </row>
    <row r="1447">
      <c r="A1447" s="2">
        <v>2019.0</v>
      </c>
      <c r="B1447" s="1" t="s">
        <v>332</v>
      </c>
      <c r="D1447" s="5" t="s">
        <v>125</v>
      </c>
      <c r="F1447" s="5">
        <v>188719.0</v>
      </c>
      <c r="I1447" s="5">
        <v>739600.0</v>
      </c>
      <c r="J1447" s="5">
        <v>8689.0</v>
      </c>
      <c r="K1447" s="5">
        <f t="shared" ref="K1447:K1448" si="318">SUM(F1447:J1447)</f>
        <v>937008</v>
      </c>
      <c r="L1447" s="5">
        <v>778728.0</v>
      </c>
      <c r="N1447" s="5">
        <f t="shared" ref="N1447:N1448" si="319">K1447-L1447</f>
        <v>158280</v>
      </c>
      <c r="P1447" s="3"/>
      <c r="Q1447" s="3"/>
      <c r="R1447" s="3"/>
      <c r="S1447" s="3"/>
      <c r="T1447" s="3"/>
      <c r="U1447" s="3"/>
      <c r="V1447" s="3"/>
      <c r="W1447" s="3"/>
      <c r="X1447" s="3"/>
      <c r="Y1447" s="3"/>
      <c r="Z1447" s="3"/>
      <c r="AA1447" s="3"/>
      <c r="AB1447" s="3"/>
      <c r="AC1447" s="3"/>
      <c r="AD1447" s="3"/>
      <c r="AE1447" s="3"/>
      <c r="AF1447" s="3"/>
      <c r="AG1447" s="3"/>
    </row>
    <row r="1448">
      <c r="A1448" s="2">
        <v>2019.0</v>
      </c>
      <c r="B1448" s="1" t="s">
        <v>332</v>
      </c>
      <c r="D1448" s="5" t="s">
        <v>125</v>
      </c>
      <c r="F1448" s="5">
        <v>312465.0</v>
      </c>
      <c r="I1448" s="5">
        <v>1700190.0</v>
      </c>
      <c r="J1448" s="5">
        <v>5910.0</v>
      </c>
      <c r="K1448" s="5">
        <f t="shared" si="318"/>
        <v>2018565</v>
      </c>
      <c r="L1448" s="5">
        <v>765258.0</v>
      </c>
      <c r="N1448" s="5">
        <f t="shared" si="319"/>
        <v>1253307</v>
      </c>
      <c r="P1448" s="3"/>
      <c r="Q1448" s="3"/>
      <c r="R1448" s="3"/>
      <c r="S1448" s="3"/>
      <c r="T1448" s="3"/>
      <c r="U1448" s="3"/>
      <c r="V1448" s="3"/>
      <c r="W1448" s="3"/>
      <c r="X1448" s="3"/>
      <c r="Y1448" s="3"/>
      <c r="Z1448" s="3"/>
      <c r="AA1448" s="3"/>
      <c r="AB1448" s="3"/>
      <c r="AC1448" s="3"/>
      <c r="AD1448" s="3"/>
      <c r="AE1448" s="3"/>
      <c r="AF1448" s="3"/>
      <c r="AG1448" s="3"/>
    </row>
    <row r="1449">
      <c r="A1449" s="2">
        <v>2019.0</v>
      </c>
      <c r="B1449" s="1" t="s">
        <v>332</v>
      </c>
      <c r="D1449" s="5" t="s">
        <v>130</v>
      </c>
      <c r="F1449" s="5">
        <f>SUM(F1447:F1448)</f>
        <v>501184</v>
      </c>
      <c r="I1449" s="5">
        <v>2439790.0</v>
      </c>
      <c r="J1449" s="5">
        <v>14599.0</v>
      </c>
      <c r="K1449" s="5">
        <f t="shared" ref="K1449:L1449" si="320">SUM(K1447:K1448)</f>
        <v>2955573</v>
      </c>
      <c r="L1449" s="5">
        <f t="shared" si="320"/>
        <v>1543986</v>
      </c>
      <c r="N1449" s="5">
        <f>SUM(N1447:N1448)</f>
        <v>1411587</v>
      </c>
      <c r="P1449" s="3"/>
      <c r="Q1449" s="3"/>
      <c r="R1449" s="3"/>
      <c r="S1449" s="3"/>
      <c r="T1449" s="3"/>
      <c r="U1449" s="3"/>
      <c r="V1449" s="3"/>
      <c r="W1449" s="3"/>
      <c r="X1449" s="3"/>
      <c r="Y1449" s="3"/>
      <c r="Z1449" s="3"/>
      <c r="AA1449" s="3"/>
      <c r="AB1449" s="3"/>
      <c r="AC1449" s="3"/>
      <c r="AD1449" s="3"/>
      <c r="AE1449" s="3"/>
      <c r="AF1449" s="3"/>
      <c r="AG1449" s="3"/>
    </row>
    <row r="1450">
      <c r="A1450" s="2">
        <v>2019.0</v>
      </c>
      <c r="B1450" s="1" t="s">
        <v>332</v>
      </c>
      <c r="D1450" s="5" t="s">
        <v>130</v>
      </c>
      <c r="F1450" s="5">
        <v>124449.0</v>
      </c>
      <c r="I1450" s="5">
        <v>8000.0</v>
      </c>
      <c r="J1450" s="5">
        <v>6045.0</v>
      </c>
      <c r="K1450" s="5">
        <f t="shared" ref="K1450:K1452" si="321">SUM(F1450:J1450)</f>
        <v>138494</v>
      </c>
      <c r="L1450" s="5">
        <v>53575.0</v>
      </c>
      <c r="N1450" s="5">
        <f t="shared" ref="N1450:N1452" si="322">K1450-L1450</f>
        <v>84919</v>
      </c>
      <c r="P1450" s="3"/>
      <c r="Q1450" s="3"/>
      <c r="R1450" s="3"/>
      <c r="S1450" s="3"/>
      <c r="T1450" s="3"/>
      <c r="U1450" s="3"/>
      <c r="V1450" s="3"/>
      <c r="W1450" s="3"/>
      <c r="X1450" s="3"/>
      <c r="Y1450" s="3"/>
      <c r="Z1450" s="3"/>
      <c r="AA1450" s="3"/>
      <c r="AB1450" s="3"/>
      <c r="AC1450" s="3"/>
      <c r="AD1450" s="3"/>
      <c r="AE1450" s="3"/>
      <c r="AF1450" s="3"/>
      <c r="AG1450" s="3"/>
    </row>
    <row r="1451">
      <c r="A1451" s="2">
        <v>2019.0</v>
      </c>
      <c r="B1451" s="1" t="s">
        <v>332</v>
      </c>
      <c r="D1451" s="5" t="s">
        <v>130</v>
      </c>
      <c r="F1451" s="5">
        <v>1164593.0</v>
      </c>
      <c r="I1451" s="5">
        <v>798500.0</v>
      </c>
      <c r="J1451" s="5">
        <v>31402.0</v>
      </c>
      <c r="K1451" s="5">
        <f t="shared" si="321"/>
        <v>1994495</v>
      </c>
      <c r="L1451" s="5">
        <v>985729.0</v>
      </c>
      <c r="N1451" s="5">
        <f t="shared" si="322"/>
        <v>1008766</v>
      </c>
      <c r="P1451" s="3"/>
      <c r="Q1451" s="3"/>
      <c r="R1451" s="3"/>
      <c r="S1451" s="3"/>
      <c r="T1451" s="3"/>
      <c r="U1451" s="3"/>
      <c r="V1451" s="3"/>
      <c r="W1451" s="3"/>
      <c r="X1451" s="3"/>
      <c r="Y1451" s="3"/>
      <c r="Z1451" s="3"/>
      <c r="AA1451" s="3"/>
      <c r="AB1451" s="3"/>
      <c r="AC1451" s="3"/>
      <c r="AD1451" s="3"/>
      <c r="AE1451" s="3"/>
      <c r="AF1451" s="3"/>
      <c r="AG1451" s="3"/>
    </row>
    <row r="1452">
      <c r="A1452" s="2">
        <v>2019.0</v>
      </c>
      <c r="B1452" s="1" t="s">
        <v>332</v>
      </c>
      <c r="D1452" s="5" t="s">
        <v>130</v>
      </c>
      <c r="F1452" s="5">
        <v>78707.0</v>
      </c>
      <c r="I1452" s="5">
        <v>467507.0</v>
      </c>
      <c r="J1452" s="5">
        <v>3151.0</v>
      </c>
      <c r="K1452" s="5">
        <f t="shared" si="321"/>
        <v>549365</v>
      </c>
      <c r="L1452" s="5">
        <v>388800.0</v>
      </c>
      <c r="N1452" s="5">
        <f t="shared" si="322"/>
        <v>160565</v>
      </c>
      <c r="P1452" s="3"/>
      <c r="Q1452" s="3"/>
      <c r="R1452" s="3"/>
      <c r="S1452" s="3"/>
      <c r="T1452" s="3"/>
      <c r="U1452" s="3"/>
      <c r="V1452" s="3"/>
      <c r="W1452" s="3"/>
      <c r="X1452" s="3"/>
      <c r="Y1452" s="3"/>
      <c r="Z1452" s="3"/>
      <c r="AA1452" s="3"/>
      <c r="AB1452" s="3"/>
      <c r="AC1452" s="3"/>
      <c r="AD1452" s="3"/>
      <c r="AE1452" s="3"/>
      <c r="AF1452" s="3"/>
      <c r="AG1452" s="3"/>
    </row>
    <row r="1453">
      <c r="A1453" s="2">
        <v>2019.0</v>
      </c>
      <c r="B1453" s="1" t="s">
        <v>332</v>
      </c>
      <c r="D1453" s="5" t="s">
        <v>131</v>
      </c>
      <c r="F1453" s="5">
        <f>SUM(F1450:F1452)</f>
        <v>1367749</v>
      </c>
      <c r="I1453" s="5">
        <f t="shared" ref="I1453:L1453" si="323">SUM(I1450:I1452)</f>
        <v>1274007</v>
      </c>
      <c r="J1453" s="5">
        <f t="shared" si="323"/>
        <v>40598</v>
      </c>
      <c r="K1453" s="5">
        <f t="shared" si="323"/>
        <v>2682354</v>
      </c>
      <c r="L1453" s="5">
        <f t="shared" si="323"/>
        <v>1428104</v>
      </c>
      <c r="N1453" s="5">
        <f>SUM(N1450:N1452)</f>
        <v>1254250</v>
      </c>
      <c r="P1453" s="3"/>
      <c r="Q1453" s="3"/>
      <c r="R1453" s="3"/>
      <c r="S1453" s="3"/>
      <c r="T1453" s="3"/>
      <c r="U1453" s="3"/>
      <c r="V1453" s="3"/>
      <c r="W1453" s="3"/>
      <c r="X1453" s="3"/>
      <c r="Y1453" s="3"/>
      <c r="Z1453" s="3"/>
      <c r="AA1453" s="3"/>
      <c r="AB1453" s="3"/>
      <c r="AC1453" s="3"/>
      <c r="AD1453" s="3"/>
      <c r="AE1453" s="3"/>
      <c r="AF1453" s="3"/>
      <c r="AG1453" s="3"/>
    </row>
    <row r="1454">
      <c r="A1454" s="2">
        <v>2019.0</v>
      </c>
      <c r="B1454" s="1" t="s">
        <v>332</v>
      </c>
      <c r="D1454" s="5" t="s">
        <v>131</v>
      </c>
      <c r="F1454" s="5">
        <v>685139.0</v>
      </c>
      <c r="I1454" s="5">
        <v>686000.0</v>
      </c>
      <c r="J1454" s="5">
        <v>18228.0</v>
      </c>
      <c r="K1454" s="5">
        <f t="shared" ref="K1454:K1456" si="324">SUM(F1454:J1454)</f>
        <v>1389367</v>
      </c>
      <c r="L1454" s="5">
        <v>697289.0</v>
      </c>
      <c r="N1454" s="5">
        <f t="shared" ref="N1454:N1456" si="325">SUM(K1454:L1454)</f>
        <v>2086656</v>
      </c>
      <c r="P1454" s="3"/>
      <c r="Q1454" s="3"/>
      <c r="R1454" s="3"/>
      <c r="S1454" s="3"/>
      <c r="T1454" s="3"/>
      <c r="U1454" s="3"/>
      <c r="V1454" s="3"/>
      <c r="W1454" s="3"/>
      <c r="X1454" s="3"/>
      <c r="Y1454" s="3"/>
      <c r="Z1454" s="3"/>
      <c r="AA1454" s="3"/>
      <c r="AB1454" s="3"/>
      <c r="AC1454" s="3"/>
      <c r="AD1454" s="3"/>
      <c r="AE1454" s="3"/>
      <c r="AF1454" s="3"/>
      <c r="AG1454" s="3"/>
    </row>
    <row r="1455">
      <c r="A1455" s="2">
        <v>2019.0</v>
      </c>
      <c r="B1455" s="1" t="s">
        <v>332</v>
      </c>
      <c r="D1455" s="5" t="s">
        <v>131</v>
      </c>
      <c r="F1455" s="5">
        <v>20020.0</v>
      </c>
      <c r="I1455" s="4">
        <v>33000.0</v>
      </c>
      <c r="J1455" s="5">
        <v>1345.0</v>
      </c>
      <c r="K1455" s="5">
        <f t="shared" si="324"/>
        <v>54365</v>
      </c>
      <c r="L1455" s="5">
        <v>33115.0</v>
      </c>
      <c r="N1455" s="5">
        <f t="shared" si="325"/>
        <v>87480</v>
      </c>
      <c r="P1455" s="3"/>
      <c r="Q1455" s="3"/>
      <c r="R1455" s="3"/>
      <c r="S1455" s="3"/>
      <c r="T1455" s="3"/>
      <c r="U1455" s="3"/>
      <c r="V1455" s="3"/>
      <c r="W1455" s="3"/>
      <c r="X1455" s="3"/>
      <c r="Y1455" s="3"/>
      <c r="Z1455" s="3"/>
      <c r="AA1455" s="3"/>
      <c r="AB1455" s="3"/>
      <c r="AC1455" s="3"/>
      <c r="AD1455" s="3"/>
      <c r="AE1455" s="3"/>
      <c r="AF1455" s="3"/>
      <c r="AG1455" s="3"/>
    </row>
    <row r="1456">
      <c r="A1456" s="2">
        <v>2019.0</v>
      </c>
      <c r="B1456" s="1" t="s">
        <v>332</v>
      </c>
      <c r="D1456" s="5" t="s">
        <v>131</v>
      </c>
      <c r="F1456" s="5">
        <v>175466.0</v>
      </c>
      <c r="I1456" s="5">
        <v>943278.0</v>
      </c>
      <c r="J1456" s="5">
        <v>7001.0</v>
      </c>
      <c r="K1456" s="5">
        <f t="shared" si="324"/>
        <v>1125745</v>
      </c>
      <c r="L1456" s="5">
        <v>726115.0</v>
      </c>
      <c r="N1456" s="5">
        <f t="shared" si="325"/>
        <v>1851860</v>
      </c>
      <c r="P1456" s="3"/>
      <c r="Q1456" s="3"/>
      <c r="R1456" s="3"/>
      <c r="S1456" s="3"/>
      <c r="T1456" s="3"/>
      <c r="U1456" s="3"/>
      <c r="V1456" s="3"/>
      <c r="W1456" s="3"/>
      <c r="X1456" s="3"/>
      <c r="Y1456" s="3"/>
      <c r="Z1456" s="3"/>
      <c r="AA1456" s="3"/>
      <c r="AB1456" s="3"/>
      <c r="AC1456" s="3"/>
      <c r="AD1456" s="3"/>
      <c r="AE1456" s="3"/>
      <c r="AF1456" s="3"/>
      <c r="AG1456" s="3"/>
    </row>
    <row r="1457">
      <c r="A1457" s="2">
        <v>2019.0</v>
      </c>
      <c r="B1457" s="1" t="s">
        <v>332</v>
      </c>
      <c r="D1457" s="5" t="s">
        <v>132</v>
      </c>
      <c r="F1457" s="5">
        <f>SUM(F1454:F1456)</f>
        <v>880625</v>
      </c>
      <c r="I1457" s="5">
        <f t="shared" ref="I1457:L1457" si="326">SUM(I1454:I1456)</f>
        <v>1662278</v>
      </c>
      <c r="J1457" s="5">
        <f t="shared" si="326"/>
        <v>26574</v>
      </c>
      <c r="K1457" s="5">
        <f t="shared" si="326"/>
        <v>2569477</v>
      </c>
      <c r="L1457" s="5">
        <f t="shared" si="326"/>
        <v>1456519</v>
      </c>
      <c r="N1457" s="5">
        <f>SUM(N1454:N1456)</f>
        <v>4025996</v>
      </c>
      <c r="P1457" s="3"/>
      <c r="Q1457" s="3"/>
      <c r="R1457" s="3"/>
      <c r="S1457" s="3"/>
      <c r="T1457" s="3"/>
      <c r="U1457" s="3"/>
      <c r="V1457" s="3"/>
      <c r="W1457" s="3"/>
      <c r="X1457" s="3"/>
      <c r="Y1457" s="3"/>
      <c r="Z1457" s="3"/>
      <c r="AA1457" s="3"/>
      <c r="AB1457" s="3"/>
      <c r="AC1457" s="3"/>
      <c r="AD1457" s="3"/>
      <c r="AE1457" s="3"/>
      <c r="AF1457" s="3"/>
      <c r="AG1457" s="3"/>
    </row>
    <row r="1458">
      <c r="A1458" s="2">
        <v>2019.0</v>
      </c>
      <c r="B1458" s="1" t="s">
        <v>332</v>
      </c>
      <c r="D1458" s="5" t="s">
        <v>132</v>
      </c>
      <c r="F1458" s="5">
        <v>385440.0</v>
      </c>
      <c r="I1458" s="5">
        <v>2209076.0</v>
      </c>
      <c r="J1458" s="5">
        <v>28081.0</v>
      </c>
      <c r="K1458" s="5">
        <v>2622597.0</v>
      </c>
      <c r="L1458" s="5">
        <v>804343.0</v>
      </c>
      <c r="N1458" s="5">
        <v>1818254.0</v>
      </c>
      <c r="P1458" s="3"/>
      <c r="Q1458" s="3"/>
      <c r="R1458" s="3"/>
      <c r="S1458" s="3"/>
      <c r="T1458" s="3"/>
      <c r="U1458" s="3"/>
      <c r="V1458" s="3"/>
      <c r="W1458" s="3"/>
      <c r="X1458" s="3"/>
      <c r="Y1458" s="3"/>
      <c r="Z1458" s="3"/>
      <c r="AA1458" s="3"/>
      <c r="AB1458" s="3"/>
      <c r="AC1458" s="3"/>
      <c r="AD1458" s="3"/>
      <c r="AE1458" s="3"/>
      <c r="AF1458" s="3"/>
      <c r="AG1458" s="3"/>
    </row>
    <row r="1459">
      <c r="A1459" s="2">
        <v>2019.0</v>
      </c>
      <c r="B1459" s="1" t="s">
        <v>332</v>
      </c>
      <c r="D1459" s="5" t="s">
        <v>132</v>
      </c>
      <c r="F1459" s="5">
        <v>12462.0</v>
      </c>
      <c r="J1459" s="5">
        <v>502.0</v>
      </c>
      <c r="K1459" s="5">
        <f t="shared" ref="K1459:K1460" si="327">SUM(F1459:J1459)</f>
        <v>12964</v>
      </c>
      <c r="L1459" s="5">
        <v>0.0</v>
      </c>
      <c r="N1459" s="5">
        <f>(K1459-L1459)</f>
        <v>12964</v>
      </c>
      <c r="P1459" s="3"/>
      <c r="Q1459" s="3"/>
      <c r="R1459" s="3"/>
      <c r="S1459" s="3"/>
      <c r="T1459" s="3"/>
      <c r="U1459" s="3"/>
      <c r="V1459" s="3"/>
      <c r="W1459" s="3"/>
      <c r="X1459" s="3"/>
      <c r="Y1459" s="3"/>
      <c r="Z1459" s="3"/>
      <c r="AA1459" s="3"/>
      <c r="AB1459" s="3"/>
      <c r="AC1459" s="3"/>
      <c r="AD1459" s="3"/>
      <c r="AE1459" s="3"/>
      <c r="AF1459" s="3"/>
      <c r="AG1459" s="3"/>
    </row>
    <row r="1460">
      <c r="A1460" s="2">
        <v>2019.0</v>
      </c>
      <c r="B1460" s="1" t="s">
        <v>332</v>
      </c>
      <c r="D1460" s="5" t="s">
        <v>132</v>
      </c>
      <c r="F1460" s="5">
        <v>123196.0</v>
      </c>
      <c r="I1460" s="5">
        <v>492619.0</v>
      </c>
      <c r="J1460" s="5">
        <v>4406.0</v>
      </c>
      <c r="K1460" s="5">
        <f t="shared" si="327"/>
        <v>620221</v>
      </c>
      <c r="L1460" s="5">
        <v>460947.0</v>
      </c>
      <c r="N1460" s="5">
        <f>K1460-L1460</f>
        <v>159274</v>
      </c>
      <c r="P1460" s="3"/>
      <c r="Q1460" s="3"/>
      <c r="R1460" s="3"/>
      <c r="S1460" s="3"/>
      <c r="T1460" s="3"/>
      <c r="U1460" s="3"/>
      <c r="V1460" s="3"/>
      <c r="W1460" s="3"/>
      <c r="X1460" s="3"/>
      <c r="Y1460" s="3"/>
      <c r="Z1460" s="3"/>
      <c r="AA1460" s="3"/>
      <c r="AB1460" s="3"/>
      <c r="AC1460" s="3"/>
      <c r="AD1460" s="3"/>
      <c r="AE1460" s="3"/>
      <c r="AF1460" s="3"/>
      <c r="AG1460" s="3"/>
    </row>
    <row r="1461">
      <c r="A1461" s="2">
        <v>2019.0</v>
      </c>
      <c r="B1461" s="1" t="s">
        <v>332</v>
      </c>
      <c r="D1461" s="5" t="s">
        <v>135</v>
      </c>
      <c r="F1461" s="5">
        <f>SUM(F1458:F1460)</f>
        <v>521098</v>
      </c>
      <c r="I1461" s="5">
        <f t="shared" ref="I1461:L1461" si="328">SUM(I1458:I1460)</f>
        <v>2701695</v>
      </c>
      <c r="J1461" s="5">
        <f t="shared" si="328"/>
        <v>32989</v>
      </c>
      <c r="K1461" s="5">
        <f t="shared" si="328"/>
        <v>3255782</v>
      </c>
      <c r="L1461" s="5">
        <f t="shared" si="328"/>
        <v>1265290</v>
      </c>
      <c r="N1461" s="5">
        <f>SUM(N1458:N1460)</f>
        <v>1990492</v>
      </c>
      <c r="P1461" s="3"/>
      <c r="Q1461" s="3"/>
      <c r="R1461" s="3"/>
      <c r="S1461" s="3"/>
      <c r="T1461" s="3"/>
      <c r="U1461" s="3"/>
      <c r="V1461" s="3"/>
      <c r="W1461" s="3"/>
      <c r="X1461" s="3"/>
      <c r="Y1461" s="3"/>
      <c r="Z1461" s="3"/>
      <c r="AA1461" s="3"/>
      <c r="AB1461" s="3"/>
      <c r="AC1461" s="3"/>
      <c r="AD1461" s="3"/>
      <c r="AE1461" s="3"/>
      <c r="AF1461" s="3"/>
      <c r="AG1461" s="3"/>
    </row>
    <row r="1462">
      <c r="A1462" s="2">
        <v>2019.0</v>
      </c>
      <c r="B1462" s="1" t="s">
        <v>332</v>
      </c>
      <c r="D1462" s="5" t="s">
        <v>135</v>
      </c>
      <c r="F1462" s="5">
        <v>1149812.0</v>
      </c>
      <c r="I1462" s="5">
        <v>1813627.0</v>
      </c>
      <c r="J1462" s="5">
        <v>25090.0</v>
      </c>
      <c r="K1462" s="5">
        <f t="shared" ref="K1462:K1464" si="329">SUM(F1462:J1462)</f>
        <v>2988529</v>
      </c>
      <c r="L1462" s="5">
        <f>1074342+115</f>
        <v>1074457</v>
      </c>
      <c r="N1462" s="5">
        <f>(K1462-L1462)</f>
        <v>1914072</v>
      </c>
      <c r="P1462" s="3"/>
      <c r="Q1462" s="3"/>
      <c r="R1462" s="3"/>
      <c r="S1462" s="3"/>
      <c r="T1462" s="3"/>
      <c r="U1462" s="3"/>
      <c r="V1462" s="3"/>
      <c r="W1462" s="3"/>
      <c r="X1462" s="3"/>
      <c r="Y1462" s="3"/>
      <c r="Z1462" s="3"/>
      <c r="AA1462" s="3"/>
      <c r="AB1462" s="3"/>
      <c r="AC1462" s="3"/>
      <c r="AD1462" s="3"/>
      <c r="AE1462" s="3"/>
      <c r="AF1462" s="3"/>
      <c r="AG1462" s="3"/>
    </row>
    <row r="1463">
      <c r="A1463" s="2">
        <v>2019.0</v>
      </c>
      <c r="B1463" s="1" t="s">
        <v>332</v>
      </c>
      <c r="D1463" s="5" t="s">
        <v>135</v>
      </c>
      <c r="F1463" s="5">
        <v>325646.0</v>
      </c>
      <c r="I1463" s="5">
        <v>640100.0</v>
      </c>
      <c r="J1463" s="5">
        <v>8647.0</v>
      </c>
      <c r="K1463" s="5">
        <f t="shared" si="329"/>
        <v>974393</v>
      </c>
      <c r="L1463" s="5">
        <f>643035+795</f>
        <v>643830</v>
      </c>
      <c r="N1463" s="5">
        <f t="shared" ref="N1463:N1464" si="330">K1463-L1463</f>
        <v>330563</v>
      </c>
      <c r="P1463" s="3"/>
      <c r="Q1463" s="3"/>
      <c r="R1463" s="3"/>
      <c r="S1463" s="3"/>
      <c r="T1463" s="3"/>
      <c r="U1463" s="3"/>
      <c r="V1463" s="3"/>
      <c r="W1463" s="3"/>
      <c r="X1463" s="3"/>
      <c r="Y1463" s="3"/>
      <c r="Z1463" s="3"/>
      <c r="AA1463" s="3"/>
      <c r="AB1463" s="3"/>
      <c r="AC1463" s="3"/>
      <c r="AD1463" s="3"/>
      <c r="AE1463" s="3"/>
      <c r="AF1463" s="3"/>
      <c r="AG1463" s="3"/>
    </row>
    <row r="1464">
      <c r="A1464" s="2">
        <v>2019.0</v>
      </c>
      <c r="B1464" s="1" t="s">
        <v>332</v>
      </c>
      <c r="D1464" s="5" t="s">
        <v>135</v>
      </c>
      <c r="F1464" s="5">
        <v>125105.0</v>
      </c>
      <c r="I1464" s="5">
        <v>51817.0</v>
      </c>
      <c r="J1464" s="5">
        <v>3624.0</v>
      </c>
      <c r="K1464" s="5">
        <f t="shared" si="329"/>
        <v>180546</v>
      </c>
      <c r="L1464" s="5">
        <v>142570.0</v>
      </c>
      <c r="N1464" s="5">
        <f t="shared" si="330"/>
        <v>37976</v>
      </c>
      <c r="P1464" s="3"/>
      <c r="Q1464" s="3"/>
      <c r="R1464" s="3"/>
      <c r="S1464" s="3"/>
      <c r="T1464" s="3"/>
      <c r="U1464" s="3"/>
      <c r="V1464" s="3"/>
      <c r="W1464" s="3"/>
      <c r="X1464" s="3"/>
      <c r="Y1464" s="3"/>
      <c r="Z1464" s="3"/>
      <c r="AA1464" s="3"/>
      <c r="AB1464" s="3"/>
      <c r="AC1464" s="3"/>
      <c r="AD1464" s="3"/>
      <c r="AE1464" s="3"/>
      <c r="AF1464" s="3"/>
      <c r="AG1464" s="3"/>
    </row>
    <row r="1465">
      <c r="A1465" s="2">
        <v>2019.0</v>
      </c>
      <c r="B1465" s="1" t="s">
        <v>332</v>
      </c>
      <c r="D1465" s="5" t="s">
        <v>136</v>
      </c>
      <c r="F1465" s="5">
        <f>SUM(F1462:F1464)</f>
        <v>1600563</v>
      </c>
      <c r="I1465" s="5">
        <f t="shared" ref="I1465:L1465" si="331">SUM(I1462:I1464)</f>
        <v>2505544</v>
      </c>
      <c r="J1465" s="5">
        <f t="shared" si="331"/>
        <v>37361</v>
      </c>
      <c r="K1465" s="5">
        <f t="shared" si="331"/>
        <v>4143468</v>
      </c>
      <c r="L1465" s="5">
        <f t="shared" si="331"/>
        <v>1860857</v>
      </c>
      <c r="N1465" s="5">
        <f>SUM(N1462:N1464)</f>
        <v>2282611</v>
      </c>
      <c r="P1465" s="3"/>
      <c r="Q1465" s="3"/>
      <c r="R1465" s="3"/>
      <c r="S1465" s="3"/>
      <c r="T1465" s="3"/>
      <c r="U1465" s="3"/>
      <c r="V1465" s="3"/>
      <c r="W1465" s="3"/>
      <c r="X1465" s="3"/>
      <c r="Y1465" s="3"/>
      <c r="Z1465" s="3"/>
      <c r="AA1465" s="3"/>
      <c r="AB1465" s="3"/>
      <c r="AC1465" s="3"/>
      <c r="AD1465" s="3"/>
      <c r="AE1465" s="3"/>
      <c r="AF1465" s="3"/>
      <c r="AG1465" s="3"/>
    </row>
    <row r="1466">
      <c r="A1466" s="2">
        <v>2019.0</v>
      </c>
      <c r="B1466" s="1" t="s">
        <v>332</v>
      </c>
      <c r="D1466" s="5" t="s">
        <v>136</v>
      </c>
      <c r="F1466" s="5">
        <v>363149.0</v>
      </c>
      <c r="I1466" s="5">
        <f>1692400</f>
        <v>1692400</v>
      </c>
      <c r="K1466" s="5">
        <f t="shared" ref="K1466:K1468" si="332">SUM(F1466:J1466)</f>
        <v>2055549</v>
      </c>
      <c r="L1466" s="5">
        <v>996422.0</v>
      </c>
      <c r="N1466" s="5">
        <f t="shared" ref="N1466:N1467" si="333">(K1466-L1466)</f>
        <v>1059127</v>
      </c>
      <c r="P1466" s="3"/>
      <c r="Q1466" s="3"/>
      <c r="R1466" s="3"/>
      <c r="S1466" s="3"/>
      <c r="T1466" s="3"/>
      <c r="U1466" s="3"/>
      <c r="V1466" s="3"/>
      <c r="W1466" s="3"/>
      <c r="X1466" s="3"/>
      <c r="Y1466" s="3"/>
      <c r="Z1466" s="3"/>
      <c r="AA1466" s="3"/>
      <c r="AB1466" s="3"/>
      <c r="AC1466" s="3"/>
      <c r="AD1466" s="3"/>
      <c r="AE1466" s="3"/>
      <c r="AF1466" s="3"/>
      <c r="AG1466" s="3"/>
    </row>
    <row r="1467">
      <c r="A1467" s="2">
        <v>2019.0</v>
      </c>
      <c r="B1467" s="1" t="s">
        <v>332</v>
      </c>
      <c r="D1467" s="5" t="s">
        <v>136</v>
      </c>
      <c r="F1467" s="5">
        <v>21753.0</v>
      </c>
      <c r="I1467" s="5">
        <f>1461</f>
        <v>1461</v>
      </c>
      <c r="K1467" s="5">
        <f t="shared" si="332"/>
        <v>23214</v>
      </c>
      <c r="L1467" s="5">
        <v>20000.0</v>
      </c>
      <c r="N1467" s="5">
        <f t="shared" si="333"/>
        <v>3214</v>
      </c>
      <c r="P1467" s="3"/>
      <c r="Q1467" s="3"/>
      <c r="R1467" s="3"/>
      <c r="S1467" s="3"/>
      <c r="T1467" s="3"/>
      <c r="U1467" s="3"/>
      <c r="V1467" s="3"/>
      <c r="W1467" s="3"/>
      <c r="X1467" s="3"/>
      <c r="Y1467" s="3"/>
      <c r="Z1467" s="3"/>
      <c r="AA1467" s="3"/>
      <c r="AB1467" s="3"/>
      <c r="AC1467" s="3"/>
      <c r="AD1467" s="3"/>
      <c r="AE1467" s="3"/>
      <c r="AF1467" s="3"/>
      <c r="AG1467" s="3"/>
    </row>
    <row r="1468">
      <c r="A1468" s="2">
        <v>2019.0</v>
      </c>
      <c r="B1468" s="1" t="s">
        <v>332</v>
      </c>
      <c r="D1468" s="5" t="s">
        <v>136</v>
      </c>
      <c r="F1468" s="5">
        <v>26697.0</v>
      </c>
      <c r="I1468" s="5">
        <f>7500</f>
        <v>7500</v>
      </c>
      <c r="J1468" s="5">
        <v>1207.0</v>
      </c>
      <c r="K1468" s="5">
        <f t="shared" si="332"/>
        <v>35404</v>
      </c>
      <c r="L1468" s="5">
        <v>14640.0</v>
      </c>
      <c r="N1468" s="5">
        <f>K1468-L1468</f>
        <v>20764</v>
      </c>
      <c r="P1468" s="3"/>
      <c r="Q1468" s="3"/>
      <c r="R1468" s="3"/>
      <c r="S1468" s="3"/>
      <c r="T1468" s="3"/>
      <c r="U1468" s="3"/>
      <c r="V1468" s="3"/>
      <c r="W1468" s="3"/>
      <c r="X1468" s="3"/>
      <c r="Y1468" s="3"/>
      <c r="Z1468" s="3"/>
      <c r="AA1468" s="3"/>
      <c r="AB1468" s="3"/>
      <c r="AC1468" s="3"/>
      <c r="AD1468" s="3"/>
      <c r="AE1468" s="3"/>
      <c r="AF1468" s="3"/>
      <c r="AG1468" s="3"/>
    </row>
    <row r="1469">
      <c r="A1469" s="2">
        <v>2019.0</v>
      </c>
      <c r="B1469" s="1" t="s">
        <v>332</v>
      </c>
      <c r="D1469" s="5" t="s">
        <v>1322</v>
      </c>
      <c r="F1469" s="5">
        <f>SUM(F1466:F1468)</f>
        <v>411599</v>
      </c>
      <c r="I1469" s="5">
        <f>SUM(I1466:I1468)</f>
        <v>1701361</v>
      </c>
      <c r="J1469" s="5">
        <f>SUM(J1468)</f>
        <v>1207</v>
      </c>
      <c r="K1469" s="5">
        <f t="shared" ref="K1469:L1469" si="334">SUM(K1466:K1468)</f>
        <v>2114167</v>
      </c>
      <c r="L1469" s="5">
        <f t="shared" si="334"/>
        <v>1031062</v>
      </c>
      <c r="N1469" s="5">
        <f>SUM(N1466:N1468)</f>
        <v>1083105</v>
      </c>
      <c r="P1469" s="3"/>
      <c r="Q1469" s="3"/>
      <c r="R1469" s="3"/>
      <c r="S1469" s="3"/>
      <c r="T1469" s="3"/>
      <c r="U1469" s="3"/>
      <c r="V1469" s="3"/>
      <c r="W1469" s="3"/>
      <c r="X1469" s="3"/>
      <c r="Y1469" s="3"/>
      <c r="Z1469" s="3"/>
      <c r="AA1469" s="3"/>
      <c r="AB1469" s="3"/>
      <c r="AC1469" s="3"/>
      <c r="AD1469" s="3"/>
      <c r="AE1469" s="3"/>
      <c r="AF1469" s="3"/>
      <c r="AG1469" s="3"/>
    </row>
    <row r="1470">
      <c r="A1470" s="2">
        <v>2019.0</v>
      </c>
      <c r="B1470" s="1" t="s">
        <v>332</v>
      </c>
      <c r="D1470" s="5" t="s">
        <v>1322</v>
      </c>
      <c r="F1470" s="5">
        <v>301778.0</v>
      </c>
      <c r="I1470" s="5">
        <v>392000.0</v>
      </c>
      <c r="J1470" s="5">
        <v>8241.0</v>
      </c>
      <c r="K1470" s="5">
        <f t="shared" ref="K1470:K1473" si="335">SUM(F1470:J1470)</f>
        <v>702019</v>
      </c>
      <c r="L1470" s="5">
        <v>441583.0</v>
      </c>
      <c r="N1470" s="5">
        <f t="shared" ref="N1470:N1471" si="336">(K1470-L1470)</f>
        <v>260436</v>
      </c>
      <c r="P1470" s="3"/>
      <c r="Q1470" s="3"/>
      <c r="R1470" s="3"/>
      <c r="S1470" s="3"/>
      <c r="T1470" s="3"/>
      <c r="U1470" s="3"/>
      <c r="V1470" s="3"/>
      <c r="W1470" s="3"/>
      <c r="X1470" s="3"/>
      <c r="Y1470" s="3"/>
      <c r="Z1470" s="3"/>
      <c r="AA1470" s="3"/>
      <c r="AB1470" s="3"/>
      <c r="AC1470" s="3"/>
      <c r="AD1470" s="3"/>
      <c r="AE1470" s="3"/>
      <c r="AF1470" s="3"/>
      <c r="AG1470" s="3"/>
    </row>
    <row r="1471">
      <c r="A1471" s="2">
        <v>2019.0</v>
      </c>
      <c r="B1471" s="1" t="s">
        <v>332</v>
      </c>
      <c r="D1471" s="5" t="s">
        <v>1322</v>
      </c>
      <c r="F1471" s="5">
        <v>58697.0</v>
      </c>
      <c r="I1471" s="5">
        <v>1350.0</v>
      </c>
      <c r="K1471" s="5">
        <f t="shared" si="335"/>
        <v>60047</v>
      </c>
      <c r="L1471" s="5">
        <v>58466.0</v>
      </c>
      <c r="N1471" s="5">
        <f t="shared" si="336"/>
        <v>1581</v>
      </c>
      <c r="P1471" s="3"/>
      <c r="Q1471" s="3"/>
      <c r="R1471" s="3"/>
      <c r="S1471" s="3"/>
      <c r="T1471" s="3"/>
      <c r="U1471" s="3"/>
      <c r="V1471" s="3"/>
      <c r="W1471" s="3"/>
      <c r="X1471" s="3"/>
      <c r="Y1471" s="3"/>
      <c r="Z1471" s="3"/>
      <c r="AA1471" s="3"/>
      <c r="AB1471" s="3"/>
      <c r="AC1471" s="3"/>
      <c r="AD1471" s="3"/>
      <c r="AE1471" s="3"/>
      <c r="AF1471" s="3"/>
      <c r="AG1471" s="3"/>
    </row>
    <row r="1472">
      <c r="A1472" s="2">
        <v>2019.0</v>
      </c>
      <c r="B1472" s="1" t="s">
        <v>332</v>
      </c>
      <c r="D1472" s="5" t="s">
        <v>1322</v>
      </c>
      <c r="F1472" s="5">
        <v>203629.0</v>
      </c>
      <c r="I1472" s="5">
        <v>172400.0</v>
      </c>
      <c r="J1472" s="5">
        <v>3106.0</v>
      </c>
      <c r="K1472" s="5">
        <f t="shared" si="335"/>
        <v>379135</v>
      </c>
      <c r="L1472" s="5">
        <v>376953.0</v>
      </c>
      <c r="N1472" s="5">
        <f t="shared" ref="N1472:N1473" si="337">K1472-L1472</f>
        <v>2182</v>
      </c>
      <c r="P1472" s="3"/>
      <c r="Q1472" s="3"/>
      <c r="R1472" s="3"/>
      <c r="S1472" s="3"/>
      <c r="T1472" s="3"/>
      <c r="U1472" s="3"/>
      <c r="V1472" s="3"/>
      <c r="W1472" s="3"/>
      <c r="X1472" s="3"/>
      <c r="Y1472" s="3"/>
      <c r="Z1472" s="3"/>
      <c r="AA1472" s="3"/>
      <c r="AB1472" s="3"/>
      <c r="AC1472" s="3"/>
      <c r="AD1472" s="3"/>
      <c r="AE1472" s="3"/>
      <c r="AF1472" s="3"/>
      <c r="AG1472" s="3"/>
    </row>
    <row r="1473">
      <c r="A1473" s="2">
        <v>2019.0</v>
      </c>
      <c r="B1473" s="1" t="s">
        <v>332</v>
      </c>
      <c r="D1473" s="5" t="s">
        <v>1322</v>
      </c>
      <c r="F1473" s="5">
        <v>975244.0</v>
      </c>
      <c r="I1473" s="5">
        <v>2136027.0</v>
      </c>
      <c r="J1473" s="5">
        <v>30618.0</v>
      </c>
      <c r="K1473" s="5">
        <f t="shared" si="335"/>
        <v>3141889</v>
      </c>
      <c r="L1473" s="5">
        <v>941570.0</v>
      </c>
      <c r="N1473" s="5">
        <f t="shared" si="337"/>
        <v>2200319</v>
      </c>
      <c r="P1473" s="3"/>
      <c r="Q1473" s="3"/>
      <c r="R1473" s="3"/>
      <c r="S1473" s="3"/>
      <c r="T1473" s="3"/>
      <c r="U1473" s="3"/>
      <c r="V1473" s="3"/>
      <c r="W1473" s="3"/>
      <c r="X1473" s="3"/>
      <c r="Y1473" s="3"/>
      <c r="Z1473" s="3"/>
      <c r="AA1473" s="3"/>
      <c r="AB1473" s="3"/>
      <c r="AC1473" s="3"/>
      <c r="AD1473" s="3"/>
      <c r="AE1473" s="3"/>
      <c r="AF1473" s="3"/>
      <c r="AG1473" s="3"/>
    </row>
    <row r="1474">
      <c r="A1474" s="2">
        <v>2019.0</v>
      </c>
      <c r="B1474" s="1" t="s">
        <v>332</v>
      </c>
      <c r="D1474" s="5" t="s">
        <v>277</v>
      </c>
      <c r="F1474" s="5">
        <f>SUM(F1470:F1473)</f>
        <v>1539348</v>
      </c>
      <c r="I1474" s="5">
        <f t="shared" ref="I1474:L1474" si="338">SUM(I1470:I1473)</f>
        <v>2701777</v>
      </c>
      <c r="J1474" s="5">
        <f t="shared" si="338"/>
        <v>41965</v>
      </c>
      <c r="K1474" s="5">
        <f t="shared" si="338"/>
        <v>4283090</v>
      </c>
      <c r="L1474" s="5">
        <f t="shared" si="338"/>
        <v>1818572</v>
      </c>
      <c r="N1474" s="5">
        <f>SUM(N1470:N1473)</f>
        <v>2464518</v>
      </c>
      <c r="P1474" s="3"/>
      <c r="Q1474" s="3"/>
      <c r="R1474" s="3"/>
      <c r="S1474" s="3"/>
      <c r="T1474" s="3"/>
      <c r="U1474" s="3"/>
      <c r="V1474" s="3"/>
      <c r="W1474" s="3"/>
      <c r="X1474" s="3"/>
      <c r="Y1474" s="3"/>
      <c r="Z1474" s="3"/>
      <c r="AA1474" s="3"/>
      <c r="AB1474" s="3"/>
      <c r="AC1474" s="3"/>
      <c r="AD1474" s="3"/>
      <c r="AE1474" s="3"/>
      <c r="AF1474" s="3"/>
      <c r="AG1474" s="3"/>
    </row>
    <row r="1475">
      <c r="A1475" s="2">
        <v>2019.0</v>
      </c>
      <c r="B1475" s="1" t="s">
        <v>332</v>
      </c>
      <c r="D1475" s="5" t="s">
        <v>277</v>
      </c>
      <c r="F1475" s="5">
        <v>357760.0</v>
      </c>
      <c r="I1475" s="5">
        <v>844500.0</v>
      </c>
      <c r="J1475" s="5">
        <v>9658.0</v>
      </c>
      <c r="K1475" s="5">
        <v>1211918.0</v>
      </c>
      <c r="L1475" s="5">
        <v>1161262.0</v>
      </c>
      <c r="N1475" s="5">
        <v>50656.0</v>
      </c>
      <c r="P1475" s="3"/>
      <c r="Q1475" s="3"/>
      <c r="R1475" s="3"/>
      <c r="S1475" s="3"/>
      <c r="T1475" s="3"/>
      <c r="U1475" s="3"/>
      <c r="V1475" s="3"/>
      <c r="W1475" s="3"/>
      <c r="X1475" s="3"/>
      <c r="Y1475" s="3"/>
      <c r="Z1475" s="3"/>
      <c r="AA1475" s="3"/>
      <c r="AB1475" s="3"/>
      <c r="AC1475" s="3"/>
      <c r="AD1475" s="3"/>
      <c r="AE1475" s="3"/>
      <c r="AF1475" s="3"/>
      <c r="AG1475" s="3"/>
    </row>
    <row r="1476">
      <c r="A1476" s="2">
        <v>2019.0</v>
      </c>
      <c r="B1476" s="1" t="s">
        <v>332</v>
      </c>
      <c r="D1476" s="5" t="s">
        <v>277</v>
      </c>
      <c r="F1476" s="5">
        <v>80324.0</v>
      </c>
      <c r="I1476" s="5">
        <v>2848.0</v>
      </c>
      <c r="K1476" s="5">
        <v>83172.0</v>
      </c>
      <c r="L1476" s="5">
        <v>25060.0</v>
      </c>
      <c r="N1476" s="5">
        <v>58112.0</v>
      </c>
      <c r="P1476" s="3"/>
      <c r="Q1476" s="3"/>
      <c r="R1476" s="3"/>
      <c r="S1476" s="3"/>
      <c r="T1476" s="3"/>
      <c r="U1476" s="3"/>
      <c r="V1476" s="3"/>
      <c r="W1476" s="3"/>
      <c r="X1476" s="3"/>
      <c r="Y1476" s="3"/>
      <c r="Z1476" s="3"/>
      <c r="AA1476" s="3"/>
      <c r="AB1476" s="3"/>
      <c r="AC1476" s="3"/>
      <c r="AD1476" s="3"/>
      <c r="AE1476" s="3"/>
      <c r="AF1476" s="3"/>
      <c r="AG1476" s="3"/>
    </row>
    <row r="1477">
      <c r="A1477" s="2">
        <v>2019.0</v>
      </c>
      <c r="B1477" s="1" t="s">
        <v>332</v>
      </c>
      <c r="D1477" s="5" t="s">
        <v>277</v>
      </c>
      <c r="F1477" s="5">
        <v>38833.0</v>
      </c>
      <c r="I1477" s="5">
        <v>105113.0</v>
      </c>
      <c r="J1477" s="5">
        <v>2431.0</v>
      </c>
      <c r="K1477" s="5">
        <v>146377.0</v>
      </c>
      <c r="L1477" s="5">
        <v>122408.0</v>
      </c>
      <c r="N1477" s="5">
        <v>23969.0</v>
      </c>
      <c r="P1477" s="3"/>
      <c r="Q1477" s="3"/>
      <c r="R1477" s="3"/>
      <c r="S1477" s="3"/>
      <c r="T1477" s="3"/>
      <c r="U1477" s="3"/>
      <c r="V1477" s="3"/>
      <c r="W1477" s="3"/>
      <c r="X1477" s="3"/>
      <c r="Y1477" s="3"/>
      <c r="Z1477" s="3"/>
      <c r="AA1477" s="3"/>
      <c r="AB1477" s="3"/>
      <c r="AC1477" s="3"/>
      <c r="AD1477" s="3"/>
      <c r="AE1477" s="3"/>
      <c r="AF1477" s="3"/>
      <c r="AG1477" s="3"/>
    </row>
    <row r="1478">
      <c r="A1478" s="2">
        <v>2019.0</v>
      </c>
      <c r="B1478" s="1" t="s">
        <v>332</v>
      </c>
      <c r="D1478" s="5" t="s">
        <v>141</v>
      </c>
      <c r="F1478" s="5">
        <f>SUM(F1475:F1477)</f>
        <v>476917</v>
      </c>
      <c r="I1478" s="5">
        <f t="shared" ref="I1478:L1478" si="339">SUM(I1475:I1477)</f>
        <v>952461</v>
      </c>
      <c r="J1478" s="5">
        <f t="shared" si="339"/>
        <v>12089</v>
      </c>
      <c r="K1478" s="5">
        <f t="shared" si="339"/>
        <v>1441467</v>
      </c>
      <c r="L1478" s="5">
        <f t="shared" si="339"/>
        <v>1308730</v>
      </c>
      <c r="N1478" s="5">
        <f>SUM(N1475:N1477)</f>
        <v>132737</v>
      </c>
      <c r="P1478" s="3"/>
      <c r="Q1478" s="3"/>
      <c r="R1478" s="3"/>
      <c r="S1478" s="3"/>
      <c r="T1478" s="3"/>
      <c r="U1478" s="3"/>
      <c r="V1478" s="3"/>
      <c r="W1478" s="3"/>
      <c r="X1478" s="3"/>
      <c r="Y1478" s="3"/>
      <c r="Z1478" s="3"/>
      <c r="AA1478" s="3"/>
      <c r="AB1478" s="3"/>
      <c r="AC1478" s="3"/>
      <c r="AD1478" s="3"/>
      <c r="AE1478" s="3"/>
      <c r="AF1478" s="3"/>
      <c r="AG1478" s="3"/>
    </row>
    <row r="1479">
      <c r="A1479" s="2">
        <v>2019.0</v>
      </c>
      <c r="B1479" s="1" t="s">
        <v>332</v>
      </c>
      <c r="D1479" s="5" t="s">
        <v>141</v>
      </c>
      <c r="F1479" s="5">
        <v>168841.0</v>
      </c>
      <c r="I1479" s="5">
        <v>1071307.0</v>
      </c>
      <c r="J1479" s="5">
        <v>6684.0</v>
      </c>
      <c r="K1479" s="5">
        <v>1246832.0</v>
      </c>
      <c r="L1479" s="5">
        <v>535278.0</v>
      </c>
      <c r="N1479" s="5">
        <v>711554.0</v>
      </c>
      <c r="P1479" s="3"/>
      <c r="Q1479" s="3"/>
      <c r="R1479" s="3"/>
      <c r="S1479" s="3"/>
      <c r="T1479" s="3"/>
      <c r="U1479" s="3"/>
      <c r="V1479" s="3"/>
      <c r="W1479" s="3"/>
      <c r="X1479" s="3"/>
      <c r="Y1479" s="3"/>
      <c r="Z1479" s="3"/>
      <c r="AA1479" s="3"/>
      <c r="AB1479" s="3"/>
      <c r="AC1479" s="3"/>
      <c r="AD1479" s="3"/>
      <c r="AE1479" s="3"/>
      <c r="AF1479" s="3"/>
      <c r="AG1479" s="3"/>
    </row>
    <row r="1480">
      <c r="A1480" s="2">
        <v>2019.0</v>
      </c>
      <c r="B1480" s="1" t="s">
        <v>332</v>
      </c>
      <c r="D1480" s="5" t="s">
        <v>141</v>
      </c>
      <c r="F1480" s="5">
        <v>39762.0</v>
      </c>
      <c r="I1480" s="5">
        <v>2138.0</v>
      </c>
      <c r="K1480" s="5">
        <v>41900.0</v>
      </c>
      <c r="L1480" s="5">
        <v>36357.0</v>
      </c>
      <c r="N1480" s="5">
        <v>5543.0</v>
      </c>
      <c r="P1480" s="3"/>
      <c r="Q1480" s="3"/>
      <c r="R1480" s="3"/>
      <c r="S1480" s="3"/>
      <c r="T1480" s="3"/>
      <c r="U1480" s="3"/>
      <c r="V1480" s="3"/>
      <c r="W1480" s="3"/>
      <c r="X1480" s="3"/>
      <c r="Y1480" s="3"/>
      <c r="Z1480" s="3"/>
      <c r="AA1480" s="3"/>
      <c r="AB1480" s="3"/>
      <c r="AC1480" s="3"/>
      <c r="AD1480" s="3"/>
      <c r="AE1480" s="3"/>
      <c r="AF1480" s="3"/>
      <c r="AG1480" s="3"/>
    </row>
    <row r="1481">
      <c r="A1481" s="2">
        <v>2019.0</v>
      </c>
      <c r="B1481" s="1" t="s">
        <v>332</v>
      </c>
      <c r="D1481" s="5" t="s">
        <v>141</v>
      </c>
      <c r="F1481" s="5">
        <v>913830.0</v>
      </c>
      <c r="I1481" s="5">
        <v>1488000.0</v>
      </c>
      <c r="J1481" s="5">
        <v>20611.0</v>
      </c>
      <c r="K1481" s="5">
        <v>2422441.0</v>
      </c>
      <c r="L1481" s="5">
        <v>943585.0</v>
      </c>
      <c r="N1481" s="5">
        <v>1478856.0</v>
      </c>
      <c r="P1481" s="3"/>
      <c r="Q1481" s="3"/>
      <c r="R1481" s="3"/>
      <c r="S1481" s="3"/>
      <c r="T1481" s="3"/>
      <c r="U1481" s="3"/>
      <c r="V1481" s="3"/>
      <c r="W1481" s="3"/>
      <c r="X1481" s="3"/>
      <c r="Y1481" s="3"/>
      <c r="Z1481" s="3"/>
      <c r="AA1481" s="3"/>
      <c r="AB1481" s="3"/>
      <c r="AC1481" s="3"/>
      <c r="AD1481" s="3"/>
      <c r="AE1481" s="3"/>
      <c r="AF1481" s="3"/>
      <c r="AG1481" s="3"/>
    </row>
    <row r="1482">
      <c r="A1482" s="2">
        <v>2019.0</v>
      </c>
      <c r="B1482" s="1" t="s">
        <v>332</v>
      </c>
      <c r="D1482" s="5" t="s">
        <v>141</v>
      </c>
      <c r="F1482" s="5">
        <v>2477.0</v>
      </c>
      <c r="I1482" s="5">
        <v>100.0</v>
      </c>
      <c r="K1482" s="5">
        <v>2577.0</v>
      </c>
      <c r="L1482" s="5">
        <v>0.0</v>
      </c>
      <c r="N1482" s="5">
        <v>2577.0</v>
      </c>
      <c r="P1482" s="3"/>
      <c r="Q1482" s="3"/>
      <c r="R1482" s="3"/>
      <c r="S1482" s="3"/>
      <c r="T1482" s="3"/>
      <c r="U1482" s="3"/>
      <c r="V1482" s="3"/>
      <c r="W1482" s="3"/>
      <c r="X1482" s="3"/>
      <c r="Y1482" s="3"/>
      <c r="Z1482" s="3"/>
      <c r="AA1482" s="3"/>
      <c r="AB1482" s="3"/>
      <c r="AC1482" s="3"/>
      <c r="AD1482" s="3"/>
      <c r="AE1482" s="3"/>
      <c r="AF1482" s="3"/>
      <c r="AG1482" s="3"/>
    </row>
    <row r="1483">
      <c r="A1483" s="2">
        <v>2019.0</v>
      </c>
      <c r="B1483" s="1" t="s">
        <v>332</v>
      </c>
      <c r="D1483" s="5" t="s">
        <v>141</v>
      </c>
      <c r="F1483" s="5">
        <v>37320.0</v>
      </c>
      <c r="I1483" s="5">
        <v>985.0</v>
      </c>
      <c r="K1483" s="5">
        <v>38305.0</v>
      </c>
      <c r="L1483" s="5">
        <v>13191.0</v>
      </c>
      <c r="N1483" s="5">
        <v>25114.0</v>
      </c>
      <c r="P1483" s="3"/>
      <c r="Q1483" s="3"/>
      <c r="R1483" s="3"/>
      <c r="S1483" s="3"/>
      <c r="T1483" s="3"/>
      <c r="U1483" s="3"/>
      <c r="V1483" s="3"/>
      <c r="W1483" s="3"/>
      <c r="X1483" s="3"/>
      <c r="Y1483" s="3"/>
      <c r="Z1483" s="3"/>
      <c r="AA1483" s="3"/>
      <c r="AB1483" s="3"/>
      <c r="AC1483" s="3"/>
      <c r="AD1483" s="3"/>
      <c r="AE1483" s="3"/>
      <c r="AF1483" s="3"/>
      <c r="AG1483" s="3"/>
    </row>
    <row r="1484">
      <c r="A1484" s="2">
        <v>2019.0</v>
      </c>
      <c r="B1484" s="1" t="s">
        <v>332</v>
      </c>
      <c r="D1484" s="5" t="s">
        <v>142</v>
      </c>
      <c r="F1484" s="5">
        <f>SUM(F1479:F1483)</f>
        <v>1162230</v>
      </c>
      <c r="I1484" s="5">
        <f t="shared" ref="I1484:L1484" si="340">SUM(I1479:I1483)</f>
        <v>2562530</v>
      </c>
      <c r="J1484" s="5">
        <f t="shared" si="340"/>
        <v>27295</v>
      </c>
      <c r="K1484" s="5">
        <f t="shared" si="340"/>
        <v>3752055</v>
      </c>
      <c r="L1484" s="5">
        <f t="shared" si="340"/>
        <v>1528411</v>
      </c>
      <c r="N1484" s="5">
        <f>SUM(N1479:N1483)</f>
        <v>2223644</v>
      </c>
      <c r="P1484" s="3"/>
      <c r="Q1484" s="3"/>
      <c r="R1484" s="3"/>
      <c r="S1484" s="3"/>
      <c r="T1484" s="3"/>
      <c r="U1484" s="3"/>
      <c r="V1484" s="3"/>
      <c r="W1484" s="3"/>
      <c r="X1484" s="3"/>
      <c r="Y1484" s="3"/>
      <c r="Z1484" s="3"/>
      <c r="AA1484" s="3"/>
      <c r="AB1484" s="3"/>
      <c r="AC1484" s="3"/>
      <c r="AD1484" s="3"/>
      <c r="AE1484" s="3"/>
      <c r="AF1484" s="3"/>
      <c r="AG1484" s="3"/>
    </row>
    <row r="1485">
      <c r="A1485" s="2">
        <v>2019.0</v>
      </c>
      <c r="B1485" s="1" t="s">
        <v>332</v>
      </c>
      <c r="D1485" s="5" t="s">
        <v>142</v>
      </c>
      <c r="F1485" s="5">
        <v>274931.0</v>
      </c>
      <c r="I1485" s="5">
        <v>1995952.0</v>
      </c>
      <c r="J1485" s="5">
        <v>4095.0</v>
      </c>
      <c r="K1485" s="5">
        <v>2274978.0</v>
      </c>
      <c r="L1485" s="5">
        <v>1049076.0</v>
      </c>
      <c r="N1485" s="5">
        <v>1225902.0</v>
      </c>
      <c r="P1485" s="3"/>
      <c r="Q1485" s="3"/>
      <c r="R1485" s="3"/>
      <c r="S1485" s="3"/>
      <c r="T1485" s="3"/>
      <c r="U1485" s="3"/>
      <c r="V1485" s="3"/>
      <c r="W1485" s="3"/>
      <c r="X1485" s="3"/>
      <c r="Y1485" s="3"/>
      <c r="Z1485" s="3"/>
      <c r="AA1485" s="3"/>
      <c r="AB1485" s="3"/>
      <c r="AC1485" s="3"/>
      <c r="AD1485" s="3"/>
      <c r="AE1485" s="3"/>
      <c r="AF1485" s="3"/>
      <c r="AG1485" s="3"/>
    </row>
    <row r="1486">
      <c r="A1486" s="2">
        <v>2019.0</v>
      </c>
      <c r="B1486" s="1" t="s">
        <v>332</v>
      </c>
      <c r="D1486" s="5" t="s">
        <v>142</v>
      </c>
      <c r="F1486" s="5">
        <v>0.0</v>
      </c>
      <c r="I1486" s="5">
        <v>0.0</v>
      </c>
      <c r="J1486" s="5">
        <v>0.0</v>
      </c>
      <c r="K1486" s="5">
        <f>SUM(F1486:J1486)</f>
        <v>0</v>
      </c>
      <c r="L1486" s="5">
        <v>0.0</v>
      </c>
      <c r="N1486" s="5">
        <v>0.0</v>
      </c>
      <c r="P1486" s="3"/>
      <c r="Q1486" s="3"/>
      <c r="R1486" s="3"/>
      <c r="S1486" s="3"/>
      <c r="T1486" s="3"/>
      <c r="U1486" s="3"/>
      <c r="V1486" s="3"/>
      <c r="W1486" s="3"/>
      <c r="X1486" s="3"/>
      <c r="Y1486" s="3"/>
      <c r="Z1486" s="3"/>
      <c r="AA1486" s="3"/>
      <c r="AB1486" s="3"/>
      <c r="AC1486" s="3"/>
      <c r="AD1486" s="3"/>
      <c r="AE1486" s="3"/>
      <c r="AF1486" s="3"/>
      <c r="AG1486" s="3"/>
    </row>
    <row r="1487">
      <c r="A1487" s="2">
        <v>2019.0</v>
      </c>
      <c r="B1487" s="1" t="s">
        <v>332</v>
      </c>
      <c r="D1487" s="5" t="s">
        <v>142</v>
      </c>
      <c r="F1487" s="5">
        <f t="shared" ref="F1487:F1488" si="341">N1486</f>
        <v>0</v>
      </c>
      <c r="I1487" s="5">
        <v>0.0</v>
      </c>
      <c r="J1487" s="5">
        <v>0.0</v>
      </c>
      <c r="K1487" s="5">
        <v>0.0</v>
      </c>
      <c r="L1487" s="5">
        <v>0.0</v>
      </c>
      <c r="N1487" s="5">
        <v>0.0</v>
      </c>
      <c r="P1487" s="3"/>
      <c r="Q1487" s="3"/>
      <c r="R1487" s="3"/>
      <c r="S1487" s="3"/>
      <c r="T1487" s="3"/>
      <c r="U1487" s="3"/>
      <c r="V1487" s="3"/>
      <c r="W1487" s="3"/>
      <c r="X1487" s="3"/>
      <c r="Y1487" s="3"/>
      <c r="Z1487" s="3"/>
      <c r="AA1487" s="3"/>
      <c r="AB1487" s="3"/>
      <c r="AC1487" s="3"/>
      <c r="AD1487" s="3"/>
      <c r="AE1487" s="3"/>
      <c r="AF1487" s="3"/>
      <c r="AG1487" s="3"/>
    </row>
    <row r="1488">
      <c r="A1488" s="2">
        <v>2019.0</v>
      </c>
      <c r="B1488" s="1" t="s">
        <v>332</v>
      </c>
      <c r="D1488" s="5" t="s">
        <v>142</v>
      </c>
      <c r="F1488" s="5">
        <f t="shared" si="341"/>
        <v>0</v>
      </c>
      <c r="I1488" s="5">
        <v>0.0</v>
      </c>
      <c r="J1488" s="5">
        <v>0.0</v>
      </c>
      <c r="K1488" s="5">
        <f>F1488+I1488</f>
        <v>0</v>
      </c>
      <c r="L1488" s="5">
        <v>0.0</v>
      </c>
      <c r="N1488" s="5">
        <f>K1488-L1488</f>
        <v>0</v>
      </c>
      <c r="P1488" s="3"/>
      <c r="Q1488" s="3"/>
      <c r="R1488" s="3"/>
      <c r="S1488" s="3"/>
      <c r="T1488" s="3"/>
      <c r="U1488" s="3"/>
      <c r="V1488" s="3"/>
      <c r="W1488" s="3"/>
      <c r="X1488" s="3"/>
      <c r="Y1488" s="3"/>
      <c r="Z1488" s="3"/>
      <c r="AA1488" s="3"/>
      <c r="AB1488" s="3"/>
      <c r="AC1488" s="3"/>
      <c r="AD1488" s="3"/>
      <c r="AE1488" s="3"/>
      <c r="AF1488" s="3"/>
      <c r="AG1488" s="3"/>
    </row>
    <row r="1489">
      <c r="A1489" s="2">
        <v>2019.0</v>
      </c>
      <c r="B1489" s="1" t="s">
        <v>332</v>
      </c>
      <c r="D1489" s="5" t="s">
        <v>1347</v>
      </c>
      <c r="F1489" s="5">
        <f>SUM(F1485:F1488)</f>
        <v>274931</v>
      </c>
      <c r="I1489" s="5">
        <f t="shared" ref="I1489:L1489" si="342">SUM(I1485:I1488)</f>
        <v>1995952</v>
      </c>
      <c r="J1489" s="5">
        <f t="shared" si="342"/>
        <v>4095</v>
      </c>
      <c r="K1489" s="5">
        <f t="shared" si="342"/>
        <v>2274978</v>
      </c>
      <c r="L1489" s="5">
        <f t="shared" si="342"/>
        <v>1049076</v>
      </c>
      <c r="N1489" s="5">
        <f>SUM(N1485:N1488)</f>
        <v>1225902</v>
      </c>
      <c r="P1489" s="3"/>
      <c r="Q1489" s="3"/>
      <c r="R1489" s="3"/>
      <c r="S1489" s="3"/>
      <c r="T1489" s="3"/>
      <c r="U1489" s="3"/>
      <c r="V1489" s="3"/>
      <c r="W1489" s="3"/>
      <c r="X1489" s="3"/>
      <c r="Y1489" s="3"/>
      <c r="Z1489" s="3"/>
      <c r="AA1489" s="3"/>
      <c r="AB1489" s="3"/>
      <c r="AC1489" s="3"/>
      <c r="AD1489" s="3"/>
      <c r="AE1489" s="3"/>
      <c r="AF1489" s="3"/>
      <c r="AG1489" s="3"/>
    </row>
    <row r="1490">
      <c r="A1490" s="2">
        <v>2019.0</v>
      </c>
      <c r="B1490" s="1" t="s">
        <v>332</v>
      </c>
      <c r="D1490" s="5" t="s">
        <v>1347</v>
      </c>
      <c r="F1490" s="5">
        <v>941588.0</v>
      </c>
      <c r="I1490" s="5">
        <v>2186327.0</v>
      </c>
      <c r="J1490" s="5">
        <v>22108.0</v>
      </c>
      <c r="K1490" s="5">
        <v>3150023.0</v>
      </c>
      <c r="L1490" s="5">
        <v>1283301.0</v>
      </c>
      <c r="N1490" s="5">
        <v>1866722.0</v>
      </c>
      <c r="P1490" s="3"/>
      <c r="Q1490" s="3"/>
      <c r="R1490" s="3"/>
      <c r="S1490" s="3"/>
      <c r="T1490" s="3"/>
      <c r="U1490" s="3"/>
      <c r="V1490" s="3"/>
      <c r="W1490" s="3"/>
      <c r="X1490" s="3"/>
      <c r="Y1490" s="3"/>
      <c r="Z1490" s="3"/>
      <c r="AA1490" s="3"/>
      <c r="AB1490" s="3"/>
      <c r="AC1490" s="3"/>
      <c r="AD1490" s="3"/>
      <c r="AE1490" s="3"/>
      <c r="AF1490" s="3"/>
      <c r="AG1490" s="3"/>
    </row>
    <row r="1491">
      <c r="A1491" s="2">
        <v>2019.0</v>
      </c>
      <c r="B1491" s="1" t="s">
        <v>332</v>
      </c>
      <c r="D1491" s="5" t="s">
        <v>1347</v>
      </c>
      <c r="F1491" s="5">
        <v>484350.0</v>
      </c>
      <c r="I1491" s="5">
        <v>16556.0</v>
      </c>
      <c r="K1491" s="5">
        <v>500906.0</v>
      </c>
      <c r="L1491" s="5">
        <v>499397.0</v>
      </c>
      <c r="N1491" s="5">
        <v>1509.0</v>
      </c>
      <c r="P1491" s="3"/>
      <c r="Q1491" s="3"/>
      <c r="R1491" s="3"/>
      <c r="S1491" s="3"/>
      <c r="T1491" s="3"/>
      <c r="U1491" s="3"/>
      <c r="V1491" s="3"/>
      <c r="W1491" s="3"/>
      <c r="X1491" s="3"/>
      <c r="Y1491" s="3"/>
      <c r="Z1491" s="3"/>
      <c r="AA1491" s="3"/>
      <c r="AB1491" s="3"/>
      <c r="AC1491" s="3"/>
      <c r="AD1491" s="3"/>
      <c r="AE1491" s="3"/>
      <c r="AF1491" s="3"/>
      <c r="AG1491" s="3"/>
    </row>
    <row r="1492">
      <c r="A1492" s="2">
        <v>2019.0</v>
      </c>
      <c r="B1492" s="1" t="s">
        <v>332</v>
      </c>
      <c r="D1492" s="5" t="s">
        <v>1347</v>
      </c>
      <c r="F1492" s="5">
        <v>6631.0</v>
      </c>
      <c r="I1492" s="5">
        <v>279.0</v>
      </c>
      <c r="K1492" s="5">
        <v>6910.0</v>
      </c>
      <c r="L1492" s="5">
        <v>4286.0</v>
      </c>
      <c r="N1492" s="5">
        <v>2624.0</v>
      </c>
      <c r="P1492" s="3"/>
      <c r="Q1492" s="3"/>
      <c r="R1492" s="3"/>
      <c r="S1492" s="3"/>
      <c r="T1492" s="3"/>
      <c r="U1492" s="3"/>
      <c r="V1492" s="3"/>
      <c r="W1492" s="3"/>
      <c r="X1492" s="3"/>
      <c r="Y1492" s="3"/>
      <c r="Z1492" s="3"/>
      <c r="AA1492" s="3"/>
      <c r="AB1492" s="3"/>
      <c r="AC1492" s="3"/>
      <c r="AD1492" s="3"/>
      <c r="AE1492" s="3"/>
      <c r="AF1492" s="3"/>
      <c r="AG1492" s="3"/>
    </row>
    <row r="1493">
      <c r="A1493" s="2">
        <v>2019.0</v>
      </c>
      <c r="B1493" s="1" t="s">
        <v>332</v>
      </c>
      <c r="D1493" s="5" t="s">
        <v>1347</v>
      </c>
      <c r="F1493" s="5">
        <v>146080.0</v>
      </c>
      <c r="I1493" s="5">
        <v>78170.0</v>
      </c>
      <c r="J1493" s="5">
        <v>2414.0</v>
      </c>
      <c r="K1493" s="5">
        <v>226664.0</v>
      </c>
      <c r="L1493" s="5">
        <v>191816.0</v>
      </c>
      <c r="N1493" s="5">
        <v>34848.0</v>
      </c>
      <c r="P1493" s="3"/>
      <c r="Q1493" s="3"/>
      <c r="R1493" s="3"/>
      <c r="S1493" s="3"/>
      <c r="T1493" s="3"/>
      <c r="U1493" s="3"/>
      <c r="V1493" s="3"/>
      <c r="W1493" s="3"/>
      <c r="X1493" s="3"/>
      <c r="Y1493" s="3"/>
      <c r="Z1493" s="3"/>
      <c r="AA1493" s="3"/>
      <c r="AB1493" s="3"/>
      <c r="AC1493" s="3"/>
      <c r="AD1493" s="3"/>
      <c r="AE1493" s="3"/>
      <c r="AF1493" s="3"/>
      <c r="AG1493" s="3"/>
    </row>
    <row r="1494">
      <c r="A1494" s="2">
        <v>2019.0</v>
      </c>
      <c r="B1494" s="1" t="s">
        <v>332</v>
      </c>
      <c r="D1494" s="5" t="s">
        <v>146</v>
      </c>
      <c r="F1494" s="5">
        <f>SUM(F1490:F1493)</f>
        <v>1578649</v>
      </c>
      <c r="I1494" s="5">
        <f t="shared" ref="I1494:L1494" si="343">SUM(I1490:I1493)</f>
        <v>2281332</v>
      </c>
      <c r="J1494" s="5">
        <f t="shared" si="343"/>
        <v>24522</v>
      </c>
      <c r="K1494" s="5">
        <f t="shared" si="343"/>
        <v>3884503</v>
      </c>
      <c r="L1494" s="5">
        <f t="shared" si="343"/>
        <v>1978800</v>
      </c>
      <c r="N1494" s="5">
        <f>SUM(N1490:N1493)</f>
        <v>1905703</v>
      </c>
      <c r="P1494" s="3"/>
      <c r="Q1494" s="3"/>
      <c r="R1494" s="3"/>
      <c r="S1494" s="3"/>
      <c r="T1494" s="3"/>
      <c r="U1494" s="3"/>
      <c r="V1494" s="3"/>
      <c r="W1494" s="3"/>
      <c r="X1494" s="3"/>
      <c r="Y1494" s="3"/>
      <c r="Z1494" s="3"/>
      <c r="AA1494" s="3"/>
      <c r="AB1494" s="3"/>
      <c r="AC1494" s="3"/>
      <c r="AD1494" s="3"/>
      <c r="AE1494" s="3"/>
      <c r="AF1494" s="3"/>
      <c r="AG1494" s="3"/>
    </row>
    <row r="1495">
      <c r="A1495" s="2">
        <v>2019.0</v>
      </c>
      <c r="B1495" s="1" t="s">
        <v>332</v>
      </c>
      <c r="D1495" s="5" t="s">
        <v>146</v>
      </c>
      <c r="F1495" s="5">
        <v>705727.0</v>
      </c>
      <c r="I1495" s="5">
        <v>1380100.0</v>
      </c>
      <c r="J1495" s="5">
        <v>8763.0</v>
      </c>
      <c r="K1495" s="5">
        <v>2094590.0</v>
      </c>
      <c r="L1495" s="5">
        <v>1275353.0</v>
      </c>
      <c r="N1495" s="5">
        <v>819237.0</v>
      </c>
      <c r="P1495" s="3"/>
      <c r="Q1495" s="3"/>
      <c r="R1495" s="3"/>
      <c r="S1495" s="3"/>
      <c r="T1495" s="3"/>
      <c r="U1495" s="3"/>
      <c r="V1495" s="3"/>
      <c r="W1495" s="3"/>
      <c r="X1495" s="3"/>
      <c r="Y1495" s="3"/>
      <c r="Z1495" s="3"/>
      <c r="AA1495" s="3"/>
      <c r="AB1495" s="3"/>
      <c r="AC1495" s="3"/>
      <c r="AD1495" s="3"/>
      <c r="AE1495" s="3"/>
      <c r="AF1495" s="3"/>
      <c r="AG1495" s="3"/>
    </row>
    <row r="1496">
      <c r="A1496" s="2">
        <v>2019.0</v>
      </c>
      <c r="B1496" s="1" t="s">
        <v>332</v>
      </c>
      <c r="D1496" s="5" t="s">
        <v>146</v>
      </c>
      <c r="F1496" s="5">
        <v>1865.0</v>
      </c>
      <c r="I1496" s="5">
        <v>392.0</v>
      </c>
      <c r="K1496" s="5">
        <v>2257.0</v>
      </c>
      <c r="L1496" s="5">
        <v>0.0</v>
      </c>
      <c r="N1496" s="5">
        <v>2257.0</v>
      </c>
      <c r="P1496" s="3"/>
      <c r="Q1496" s="3"/>
      <c r="R1496" s="3"/>
      <c r="S1496" s="3"/>
      <c r="T1496" s="3"/>
      <c r="U1496" s="3"/>
      <c r="V1496" s="3"/>
      <c r="W1496" s="3"/>
      <c r="X1496" s="3"/>
      <c r="Y1496" s="3"/>
      <c r="Z1496" s="3"/>
      <c r="AA1496" s="3"/>
      <c r="AB1496" s="3"/>
      <c r="AC1496" s="3"/>
      <c r="AD1496" s="3"/>
      <c r="AE1496" s="3"/>
      <c r="AF1496" s="3"/>
      <c r="AG1496" s="3"/>
    </row>
    <row r="1497">
      <c r="A1497" s="2">
        <v>2019.0</v>
      </c>
      <c r="B1497" s="1" t="s">
        <v>332</v>
      </c>
      <c r="D1497" s="5" t="s">
        <v>146</v>
      </c>
      <c r="F1497" s="5">
        <v>1184.0</v>
      </c>
      <c r="I1497" s="5">
        <v>131.0</v>
      </c>
      <c r="K1497" s="5">
        <v>1315.0</v>
      </c>
      <c r="L1497" s="5">
        <v>0.0</v>
      </c>
      <c r="N1497" s="5">
        <v>1315.0</v>
      </c>
      <c r="P1497" s="3"/>
      <c r="Q1497" s="3"/>
      <c r="R1497" s="3"/>
      <c r="S1497" s="3"/>
      <c r="T1497" s="3"/>
      <c r="U1497" s="3"/>
      <c r="V1497" s="3"/>
      <c r="W1497" s="3"/>
      <c r="X1497" s="3"/>
      <c r="Y1497" s="3"/>
      <c r="Z1497" s="3"/>
      <c r="AA1497" s="3"/>
      <c r="AB1497" s="3"/>
      <c r="AC1497" s="3"/>
      <c r="AD1497" s="3"/>
      <c r="AE1497" s="3"/>
      <c r="AF1497" s="3"/>
      <c r="AG1497" s="3"/>
    </row>
    <row r="1498">
      <c r="A1498" s="2">
        <v>2019.0</v>
      </c>
      <c r="B1498" s="1" t="s">
        <v>332</v>
      </c>
      <c r="D1498" s="5" t="s">
        <v>146</v>
      </c>
      <c r="F1498" s="5">
        <v>60320.0</v>
      </c>
      <c r="I1498" s="5">
        <v>18090.0</v>
      </c>
      <c r="J1498" s="5">
        <v>503.0</v>
      </c>
      <c r="K1498" s="5">
        <v>78913.0</v>
      </c>
      <c r="L1498" s="5">
        <v>72208.0</v>
      </c>
      <c r="N1498" s="5">
        <v>6705.0</v>
      </c>
      <c r="P1498" s="3"/>
      <c r="Q1498" s="3"/>
      <c r="R1498" s="3"/>
      <c r="S1498" s="3"/>
      <c r="T1498" s="3"/>
      <c r="U1498" s="3"/>
      <c r="V1498" s="3"/>
      <c r="W1498" s="3"/>
      <c r="X1498" s="3"/>
      <c r="Y1498" s="3"/>
      <c r="Z1498" s="3"/>
      <c r="AA1498" s="3"/>
      <c r="AB1498" s="3"/>
      <c r="AC1498" s="3"/>
      <c r="AD1498" s="3"/>
      <c r="AE1498" s="3"/>
      <c r="AF1498" s="3"/>
      <c r="AG1498" s="3"/>
    </row>
    <row r="1499">
      <c r="A1499" s="2">
        <v>2019.0</v>
      </c>
      <c r="B1499" s="1" t="s">
        <v>332</v>
      </c>
      <c r="D1499" s="5" t="s">
        <v>1547</v>
      </c>
      <c r="F1499" s="5">
        <f>SUM(F1495:F1498)</f>
        <v>769096</v>
      </c>
      <c r="I1499" s="5">
        <f t="shared" ref="I1499:L1499" si="344">SUM(I1495:I1498)</f>
        <v>1398713</v>
      </c>
      <c r="J1499" s="5">
        <f t="shared" si="344"/>
        <v>9266</v>
      </c>
      <c r="K1499" s="5">
        <f t="shared" si="344"/>
        <v>2177075</v>
      </c>
      <c r="L1499" s="5">
        <f t="shared" si="344"/>
        <v>1347561</v>
      </c>
      <c r="N1499" s="5">
        <f>SUM(N1495:N1498)</f>
        <v>829514</v>
      </c>
      <c r="P1499" s="3"/>
      <c r="Q1499" s="3"/>
      <c r="R1499" s="3"/>
      <c r="S1499" s="3"/>
      <c r="T1499" s="3"/>
      <c r="U1499" s="3"/>
      <c r="V1499" s="3"/>
      <c r="W1499" s="3"/>
      <c r="X1499" s="3"/>
      <c r="Y1499" s="3"/>
      <c r="Z1499" s="3"/>
      <c r="AA1499" s="3"/>
      <c r="AB1499" s="3"/>
      <c r="AC1499" s="3"/>
      <c r="AD1499" s="3"/>
      <c r="AE1499" s="3"/>
      <c r="AF1499" s="3"/>
      <c r="AG1499" s="3"/>
    </row>
    <row r="1500">
      <c r="A1500" s="2">
        <v>2019.0</v>
      </c>
      <c r="B1500" s="1" t="s">
        <v>332</v>
      </c>
      <c r="D1500" s="5" t="s">
        <v>1547</v>
      </c>
      <c r="F1500" s="5">
        <v>837772.0</v>
      </c>
      <c r="I1500" s="5">
        <v>3115600.0</v>
      </c>
      <c r="J1500" s="5">
        <v>32796.0</v>
      </c>
      <c r="K1500" s="5">
        <v>3986168.0</v>
      </c>
      <c r="L1500" s="5">
        <v>2245375.0</v>
      </c>
      <c r="N1500" s="5">
        <v>1740793.0</v>
      </c>
      <c r="P1500" s="3"/>
      <c r="Q1500" s="3"/>
      <c r="R1500" s="3"/>
      <c r="S1500" s="3"/>
      <c r="T1500" s="3"/>
      <c r="U1500" s="3"/>
      <c r="V1500" s="3"/>
      <c r="W1500" s="3"/>
      <c r="X1500" s="3"/>
      <c r="Y1500" s="3"/>
      <c r="Z1500" s="3"/>
      <c r="AA1500" s="3"/>
      <c r="AB1500" s="3"/>
      <c r="AC1500" s="3"/>
      <c r="AD1500" s="3"/>
      <c r="AE1500" s="3"/>
      <c r="AF1500" s="3"/>
      <c r="AG1500" s="3"/>
    </row>
    <row r="1501">
      <c r="A1501" s="2">
        <v>2019.0</v>
      </c>
      <c r="B1501" s="1" t="s">
        <v>332</v>
      </c>
      <c r="D1501" s="5" t="s">
        <v>1547</v>
      </c>
      <c r="K1501" s="5">
        <v>0.0</v>
      </c>
      <c r="P1501" s="3"/>
      <c r="Q1501" s="3"/>
      <c r="R1501" s="3"/>
      <c r="S1501" s="3"/>
      <c r="T1501" s="3"/>
      <c r="U1501" s="3"/>
      <c r="V1501" s="3"/>
      <c r="W1501" s="3"/>
      <c r="X1501" s="3"/>
      <c r="Y1501" s="3"/>
      <c r="Z1501" s="3"/>
      <c r="AA1501" s="3"/>
      <c r="AB1501" s="3"/>
      <c r="AC1501" s="3"/>
      <c r="AD1501" s="3"/>
      <c r="AE1501" s="3"/>
      <c r="AF1501" s="3"/>
      <c r="AG1501" s="3"/>
    </row>
    <row r="1502">
      <c r="A1502" s="2">
        <v>2019.0</v>
      </c>
      <c r="B1502" s="1" t="s">
        <v>332</v>
      </c>
      <c r="D1502" s="5" t="s">
        <v>1547</v>
      </c>
      <c r="F1502" s="5">
        <v>6737.0</v>
      </c>
      <c r="I1502" s="5">
        <v>131.0</v>
      </c>
      <c r="K1502" s="5">
        <v>6868.0</v>
      </c>
      <c r="L1502" s="5">
        <v>0.0</v>
      </c>
      <c r="N1502" s="5">
        <v>6868.0</v>
      </c>
      <c r="P1502" s="3"/>
      <c r="Q1502" s="3"/>
      <c r="R1502" s="3"/>
      <c r="S1502" s="3"/>
      <c r="T1502" s="3"/>
      <c r="U1502" s="3"/>
      <c r="V1502" s="3"/>
      <c r="W1502" s="3"/>
      <c r="X1502" s="3"/>
      <c r="Y1502" s="3"/>
      <c r="Z1502" s="3"/>
      <c r="AA1502" s="3"/>
      <c r="AB1502" s="3"/>
      <c r="AC1502" s="3"/>
      <c r="AD1502" s="3"/>
      <c r="AE1502" s="3"/>
      <c r="AF1502" s="3"/>
      <c r="AG1502" s="3"/>
    </row>
    <row r="1503">
      <c r="A1503" s="2">
        <v>2019.0</v>
      </c>
      <c r="B1503" s="1" t="s">
        <v>332</v>
      </c>
      <c r="D1503" s="5" t="s">
        <v>1547</v>
      </c>
      <c r="F1503" s="5">
        <v>10510.0</v>
      </c>
      <c r="I1503" s="5">
        <v>72540.0</v>
      </c>
      <c r="J1503" s="5">
        <v>323.0</v>
      </c>
      <c r="K1503" s="5">
        <v>83373.0</v>
      </c>
      <c r="L1503" s="5">
        <v>59800.0</v>
      </c>
      <c r="N1503" s="5">
        <v>23573.0</v>
      </c>
      <c r="P1503" s="3"/>
      <c r="Q1503" s="3"/>
      <c r="R1503" s="3"/>
      <c r="S1503" s="3"/>
      <c r="T1503" s="3"/>
      <c r="U1503" s="3"/>
      <c r="V1503" s="3"/>
      <c r="W1503" s="3"/>
      <c r="X1503" s="3"/>
      <c r="Y1503" s="3"/>
      <c r="Z1503" s="3"/>
      <c r="AA1503" s="3"/>
      <c r="AB1503" s="3"/>
      <c r="AC1503" s="3"/>
      <c r="AD1503" s="3"/>
      <c r="AE1503" s="3"/>
      <c r="AF1503" s="3"/>
      <c r="AG1503" s="3"/>
    </row>
    <row r="1504">
      <c r="A1504" s="2">
        <v>2019.0</v>
      </c>
      <c r="B1504" s="1" t="s">
        <v>332</v>
      </c>
      <c r="D1504" s="5" t="s">
        <v>1355</v>
      </c>
      <c r="F1504" s="5">
        <f>SUM(F1500:F1503)</f>
        <v>855019</v>
      </c>
      <c r="I1504" s="5">
        <f t="shared" ref="I1504:L1504" si="345">SUM(I1500:I1503)</f>
        <v>3188271</v>
      </c>
      <c r="J1504" s="5">
        <f t="shared" si="345"/>
        <v>33119</v>
      </c>
      <c r="K1504" s="5">
        <f t="shared" si="345"/>
        <v>4076409</v>
      </c>
      <c r="L1504" s="5">
        <f t="shared" si="345"/>
        <v>2305175</v>
      </c>
      <c r="N1504" s="5">
        <f>SUM(N1500:N1503)</f>
        <v>1771234</v>
      </c>
      <c r="P1504" s="3"/>
      <c r="Q1504" s="3"/>
      <c r="R1504" s="3"/>
      <c r="S1504" s="3"/>
      <c r="T1504" s="3"/>
      <c r="U1504" s="3"/>
      <c r="V1504" s="3"/>
      <c r="W1504" s="3"/>
      <c r="X1504" s="3"/>
      <c r="Y1504" s="3"/>
      <c r="Z1504" s="3"/>
      <c r="AA1504" s="3"/>
      <c r="AB1504" s="3"/>
      <c r="AC1504" s="3"/>
      <c r="AD1504" s="3"/>
      <c r="AE1504" s="3"/>
      <c r="AF1504" s="3"/>
      <c r="AG1504" s="3"/>
    </row>
    <row r="1505">
      <c r="A1505" s="2">
        <v>2019.0</v>
      </c>
      <c r="B1505" s="1" t="s">
        <v>332</v>
      </c>
      <c r="D1505" s="5" t="s">
        <v>1355</v>
      </c>
      <c r="F1505" s="5">
        <v>331900.0</v>
      </c>
      <c r="I1505" s="5">
        <v>1375600.0</v>
      </c>
      <c r="J1505" s="5">
        <v>14169.0</v>
      </c>
      <c r="K1505" s="5">
        <v>1721669.0</v>
      </c>
      <c r="L1505" s="5">
        <v>1046650.0</v>
      </c>
      <c r="N1505" s="5">
        <v>675019.0</v>
      </c>
      <c r="P1505" s="3"/>
      <c r="Q1505" s="3"/>
      <c r="R1505" s="3"/>
      <c r="S1505" s="3"/>
      <c r="T1505" s="3"/>
      <c r="U1505" s="3"/>
      <c r="V1505" s="3"/>
      <c r="W1505" s="3"/>
      <c r="X1505" s="3"/>
      <c r="Y1505" s="3"/>
      <c r="Z1505" s="3"/>
      <c r="AA1505" s="3"/>
      <c r="AB1505" s="3"/>
      <c r="AC1505" s="3"/>
      <c r="AD1505" s="3"/>
      <c r="AE1505" s="3"/>
      <c r="AF1505" s="3"/>
      <c r="AG1505" s="3"/>
    </row>
    <row r="1506">
      <c r="A1506" s="2">
        <v>2019.0</v>
      </c>
      <c r="B1506" s="1" t="s">
        <v>332</v>
      </c>
      <c r="D1506" s="5" t="s">
        <v>1355</v>
      </c>
      <c r="F1506" s="5">
        <v>34255.0</v>
      </c>
      <c r="I1506" s="5">
        <v>1039.0</v>
      </c>
      <c r="J1506" s="5">
        <v>177.0</v>
      </c>
      <c r="K1506" s="5">
        <v>35471.0</v>
      </c>
      <c r="L1506" s="5">
        <v>18570.0</v>
      </c>
      <c r="N1506" s="5">
        <v>16901.0</v>
      </c>
      <c r="P1506" s="3"/>
      <c r="Q1506" s="3"/>
      <c r="R1506" s="3"/>
      <c r="S1506" s="3"/>
      <c r="T1506" s="3"/>
      <c r="U1506" s="3"/>
      <c r="V1506" s="3"/>
      <c r="W1506" s="3"/>
      <c r="X1506" s="3"/>
      <c r="Y1506" s="3"/>
      <c r="Z1506" s="3"/>
      <c r="AA1506" s="3"/>
      <c r="AB1506" s="3"/>
      <c r="AC1506" s="3"/>
      <c r="AD1506" s="3"/>
      <c r="AE1506" s="3"/>
      <c r="AF1506" s="3"/>
      <c r="AG1506" s="3"/>
    </row>
    <row r="1507">
      <c r="A1507" s="2">
        <v>2019.0</v>
      </c>
      <c r="B1507" s="1" t="s">
        <v>332</v>
      </c>
      <c r="D1507" s="5" t="s">
        <v>1355</v>
      </c>
      <c r="F1507" s="5" t="s">
        <v>1403</v>
      </c>
      <c r="K1507" s="5">
        <v>0.0</v>
      </c>
      <c r="P1507" s="3"/>
      <c r="Q1507" s="3"/>
      <c r="R1507" s="3"/>
      <c r="S1507" s="3"/>
      <c r="T1507" s="3"/>
      <c r="U1507" s="3"/>
      <c r="V1507" s="3"/>
      <c r="W1507" s="3"/>
      <c r="X1507" s="3"/>
      <c r="Y1507" s="3"/>
      <c r="Z1507" s="3"/>
      <c r="AA1507" s="3"/>
      <c r="AB1507" s="3"/>
      <c r="AC1507" s="3"/>
      <c r="AD1507" s="3"/>
      <c r="AE1507" s="3"/>
      <c r="AF1507" s="3"/>
      <c r="AG1507" s="3"/>
    </row>
    <row r="1508">
      <c r="A1508" s="2">
        <v>2019.0</v>
      </c>
      <c r="B1508" s="1" t="s">
        <v>332</v>
      </c>
      <c r="D1508" s="5" t="s">
        <v>1355</v>
      </c>
      <c r="F1508" s="5">
        <v>10546.0</v>
      </c>
      <c r="I1508" s="5">
        <v>286157.0</v>
      </c>
      <c r="J1508" s="5">
        <v>3526.0</v>
      </c>
      <c r="K1508" s="5">
        <v>300229.0</v>
      </c>
      <c r="L1508" s="5">
        <v>291601.0</v>
      </c>
      <c r="N1508" s="5">
        <v>8628.0</v>
      </c>
      <c r="P1508" s="3"/>
      <c r="Q1508" s="3"/>
      <c r="R1508" s="3"/>
      <c r="S1508" s="3"/>
      <c r="T1508" s="3"/>
      <c r="U1508" s="3"/>
      <c r="V1508" s="3"/>
      <c r="W1508" s="3"/>
      <c r="X1508" s="3"/>
      <c r="Y1508" s="3"/>
      <c r="Z1508" s="3"/>
      <c r="AA1508" s="3"/>
      <c r="AB1508" s="3"/>
      <c r="AC1508" s="3"/>
      <c r="AD1508" s="3"/>
      <c r="AE1508" s="3"/>
      <c r="AF1508" s="3"/>
      <c r="AG1508" s="3"/>
    </row>
    <row r="1509">
      <c r="A1509" s="2">
        <v>2019.0</v>
      </c>
      <c r="B1509" s="1" t="s">
        <v>332</v>
      </c>
      <c r="D1509" s="5" t="s">
        <v>1355</v>
      </c>
      <c r="F1509" s="5">
        <v>153600.0</v>
      </c>
      <c r="I1509" s="5">
        <v>330600.0</v>
      </c>
      <c r="J1509" s="5">
        <v>1262.0</v>
      </c>
      <c r="K1509" s="5">
        <v>485462.0</v>
      </c>
      <c r="L1509" s="5">
        <v>482456.0</v>
      </c>
      <c r="N1509" s="5">
        <v>3006.0</v>
      </c>
      <c r="P1509" s="3"/>
      <c r="Q1509" s="3"/>
      <c r="R1509" s="3"/>
      <c r="S1509" s="3"/>
      <c r="T1509" s="3"/>
      <c r="U1509" s="3"/>
      <c r="V1509" s="3"/>
      <c r="W1509" s="3"/>
      <c r="X1509" s="3"/>
      <c r="Y1509" s="3"/>
      <c r="Z1509" s="3"/>
      <c r="AA1509" s="3"/>
      <c r="AB1509" s="3"/>
      <c r="AC1509" s="3"/>
      <c r="AD1509" s="3"/>
      <c r="AE1509" s="3"/>
      <c r="AF1509" s="3"/>
      <c r="AG1509" s="3"/>
    </row>
    <row r="1510">
      <c r="A1510" s="2">
        <v>2019.0</v>
      </c>
      <c r="B1510" s="1" t="s">
        <v>332</v>
      </c>
      <c r="D1510" s="5" t="s">
        <v>143</v>
      </c>
      <c r="F1510" s="5">
        <f>SUM(F1505:F1509)</f>
        <v>530301</v>
      </c>
      <c r="I1510" s="5">
        <f t="shared" ref="I1510:L1510" si="346">SUM(I1505:I1509)</f>
        <v>1993396</v>
      </c>
      <c r="J1510" s="5">
        <f t="shared" si="346"/>
        <v>19134</v>
      </c>
      <c r="K1510" s="5">
        <f t="shared" si="346"/>
        <v>2542831</v>
      </c>
      <c r="L1510" s="5">
        <f t="shared" si="346"/>
        <v>1839277</v>
      </c>
      <c r="N1510" s="5">
        <f>SUM(N1505:N1509)</f>
        <v>703554</v>
      </c>
      <c r="P1510" s="3"/>
      <c r="Q1510" s="3"/>
      <c r="R1510" s="3"/>
      <c r="S1510" s="3"/>
      <c r="T1510" s="3"/>
      <c r="U1510" s="3"/>
      <c r="V1510" s="3"/>
      <c r="W1510" s="3"/>
      <c r="X1510" s="3"/>
      <c r="Y1510" s="3"/>
      <c r="Z1510" s="3"/>
      <c r="AA1510" s="3"/>
      <c r="AB1510" s="3"/>
      <c r="AC1510" s="3"/>
      <c r="AD1510" s="3"/>
      <c r="AE1510" s="3"/>
      <c r="AF1510" s="3"/>
      <c r="AG1510" s="3"/>
    </row>
    <row r="1511">
      <c r="A1511" s="2">
        <v>2019.0</v>
      </c>
      <c r="B1511" s="1" t="s">
        <v>332</v>
      </c>
      <c r="D1511" s="5" t="s">
        <v>143</v>
      </c>
      <c r="F1511" s="5">
        <v>15236.0</v>
      </c>
      <c r="I1511" s="5">
        <v>0.0</v>
      </c>
      <c r="K1511" s="5">
        <v>15236.0</v>
      </c>
      <c r="L1511" s="5">
        <v>14889.0</v>
      </c>
      <c r="N1511" s="5">
        <v>347.0</v>
      </c>
      <c r="P1511" s="3"/>
      <c r="Q1511" s="3"/>
      <c r="R1511" s="3"/>
      <c r="S1511" s="3"/>
      <c r="T1511" s="3"/>
      <c r="U1511" s="3"/>
      <c r="V1511" s="3"/>
      <c r="W1511" s="3"/>
      <c r="X1511" s="3"/>
      <c r="Y1511" s="3"/>
      <c r="Z1511" s="3"/>
      <c r="AA1511" s="3"/>
      <c r="AB1511" s="3"/>
      <c r="AC1511" s="3"/>
      <c r="AD1511" s="3"/>
      <c r="AE1511" s="3"/>
      <c r="AF1511" s="3"/>
      <c r="AG1511" s="3"/>
    </row>
    <row r="1512">
      <c r="A1512" s="2">
        <v>2019.0</v>
      </c>
      <c r="B1512" s="1" t="s">
        <v>332</v>
      </c>
      <c r="D1512" s="5" t="s">
        <v>143</v>
      </c>
      <c r="F1512" s="5">
        <v>352600.0</v>
      </c>
      <c r="I1512" s="5">
        <v>471000.0</v>
      </c>
      <c r="K1512" s="5">
        <v>823600.0</v>
      </c>
      <c r="L1512" s="5">
        <v>352600.0</v>
      </c>
      <c r="N1512" s="5">
        <v>471000.0</v>
      </c>
      <c r="P1512" s="3"/>
      <c r="Q1512" s="3"/>
      <c r="R1512" s="3"/>
      <c r="S1512" s="3"/>
      <c r="T1512" s="3"/>
      <c r="U1512" s="3"/>
      <c r="V1512" s="3"/>
      <c r="W1512" s="3"/>
      <c r="X1512" s="3"/>
      <c r="Y1512" s="3"/>
      <c r="Z1512" s="3"/>
      <c r="AA1512" s="3"/>
      <c r="AB1512" s="3"/>
      <c r="AC1512" s="3"/>
      <c r="AD1512" s="3"/>
      <c r="AE1512" s="3"/>
      <c r="AF1512" s="3"/>
      <c r="AG1512" s="3"/>
    </row>
    <row r="1513">
      <c r="A1513" s="2">
        <v>2019.0</v>
      </c>
      <c r="B1513" s="1" t="s">
        <v>332</v>
      </c>
      <c r="D1513" s="5" t="s">
        <v>143</v>
      </c>
      <c r="F1513" s="5">
        <v>212350.0</v>
      </c>
      <c r="I1513" s="5">
        <v>5818.0</v>
      </c>
      <c r="K1513" s="5">
        <v>218168.0</v>
      </c>
      <c r="L1513" s="5">
        <v>185475.0</v>
      </c>
      <c r="N1513" s="5">
        <v>32693.0</v>
      </c>
      <c r="P1513" s="3"/>
      <c r="Q1513" s="3"/>
      <c r="R1513" s="3"/>
      <c r="S1513" s="3"/>
      <c r="T1513" s="3"/>
      <c r="U1513" s="3"/>
      <c r="V1513" s="3"/>
      <c r="W1513" s="3"/>
      <c r="X1513" s="3"/>
      <c r="Y1513" s="3"/>
      <c r="Z1513" s="3"/>
      <c r="AA1513" s="3"/>
      <c r="AB1513" s="3"/>
      <c r="AC1513" s="3"/>
      <c r="AD1513" s="3"/>
      <c r="AE1513" s="3"/>
      <c r="AF1513" s="3"/>
      <c r="AG1513" s="3"/>
    </row>
    <row r="1514">
      <c r="A1514" s="2">
        <v>2019.0</v>
      </c>
      <c r="B1514" s="1" t="s">
        <v>332</v>
      </c>
      <c r="D1514" s="5" t="s">
        <v>143</v>
      </c>
      <c r="F1514" s="5">
        <v>620198.0</v>
      </c>
      <c r="I1514" s="5">
        <v>1934000.0</v>
      </c>
      <c r="J1514" s="5">
        <v>16650.0</v>
      </c>
      <c r="K1514" s="5">
        <v>2570848.0</v>
      </c>
      <c r="L1514" s="5">
        <v>1371245.0</v>
      </c>
      <c r="N1514" s="5">
        <v>1199603.0</v>
      </c>
      <c r="P1514" s="3"/>
      <c r="Q1514" s="3"/>
      <c r="R1514" s="3"/>
      <c r="S1514" s="3"/>
      <c r="T1514" s="3"/>
      <c r="U1514" s="3"/>
      <c r="V1514" s="3"/>
      <c r="W1514" s="3"/>
      <c r="X1514" s="3"/>
      <c r="Y1514" s="3"/>
      <c r="Z1514" s="3"/>
      <c r="AA1514" s="3"/>
      <c r="AB1514" s="3"/>
      <c r="AC1514" s="3"/>
      <c r="AD1514" s="3"/>
      <c r="AE1514" s="3"/>
      <c r="AF1514" s="3"/>
      <c r="AG1514" s="3"/>
    </row>
    <row r="1515">
      <c r="A1515" s="2">
        <v>2019.0</v>
      </c>
      <c r="B1515" s="1" t="s">
        <v>332</v>
      </c>
      <c r="D1515" s="5" t="s">
        <v>143</v>
      </c>
      <c r="F1515" s="5">
        <v>150957.0</v>
      </c>
      <c r="I1515" s="5">
        <v>101200.0</v>
      </c>
      <c r="J1515" s="5">
        <v>5767.0</v>
      </c>
      <c r="K1515" s="5">
        <v>257924.0</v>
      </c>
      <c r="L1515" s="5">
        <v>245386.0</v>
      </c>
      <c r="N1515" s="5">
        <v>12538.0</v>
      </c>
      <c r="P1515" s="3"/>
      <c r="Q1515" s="3"/>
      <c r="R1515" s="3"/>
      <c r="S1515" s="3"/>
      <c r="T1515" s="3"/>
      <c r="U1515" s="3"/>
      <c r="V1515" s="3"/>
      <c r="W1515" s="3"/>
      <c r="X1515" s="3"/>
      <c r="Y1515" s="3"/>
      <c r="Z1515" s="3"/>
      <c r="AA1515" s="3"/>
      <c r="AB1515" s="3"/>
      <c r="AC1515" s="3"/>
      <c r="AD1515" s="3"/>
      <c r="AE1515" s="3"/>
      <c r="AF1515" s="3"/>
      <c r="AG1515" s="3"/>
    </row>
    <row r="1516">
      <c r="A1516" s="2">
        <v>2019.0</v>
      </c>
      <c r="B1516" s="1" t="s">
        <v>332</v>
      </c>
      <c r="D1516" s="5" t="s">
        <v>1360</v>
      </c>
      <c r="F1516" s="5">
        <f>SUM(F1511:F1515)</f>
        <v>1351341</v>
      </c>
      <c r="I1516" s="5">
        <f>SUM(I1511:I1515)</f>
        <v>2512018</v>
      </c>
      <c r="J1516" s="5">
        <f>SUM(J1514:J1515)</f>
        <v>22417</v>
      </c>
      <c r="K1516" s="5">
        <f t="shared" ref="K1516:L1516" si="347">SUM(K1511:K1515)</f>
        <v>3885776</v>
      </c>
      <c r="L1516" s="5">
        <f t="shared" si="347"/>
        <v>2169595</v>
      </c>
      <c r="N1516" s="5">
        <f>SUM(N1511:N1515)</f>
        <v>1716181</v>
      </c>
      <c r="P1516" s="3"/>
      <c r="Q1516" s="3"/>
      <c r="R1516" s="3"/>
      <c r="S1516" s="3"/>
      <c r="T1516" s="3"/>
      <c r="U1516" s="3"/>
      <c r="V1516" s="3"/>
      <c r="W1516" s="3"/>
      <c r="X1516" s="3"/>
      <c r="Y1516" s="3"/>
      <c r="Z1516" s="3"/>
      <c r="AA1516" s="3"/>
      <c r="AB1516" s="3"/>
      <c r="AC1516" s="3"/>
      <c r="AD1516" s="3"/>
      <c r="AE1516" s="3"/>
      <c r="AF1516" s="3"/>
      <c r="AG1516" s="3"/>
    </row>
    <row r="1517">
      <c r="A1517" s="2">
        <v>2019.0</v>
      </c>
      <c r="B1517" s="1" t="s">
        <v>332</v>
      </c>
      <c r="D1517" s="5" t="s">
        <v>155</v>
      </c>
      <c r="P1517" s="3"/>
      <c r="Q1517" s="3"/>
      <c r="R1517" s="3"/>
      <c r="S1517" s="3"/>
      <c r="T1517" s="3"/>
      <c r="U1517" s="3"/>
      <c r="V1517" s="3"/>
      <c r="W1517" s="3"/>
      <c r="X1517" s="3"/>
      <c r="Y1517" s="3"/>
      <c r="Z1517" s="3"/>
      <c r="AA1517" s="3"/>
      <c r="AB1517" s="3"/>
      <c r="AC1517" s="3"/>
      <c r="AD1517" s="3"/>
      <c r="AE1517" s="3"/>
      <c r="AF1517" s="3"/>
      <c r="AG1517" s="3"/>
    </row>
    <row r="1518">
      <c r="A1518" s="2">
        <v>2019.0</v>
      </c>
      <c r="B1518" s="1" t="s">
        <v>332</v>
      </c>
      <c r="D1518" s="5" t="s">
        <v>155</v>
      </c>
      <c r="F1518" s="5">
        <v>390754.0</v>
      </c>
      <c r="I1518" s="5">
        <v>1004000.0</v>
      </c>
      <c r="J1518" s="5">
        <v>12996.0</v>
      </c>
      <c r="K1518" s="5">
        <v>1407750.0</v>
      </c>
      <c r="L1518" s="5">
        <v>601958.0</v>
      </c>
      <c r="N1518" s="5">
        <v>805792.0</v>
      </c>
      <c r="P1518" s="3"/>
      <c r="Q1518" s="3"/>
      <c r="R1518" s="3"/>
      <c r="S1518" s="3"/>
      <c r="T1518" s="3"/>
      <c r="U1518" s="3"/>
      <c r="V1518" s="3"/>
      <c r="W1518" s="3"/>
      <c r="X1518" s="3"/>
      <c r="Y1518" s="3"/>
      <c r="Z1518" s="3"/>
      <c r="AA1518" s="3"/>
      <c r="AB1518" s="3"/>
      <c r="AC1518" s="3"/>
      <c r="AD1518" s="3"/>
      <c r="AE1518" s="3"/>
      <c r="AF1518" s="3"/>
      <c r="AG1518" s="3"/>
    </row>
    <row r="1519">
      <c r="A1519" s="2">
        <v>2019.0</v>
      </c>
      <c r="B1519" s="1" t="s">
        <v>332</v>
      </c>
      <c r="D1519" s="5" t="s">
        <v>155</v>
      </c>
      <c r="F1519" s="5">
        <v>13567.0</v>
      </c>
      <c r="I1519" s="5">
        <v>1545.0</v>
      </c>
      <c r="K1519" s="5">
        <v>15112.0</v>
      </c>
      <c r="L1519" s="5">
        <v>8990.0</v>
      </c>
      <c r="N1519" s="5">
        <v>6122.0</v>
      </c>
      <c r="P1519" s="3"/>
      <c r="Q1519" s="3"/>
      <c r="R1519" s="3"/>
      <c r="S1519" s="3"/>
      <c r="T1519" s="3"/>
      <c r="U1519" s="3"/>
      <c r="V1519" s="3"/>
      <c r="W1519" s="3"/>
      <c r="X1519" s="3"/>
      <c r="Y1519" s="3"/>
      <c r="Z1519" s="3"/>
      <c r="AA1519" s="3"/>
      <c r="AB1519" s="3"/>
      <c r="AC1519" s="3"/>
      <c r="AD1519" s="3"/>
      <c r="AE1519" s="3"/>
      <c r="AF1519" s="3"/>
      <c r="AG1519" s="3"/>
    </row>
    <row r="1520">
      <c r="A1520" s="2">
        <v>2019.0</v>
      </c>
      <c r="B1520" s="1" t="s">
        <v>332</v>
      </c>
      <c r="D1520" s="5" t="s">
        <v>155</v>
      </c>
      <c r="F1520" s="5">
        <v>230420.0</v>
      </c>
      <c r="I1520" s="5">
        <v>964593.0</v>
      </c>
      <c r="J1520" s="5">
        <v>6398.0</v>
      </c>
      <c r="K1520" s="5">
        <v>1201411.0</v>
      </c>
      <c r="L1520" s="5">
        <v>908116.0</v>
      </c>
      <c r="N1520" s="5">
        <v>293295.0</v>
      </c>
      <c r="P1520" s="3"/>
      <c r="Q1520" s="3"/>
      <c r="R1520" s="3"/>
      <c r="S1520" s="3"/>
      <c r="T1520" s="3"/>
      <c r="U1520" s="3"/>
      <c r="V1520" s="3"/>
      <c r="W1520" s="3"/>
      <c r="X1520" s="3"/>
      <c r="Y1520" s="3"/>
      <c r="Z1520" s="3"/>
      <c r="AA1520" s="3"/>
      <c r="AB1520" s="3"/>
      <c r="AC1520" s="3"/>
      <c r="AD1520" s="3"/>
      <c r="AE1520" s="3"/>
      <c r="AF1520" s="3"/>
      <c r="AG1520" s="3"/>
    </row>
    <row r="1521">
      <c r="A1521" s="2">
        <v>2019.0</v>
      </c>
      <c r="B1521" s="1" t="s">
        <v>332</v>
      </c>
      <c r="D1521" s="5" t="s">
        <v>155</v>
      </c>
      <c r="F1521" s="5">
        <v>144244.0</v>
      </c>
      <c r="I1521" s="5">
        <v>372768.0</v>
      </c>
      <c r="J1521" s="5">
        <v>7757.0</v>
      </c>
      <c r="K1521" s="5">
        <v>524769.0</v>
      </c>
      <c r="L1521" s="5">
        <v>320148.0</v>
      </c>
      <c r="N1521" s="5">
        <v>204621.0</v>
      </c>
      <c r="P1521" s="3"/>
      <c r="Q1521" s="3"/>
      <c r="R1521" s="3"/>
      <c r="S1521" s="3"/>
      <c r="T1521" s="3"/>
      <c r="U1521" s="3"/>
      <c r="V1521" s="3"/>
      <c r="W1521" s="3"/>
      <c r="X1521" s="3"/>
      <c r="Y1521" s="3"/>
      <c r="Z1521" s="3"/>
      <c r="AA1521" s="3"/>
      <c r="AB1521" s="3"/>
      <c r="AC1521" s="3"/>
      <c r="AD1521" s="3"/>
      <c r="AE1521" s="3"/>
      <c r="AF1521" s="3"/>
      <c r="AG1521" s="3"/>
    </row>
    <row r="1522">
      <c r="A1522" s="2">
        <v>2019.0</v>
      </c>
      <c r="B1522" s="1" t="s">
        <v>332</v>
      </c>
      <c r="D1522" s="5" t="s">
        <v>155</v>
      </c>
      <c r="F1522" s="5" t="s">
        <v>1403</v>
      </c>
      <c r="P1522" s="3"/>
      <c r="Q1522" s="3"/>
      <c r="R1522" s="3"/>
      <c r="S1522" s="3"/>
      <c r="T1522" s="3"/>
      <c r="U1522" s="3"/>
      <c r="V1522" s="3"/>
      <c r="W1522" s="3"/>
      <c r="X1522" s="3"/>
      <c r="Y1522" s="3"/>
      <c r="Z1522" s="3"/>
      <c r="AA1522" s="3"/>
      <c r="AB1522" s="3"/>
      <c r="AC1522" s="3"/>
      <c r="AD1522" s="3"/>
      <c r="AE1522" s="3"/>
      <c r="AF1522" s="3"/>
      <c r="AG1522" s="3"/>
    </row>
    <row r="1523">
      <c r="A1523" s="2">
        <v>2019.0</v>
      </c>
      <c r="B1523" s="1" t="s">
        <v>332</v>
      </c>
      <c r="D1523" s="5" t="s">
        <v>289</v>
      </c>
      <c r="F1523" s="5">
        <f>SUM(F1518:F1522)</f>
        <v>778985</v>
      </c>
      <c r="I1523" s="5">
        <f t="shared" ref="I1523:L1523" si="348">SUM(I1518:I1522)</f>
        <v>2342906</v>
      </c>
      <c r="J1523" s="5">
        <f t="shared" si="348"/>
        <v>27151</v>
      </c>
      <c r="K1523" s="5">
        <f t="shared" si="348"/>
        <v>3149042</v>
      </c>
      <c r="L1523" s="5">
        <f t="shared" si="348"/>
        <v>1839212</v>
      </c>
      <c r="N1523" s="5">
        <f>SUM(N1518:N1522)</f>
        <v>1309830</v>
      </c>
      <c r="P1523" s="3"/>
      <c r="Q1523" s="3"/>
      <c r="R1523" s="3"/>
      <c r="S1523" s="3"/>
      <c r="T1523" s="3"/>
      <c r="U1523" s="3"/>
      <c r="V1523" s="3"/>
      <c r="W1523" s="3"/>
      <c r="X1523" s="3"/>
      <c r="Y1523" s="3"/>
      <c r="Z1523" s="3"/>
      <c r="AA1523" s="3"/>
      <c r="AB1523" s="3"/>
      <c r="AC1523" s="3"/>
      <c r="AD1523" s="3"/>
      <c r="AE1523" s="3"/>
      <c r="AF1523" s="3"/>
      <c r="AG1523" s="3"/>
    </row>
    <row r="1524">
      <c r="A1524" s="2">
        <v>2019.0</v>
      </c>
      <c r="B1524" s="1" t="s">
        <v>332</v>
      </c>
      <c r="D1524" s="5" t="s">
        <v>1548</v>
      </c>
      <c r="F1524" s="5">
        <v>214685.0</v>
      </c>
      <c r="I1524" s="5">
        <v>3183881.0</v>
      </c>
      <c r="J1524" s="5">
        <v>20859.0</v>
      </c>
      <c r="K1524" s="5">
        <v>3419425.0</v>
      </c>
      <c r="L1524" s="5">
        <v>1027426.0</v>
      </c>
      <c r="N1524" s="5">
        <v>2391999.0</v>
      </c>
      <c r="P1524" s="3"/>
      <c r="Q1524" s="3"/>
      <c r="R1524" s="3"/>
      <c r="S1524" s="3"/>
      <c r="T1524" s="3"/>
      <c r="U1524" s="3"/>
      <c r="V1524" s="3"/>
      <c r="W1524" s="3"/>
      <c r="X1524" s="3"/>
      <c r="Y1524" s="3"/>
      <c r="Z1524" s="3"/>
      <c r="AA1524" s="3"/>
      <c r="AB1524" s="3"/>
      <c r="AC1524" s="3"/>
      <c r="AD1524" s="3"/>
      <c r="AE1524" s="3"/>
      <c r="AF1524" s="3"/>
      <c r="AG1524" s="3"/>
    </row>
    <row r="1525">
      <c r="A1525" s="2">
        <v>2019.0</v>
      </c>
      <c r="B1525" s="1" t="s">
        <v>332</v>
      </c>
      <c r="D1525" s="5" t="s">
        <v>1549</v>
      </c>
      <c r="F1525" s="5" t="s">
        <v>1403</v>
      </c>
      <c r="K1525" s="5">
        <v>0.0</v>
      </c>
      <c r="P1525" s="3"/>
      <c r="Q1525" s="3"/>
      <c r="R1525" s="3"/>
      <c r="S1525" s="3"/>
      <c r="T1525" s="3"/>
      <c r="U1525" s="3"/>
      <c r="V1525" s="3"/>
      <c r="W1525" s="3"/>
      <c r="X1525" s="3"/>
      <c r="Y1525" s="3"/>
      <c r="Z1525" s="3"/>
      <c r="AA1525" s="3"/>
      <c r="AB1525" s="3"/>
      <c r="AC1525" s="3"/>
      <c r="AD1525" s="3"/>
      <c r="AE1525" s="3"/>
      <c r="AF1525" s="3"/>
      <c r="AG1525" s="3"/>
    </row>
    <row r="1526">
      <c r="A1526" s="2">
        <v>2019.0</v>
      </c>
      <c r="B1526" s="1" t="s">
        <v>332</v>
      </c>
      <c r="D1526" s="5" t="s">
        <v>1550</v>
      </c>
      <c r="F1526" s="5" t="s">
        <v>1403</v>
      </c>
      <c r="P1526" s="3"/>
      <c r="Q1526" s="3"/>
      <c r="R1526" s="3"/>
      <c r="S1526" s="3"/>
      <c r="T1526" s="3"/>
      <c r="U1526" s="3"/>
      <c r="V1526" s="3"/>
      <c r="W1526" s="3"/>
      <c r="X1526" s="3"/>
      <c r="Y1526" s="3"/>
      <c r="Z1526" s="3"/>
      <c r="AA1526" s="3"/>
      <c r="AB1526" s="3"/>
      <c r="AC1526" s="3"/>
      <c r="AD1526" s="3"/>
      <c r="AE1526" s="3"/>
      <c r="AF1526" s="3"/>
      <c r="AG1526" s="3"/>
    </row>
    <row r="1527">
      <c r="A1527" s="2">
        <v>2019.0</v>
      </c>
      <c r="B1527" s="1" t="s">
        <v>332</v>
      </c>
      <c r="D1527" s="5" t="s">
        <v>1551</v>
      </c>
      <c r="F1527" s="5" t="s">
        <v>1403</v>
      </c>
      <c r="P1527" s="3"/>
      <c r="Q1527" s="3"/>
      <c r="R1527" s="3"/>
      <c r="S1527" s="3"/>
      <c r="T1527" s="3"/>
      <c r="U1527" s="3"/>
      <c r="V1527" s="3"/>
      <c r="W1527" s="3"/>
      <c r="X1527" s="3"/>
      <c r="Y1527" s="3"/>
      <c r="Z1527" s="3"/>
      <c r="AA1527" s="3"/>
      <c r="AB1527" s="3"/>
      <c r="AC1527" s="3"/>
      <c r="AD1527" s="3"/>
      <c r="AE1527" s="3"/>
      <c r="AF1527" s="3"/>
      <c r="AG1527" s="3"/>
    </row>
    <row r="1528">
      <c r="A1528" s="2">
        <v>2019.0</v>
      </c>
      <c r="B1528" s="1" t="s">
        <v>332</v>
      </c>
      <c r="D1528" s="5" t="s">
        <v>1373</v>
      </c>
      <c r="F1528" s="5">
        <f>SUM(F1524:F1527)</f>
        <v>214685</v>
      </c>
      <c r="I1528" s="5">
        <f t="shared" ref="I1528:L1528" si="349">SUM(I1524:I1527)</f>
        <v>3183881</v>
      </c>
      <c r="J1528" s="5">
        <f t="shared" si="349"/>
        <v>20859</v>
      </c>
      <c r="K1528" s="5">
        <f t="shared" si="349"/>
        <v>3419425</v>
      </c>
      <c r="L1528" s="5">
        <f t="shared" si="349"/>
        <v>1027426</v>
      </c>
      <c r="N1528" s="5">
        <f>SUM(N1524:N1527)</f>
        <v>2391999</v>
      </c>
      <c r="P1528" s="3"/>
      <c r="Q1528" s="3"/>
      <c r="R1528" s="3"/>
      <c r="S1528" s="3"/>
      <c r="T1528" s="3"/>
      <c r="U1528" s="3"/>
      <c r="V1528" s="3"/>
      <c r="W1528" s="3"/>
      <c r="X1528" s="3"/>
      <c r="Y1528" s="3"/>
      <c r="Z1528" s="3"/>
      <c r="AA1528" s="3"/>
      <c r="AB1528" s="3"/>
      <c r="AC1528" s="3"/>
      <c r="AD1528" s="3"/>
      <c r="AE1528" s="3"/>
      <c r="AF1528" s="3"/>
      <c r="AG1528" s="3"/>
    </row>
    <row r="1529">
      <c r="A1529" s="2">
        <v>2019.0</v>
      </c>
      <c r="B1529" s="1" t="s">
        <v>332</v>
      </c>
      <c r="D1529" s="5" t="s">
        <v>1552</v>
      </c>
      <c r="F1529" s="5">
        <v>157230.0</v>
      </c>
      <c r="I1529" s="5">
        <v>1180627.0</v>
      </c>
      <c r="J1529" s="5">
        <v>5815.0</v>
      </c>
      <c r="K1529" s="5">
        <v>1343672.0</v>
      </c>
      <c r="L1529" s="5">
        <v>260883.0</v>
      </c>
      <c r="N1529" s="5">
        <v>1082789.0</v>
      </c>
      <c r="P1529" s="3"/>
      <c r="Q1529" s="3"/>
      <c r="R1529" s="3"/>
      <c r="S1529" s="3"/>
      <c r="T1529" s="3"/>
      <c r="U1529" s="3"/>
      <c r="V1529" s="3"/>
      <c r="W1529" s="3"/>
      <c r="X1529" s="3"/>
      <c r="Y1529" s="3"/>
      <c r="Z1529" s="3"/>
      <c r="AA1529" s="3"/>
      <c r="AB1529" s="3"/>
      <c r="AC1529" s="3"/>
      <c r="AD1529" s="3"/>
      <c r="AE1529" s="3"/>
      <c r="AF1529" s="3"/>
      <c r="AG1529" s="3"/>
    </row>
    <row r="1530">
      <c r="A1530" s="2">
        <v>2019.0</v>
      </c>
      <c r="B1530" s="1" t="s">
        <v>332</v>
      </c>
      <c r="D1530" s="5" t="s">
        <v>1553</v>
      </c>
      <c r="F1530" s="5" t="s">
        <v>1403</v>
      </c>
      <c r="K1530" s="5">
        <v>0.0</v>
      </c>
      <c r="P1530" s="3"/>
      <c r="Q1530" s="3"/>
      <c r="R1530" s="3"/>
      <c r="S1530" s="3"/>
      <c r="T1530" s="3"/>
      <c r="U1530" s="3"/>
      <c r="V1530" s="3"/>
      <c r="W1530" s="3"/>
      <c r="X1530" s="3"/>
      <c r="Y1530" s="3"/>
      <c r="Z1530" s="3"/>
      <c r="AA1530" s="3"/>
      <c r="AB1530" s="3"/>
      <c r="AC1530" s="3"/>
      <c r="AD1530" s="3"/>
      <c r="AE1530" s="3"/>
      <c r="AF1530" s="3"/>
      <c r="AG1530" s="3"/>
    </row>
    <row r="1531">
      <c r="A1531" s="2">
        <v>2019.0</v>
      </c>
      <c r="B1531" s="1" t="s">
        <v>332</v>
      </c>
      <c r="D1531" s="5" t="s">
        <v>1554</v>
      </c>
      <c r="F1531" s="5">
        <v>273302.0</v>
      </c>
      <c r="I1531" s="5">
        <v>393200.0</v>
      </c>
      <c r="J1531" s="5">
        <v>5777.0</v>
      </c>
      <c r="K1531" s="5">
        <v>672279.0</v>
      </c>
      <c r="L1531" s="5">
        <v>351458.0</v>
      </c>
      <c r="N1531" s="5">
        <v>320821.0</v>
      </c>
      <c r="P1531" s="3"/>
      <c r="Q1531" s="3"/>
      <c r="R1531" s="3"/>
      <c r="S1531" s="3"/>
      <c r="T1531" s="3"/>
      <c r="U1531" s="3"/>
      <c r="V1531" s="3"/>
      <c r="W1531" s="3"/>
      <c r="X1531" s="3"/>
      <c r="Y1531" s="3"/>
      <c r="Z1531" s="3"/>
      <c r="AA1531" s="3"/>
      <c r="AB1531" s="3"/>
      <c r="AC1531" s="3"/>
      <c r="AD1531" s="3"/>
      <c r="AE1531" s="3"/>
      <c r="AF1531" s="3"/>
      <c r="AG1531" s="3"/>
    </row>
    <row r="1532">
      <c r="A1532" s="2">
        <v>2019.0</v>
      </c>
      <c r="B1532" s="1" t="s">
        <v>332</v>
      </c>
      <c r="D1532" s="5" t="s">
        <v>1555</v>
      </c>
      <c r="F1532" s="5" t="s">
        <v>1403</v>
      </c>
      <c r="K1532" s="5">
        <v>0.0</v>
      </c>
      <c r="P1532" s="3"/>
      <c r="Q1532" s="3"/>
      <c r="R1532" s="3"/>
      <c r="S1532" s="3"/>
      <c r="T1532" s="3"/>
      <c r="U1532" s="3"/>
      <c r="V1532" s="3"/>
      <c r="W1532" s="3"/>
      <c r="X1532" s="3"/>
      <c r="Y1532" s="3"/>
      <c r="Z1532" s="3"/>
      <c r="AA1532" s="3"/>
      <c r="AB1532" s="3"/>
      <c r="AC1532" s="3"/>
      <c r="AD1532" s="3"/>
      <c r="AE1532" s="3"/>
      <c r="AF1532" s="3"/>
      <c r="AG1532" s="3"/>
    </row>
    <row r="1533">
      <c r="A1533" s="2">
        <v>2019.0</v>
      </c>
      <c r="B1533" s="1" t="s">
        <v>332</v>
      </c>
      <c r="D1533" s="5" t="s">
        <v>1556</v>
      </c>
      <c r="F1533" s="5" t="s">
        <v>1403</v>
      </c>
      <c r="P1533" s="3"/>
      <c r="Q1533" s="3"/>
      <c r="R1533" s="3"/>
      <c r="S1533" s="3"/>
      <c r="T1533" s="3"/>
      <c r="U1533" s="3"/>
      <c r="V1533" s="3"/>
      <c r="W1533" s="3"/>
      <c r="X1533" s="3"/>
      <c r="Y1533" s="3"/>
      <c r="Z1533" s="3"/>
      <c r="AA1533" s="3"/>
      <c r="AB1533" s="3"/>
      <c r="AC1533" s="3"/>
      <c r="AD1533" s="3"/>
      <c r="AE1533" s="3"/>
      <c r="AF1533" s="3"/>
      <c r="AG1533" s="3"/>
    </row>
    <row r="1534">
      <c r="A1534" s="2">
        <v>2019.0</v>
      </c>
      <c r="B1534" s="1" t="s">
        <v>332</v>
      </c>
      <c r="D1534" s="5" t="s">
        <v>1383</v>
      </c>
      <c r="F1534" s="5">
        <f>SUM(F1529:F1533)</f>
        <v>430532</v>
      </c>
      <c r="I1534" s="5">
        <f t="shared" ref="I1534:L1534" si="350">SUM(I1529:I1533)</f>
        <v>1573827</v>
      </c>
      <c r="J1534" s="5">
        <f t="shared" si="350"/>
        <v>11592</v>
      </c>
      <c r="K1534" s="5">
        <f t="shared" si="350"/>
        <v>2015951</v>
      </c>
      <c r="L1534" s="5">
        <f t="shared" si="350"/>
        <v>612341</v>
      </c>
      <c r="N1534" s="5">
        <f>SUM(N1529:N1533)</f>
        <v>1403610</v>
      </c>
      <c r="P1534" s="3"/>
      <c r="Q1534" s="3"/>
      <c r="R1534" s="3"/>
      <c r="S1534" s="3"/>
      <c r="T1534" s="3"/>
      <c r="U1534" s="3"/>
      <c r="V1534" s="3"/>
      <c r="W1534" s="3"/>
      <c r="X1534" s="3"/>
      <c r="Y1534" s="3"/>
      <c r="Z1534" s="3"/>
      <c r="AA1534" s="3"/>
      <c r="AB1534" s="3"/>
      <c r="AC1534" s="3"/>
      <c r="AD1534" s="3"/>
      <c r="AE1534" s="3"/>
      <c r="AF1534" s="3"/>
      <c r="AG1534" s="3"/>
    </row>
    <row r="1535">
      <c r="A1535" s="2">
        <v>2019.0</v>
      </c>
      <c r="B1535" s="1" t="s">
        <v>332</v>
      </c>
      <c r="D1535" s="5" t="s">
        <v>1557</v>
      </c>
      <c r="F1535" s="5">
        <v>156383.0</v>
      </c>
      <c r="I1535" s="5">
        <v>0.0</v>
      </c>
      <c r="K1535" s="5">
        <v>156383.0</v>
      </c>
      <c r="L1535" s="5">
        <v>112608.0</v>
      </c>
      <c r="N1535" s="5">
        <v>43775.0</v>
      </c>
      <c r="P1535" s="3"/>
      <c r="Q1535" s="3"/>
      <c r="R1535" s="3"/>
      <c r="S1535" s="3"/>
      <c r="T1535" s="3"/>
      <c r="U1535" s="3"/>
      <c r="V1535" s="3"/>
      <c r="W1535" s="3"/>
      <c r="X1535" s="3"/>
      <c r="Y1535" s="3"/>
      <c r="Z1535" s="3"/>
      <c r="AA1535" s="3"/>
      <c r="AB1535" s="3"/>
      <c r="AC1535" s="3"/>
      <c r="AD1535" s="3"/>
      <c r="AE1535" s="3"/>
      <c r="AF1535" s="3"/>
      <c r="AG1535" s="3"/>
    </row>
    <row r="1536">
      <c r="A1536" s="2">
        <v>2019.0</v>
      </c>
      <c r="B1536" s="1" t="s">
        <v>332</v>
      </c>
      <c r="D1536" s="5" t="s">
        <v>1559</v>
      </c>
      <c r="F1536" s="5">
        <v>144514.0</v>
      </c>
      <c r="I1536" s="5">
        <v>553400.0</v>
      </c>
      <c r="K1536" s="5">
        <v>697914.0</v>
      </c>
      <c r="L1536" s="5">
        <v>59420.0</v>
      </c>
      <c r="N1536" s="5">
        <v>638494.0</v>
      </c>
      <c r="P1536" s="3"/>
      <c r="Q1536" s="3"/>
      <c r="R1536" s="3"/>
      <c r="S1536" s="3"/>
      <c r="T1536" s="3"/>
      <c r="U1536" s="3"/>
      <c r="V1536" s="3"/>
      <c r="W1536" s="3"/>
      <c r="X1536" s="3"/>
      <c r="Y1536" s="3"/>
      <c r="Z1536" s="3"/>
      <c r="AA1536" s="3"/>
      <c r="AB1536" s="3"/>
      <c r="AC1536" s="3"/>
      <c r="AD1536" s="3"/>
      <c r="AE1536" s="3"/>
      <c r="AF1536" s="3"/>
      <c r="AG1536" s="3"/>
    </row>
    <row r="1537">
      <c r="A1537" s="2">
        <v>2019.0</v>
      </c>
      <c r="B1537" s="1" t="s">
        <v>332</v>
      </c>
      <c r="D1537" s="5" t="s">
        <v>1560</v>
      </c>
      <c r="F1537" s="5" t="s">
        <v>1403</v>
      </c>
      <c r="K1537" s="5">
        <v>0.0</v>
      </c>
      <c r="P1537" s="3"/>
      <c r="Q1537" s="3"/>
      <c r="R1537" s="3"/>
      <c r="S1537" s="3"/>
      <c r="T1537" s="3"/>
      <c r="U1537" s="3"/>
      <c r="V1537" s="3"/>
      <c r="W1537" s="3"/>
      <c r="X1537" s="3"/>
      <c r="Y1537" s="3"/>
      <c r="Z1537" s="3"/>
      <c r="AA1537" s="3"/>
      <c r="AB1537" s="3"/>
      <c r="AC1537" s="3"/>
      <c r="AD1537" s="3"/>
      <c r="AE1537" s="3"/>
      <c r="AF1537" s="3"/>
      <c r="AG1537" s="3"/>
    </row>
    <row r="1538">
      <c r="A1538" s="2">
        <v>2019.0</v>
      </c>
      <c r="B1538" s="1" t="s">
        <v>332</v>
      </c>
      <c r="D1538" s="5" t="s">
        <v>1561</v>
      </c>
      <c r="F1538" s="5" t="s">
        <v>1403</v>
      </c>
      <c r="K1538" s="5">
        <v>0.0</v>
      </c>
      <c r="P1538" s="3"/>
      <c r="Q1538" s="3"/>
      <c r="R1538" s="3"/>
      <c r="S1538" s="3"/>
      <c r="T1538" s="3"/>
      <c r="U1538" s="3"/>
      <c r="V1538" s="3"/>
      <c r="W1538" s="3"/>
      <c r="X1538" s="3"/>
      <c r="Y1538" s="3"/>
      <c r="Z1538" s="3"/>
      <c r="AA1538" s="3"/>
      <c r="AB1538" s="3"/>
      <c r="AC1538" s="3"/>
      <c r="AD1538" s="3"/>
      <c r="AE1538" s="3"/>
      <c r="AF1538" s="3"/>
      <c r="AG1538" s="3"/>
    </row>
    <row r="1539">
      <c r="A1539" s="2">
        <v>2019.0</v>
      </c>
      <c r="B1539" s="1" t="s">
        <v>332</v>
      </c>
      <c r="D1539" s="5" t="s">
        <v>1562</v>
      </c>
      <c r="F1539" s="5">
        <v>880715.0</v>
      </c>
      <c r="I1539" s="5">
        <v>2134627.0</v>
      </c>
      <c r="J1539" s="5">
        <v>21587.0</v>
      </c>
      <c r="K1539" s="5">
        <v>3036929.0</v>
      </c>
      <c r="L1539" s="5">
        <v>1332582.0</v>
      </c>
      <c r="N1539" s="5">
        <v>1704347.0</v>
      </c>
      <c r="P1539" s="3"/>
      <c r="Q1539" s="3"/>
      <c r="R1539" s="3"/>
      <c r="S1539" s="3"/>
      <c r="T1539" s="3"/>
      <c r="U1539" s="3"/>
      <c r="V1539" s="3"/>
      <c r="W1539" s="3"/>
      <c r="X1539" s="3"/>
      <c r="Y1539" s="3"/>
      <c r="Z1539" s="3"/>
      <c r="AA1539" s="3"/>
      <c r="AB1539" s="3"/>
      <c r="AC1539" s="3"/>
      <c r="AD1539" s="3"/>
      <c r="AE1539" s="3"/>
      <c r="AF1539" s="3"/>
      <c r="AG1539" s="3"/>
    </row>
    <row r="1540">
      <c r="A1540" s="2">
        <v>2019.0</v>
      </c>
      <c r="B1540" s="1" t="s">
        <v>332</v>
      </c>
      <c r="D1540" s="5" t="s">
        <v>163</v>
      </c>
      <c r="F1540" s="5">
        <f>SUM(F1535:F1539)</f>
        <v>1181612</v>
      </c>
      <c r="I1540" s="5">
        <f>SUM(I1535:I1539)</f>
        <v>2688027</v>
      </c>
      <c r="J1540" s="5">
        <f>SUM(J1539)</f>
        <v>21587</v>
      </c>
      <c r="K1540" s="5">
        <f t="shared" ref="K1540:L1540" si="351">SUM(K1535:K1539)</f>
        <v>3891226</v>
      </c>
      <c r="L1540" s="5">
        <f t="shared" si="351"/>
        <v>1504610</v>
      </c>
      <c r="N1540" s="5">
        <f>SUM(N1535:N1539)</f>
        <v>2386616</v>
      </c>
      <c r="P1540" s="3"/>
      <c r="Q1540" s="3"/>
      <c r="R1540" s="3"/>
      <c r="S1540" s="3"/>
      <c r="T1540" s="3"/>
      <c r="U1540" s="3"/>
      <c r="V1540" s="3"/>
      <c r="W1540" s="3"/>
      <c r="X1540" s="3"/>
      <c r="Y1540" s="3"/>
      <c r="Z1540" s="3"/>
      <c r="AA1540" s="3"/>
      <c r="AB1540" s="3"/>
      <c r="AC1540" s="3"/>
      <c r="AD1540" s="3"/>
      <c r="AE1540" s="3"/>
      <c r="AF1540" s="3"/>
      <c r="AG1540" s="3"/>
    </row>
    <row r="1541">
      <c r="A1541" s="2">
        <v>2019.0</v>
      </c>
      <c r="B1541" s="1" t="s">
        <v>332</v>
      </c>
      <c r="D1541" s="5" t="s">
        <v>163</v>
      </c>
      <c r="F1541" s="5">
        <v>450956.0</v>
      </c>
      <c r="I1541" s="5">
        <v>1396000.0</v>
      </c>
      <c r="J1541" s="5">
        <v>11535.0</v>
      </c>
      <c r="K1541" s="5">
        <v>1858491.0</v>
      </c>
      <c r="L1541" s="5">
        <v>419785.0</v>
      </c>
      <c r="N1541" s="5">
        <v>1438706.0</v>
      </c>
      <c r="P1541" s="3"/>
      <c r="Q1541" s="3"/>
      <c r="R1541" s="3"/>
      <c r="S1541" s="3"/>
      <c r="T1541" s="3"/>
      <c r="U1541" s="3"/>
      <c r="V1541" s="3"/>
      <c r="W1541" s="3"/>
      <c r="X1541" s="3"/>
      <c r="Y1541" s="3"/>
      <c r="Z1541" s="3"/>
      <c r="AA1541" s="3"/>
      <c r="AB1541" s="3"/>
      <c r="AC1541" s="3"/>
      <c r="AD1541" s="3"/>
      <c r="AE1541" s="3"/>
      <c r="AF1541" s="3"/>
      <c r="AG1541" s="3"/>
    </row>
    <row r="1542">
      <c r="A1542" s="2">
        <v>2019.0</v>
      </c>
      <c r="B1542" s="1" t="s">
        <v>332</v>
      </c>
      <c r="D1542" s="5" t="s">
        <v>163</v>
      </c>
      <c r="F1542" s="5">
        <v>120341.0</v>
      </c>
      <c r="I1542" s="5">
        <v>4851.0</v>
      </c>
      <c r="K1542" s="5">
        <v>125192.0</v>
      </c>
      <c r="L1542" s="5">
        <v>39.0</v>
      </c>
      <c r="N1542" s="5">
        <v>125153.0</v>
      </c>
      <c r="P1542" s="3"/>
      <c r="Q1542" s="3"/>
      <c r="R1542" s="3"/>
      <c r="S1542" s="3"/>
      <c r="T1542" s="3"/>
      <c r="U1542" s="3"/>
      <c r="V1542" s="3"/>
      <c r="W1542" s="3"/>
      <c r="X1542" s="3"/>
      <c r="Y1542" s="3"/>
      <c r="Z1542" s="3"/>
      <c r="AA1542" s="3"/>
      <c r="AB1542" s="3"/>
      <c r="AC1542" s="3"/>
      <c r="AD1542" s="3"/>
      <c r="AE1542" s="3"/>
      <c r="AF1542" s="3"/>
      <c r="AG1542" s="3"/>
    </row>
    <row r="1543">
      <c r="A1543" s="2">
        <v>2019.0</v>
      </c>
      <c r="B1543" s="1" t="s">
        <v>332</v>
      </c>
      <c r="D1543" s="5" t="s">
        <v>163</v>
      </c>
      <c r="F1543" s="5">
        <v>10112.0</v>
      </c>
      <c r="I1543" s="5">
        <v>407.0</v>
      </c>
      <c r="K1543" s="5">
        <v>10519.0</v>
      </c>
      <c r="L1543" s="5">
        <v>0.0</v>
      </c>
      <c r="N1543" s="5">
        <v>10519.0</v>
      </c>
      <c r="P1543" s="3"/>
      <c r="Q1543" s="3"/>
      <c r="R1543" s="3"/>
      <c r="S1543" s="3"/>
      <c r="T1543" s="3"/>
      <c r="U1543" s="3"/>
      <c r="V1543" s="3"/>
      <c r="W1543" s="3"/>
      <c r="X1543" s="3"/>
      <c r="Y1543" s="3"/>
      <c r="Z1543" s="3"/>
      <c r="AA1543" s="3"/>
      <c r="AB1543" s="3"/>
      <c r="AC1543" s="3"/>
      <c r="AD1543" s="3"/>
      <c r="AE1543" s="3"/>
      <c r="AF1543" s="3"/>
      <c r="AG1543" s="3"/>
    </row>
    <row r="1544">
      <c r="A1544" s="2">
        <v>2019.0</v>
      </c>
      <c r="B1544" s="1" t="s">
        <v>332</v>
      </c>
      <c r="D1544" s="5" t="s">
        <v>163</v>
      </c>
      <c r="F1544" s="5">
        <v>2469.0</v>
      </c>
      <c r="I1544" s="5">
        <v>673800.0</v>
      </c>
      <c r="J1544" s="5">
        <v>6574.0</v>
      </c>
      <c r="K1544" s="5">
        <v>682843.0</v>
      </c>
      <c r="L1544" s="5">
        <v>342123.0</v>
      </c>
      <c r="N1544" s="5">
        <v>340720.0</v>
      </c>
      <c r="P1544" s="3"/>
      <c r="Q1544" s="3"/>
      <c r="R1544" s="3"/>
      <c r="S1544" s="3"/>
      <c r="T1544" s="3"/>
      <c r="U1544" s="3"/>
      <c r="V1544" s="3"/>
      <c r="W1544" s="3"/>
      <c r="X1544" s="3"/>
      <c r="Y1544" s="3"/>
      <c r="Z1544" s="3"/>
      <c r="AA1544" s="3"/>
      <c r="AB1544" s="3"/>
      <c r="AC1544" s="3"/>
      <c r="AD1544" s="3"/>
      <c r="AE1544" s="3"/>
      <c r="AF1544" s="3"/>
      <c r="AG1544" s="3"/>
    </row>
    <row r="1545">
      <c r="A1545" s="2">
        <v>2019.0</v>
      </c>
      <c r="B1545" s="1" t="s">
        <v>332</v>
      </c>
      <c r="D1545" s="5" t="s">
        <v>163</v>
      </c>
      <c r="F1545" s="5">
        <v>12497.0</v>
      </c>
      <c r="I1545" s="5">
        <v>116240.0</v>
      </c>
      <c r="J1545" s="5">
        <v>247.0</v>
      </c>
      <c r="K1545" s="5">
        <v>128984.0</v>
      </c>
      <c r="L1545" s="5">
        <v>111023.0</v>
      </c>
      <c r="N1545" s="5">
        <v>17961.0</v>
      </c>
      <c r="P1545" s="3"/>
      <c r="Q1545" s="3"/>
      <c r="R1545" s="3"/>
      <c r="S1545" s="3"/>
      <c r="T1545" s="3"/>
      <c r="U1545" s="3"/>
      <c r="V1545" s="3"/>
      <c r="W1545" s="3"/>
      <c r="X1545" s="3"/>
      <c r="Y1545" s="3"/>
      <c r="Z1545" s="3"/>
      <c r="AA1545" s="3"/>
      <c r="AB1545" s="3"/>
      <c r="AC1545" s="3"/>
      <c r="AD1545" s="3"/>
      <c r="AE1545" s="3"/>
      <c r="AF1545" s="3"/>
      <c r="AG1545" s="3"/>
    </row>
    <row r="1546">
      <c r="A1546" s="2">
        <v>2019.0</v>
      </c>
      <c r="B1546" s="1" t="s">
        <v>332</v>
      </c>
      <c r="D1546" s="5" t="s">
        <v>400</v>
      </c>
      <c r="F1546" s="5">
        <f>SUM(F1541:F1545)</f>
        <v>596375</v>
      </c>
      <c r="I1546" s="5">
        <f t="shared" ref="I1546:L1546" si="352">SUM(I1541:I1545)</f>
        <v>2191298</v>
      </c>
      <c r="J1546" s="5">
        <f t="shared" si="352"/>
        <v>18356</v>
      </c>
      <c r="K1546" s="5">
        <f t="shared" si="352"/>
        <v>2806029</v>
      </c>
      <c r="L1546" s="5">
        <f t="shared" si="352"/>
        <v>872970</v>
      </c>
      <c r="N1546" s="5">
        <f>SUM(N1541:N1545)</f>
        <v>1933059</v>
      </c>
      <c r="P1546" s="3"/>
      <c r="Q1546" s="3"/>
      <c r="R1546" s="3"/>
      <c r="S1546" s="3"/>
      <c r="T1546" s="3"/>
      <c r="U1546" s="3"/>
      <c r="V1546" s="3"/>
      <c r="W1546" s="3"/>
      <c r="X1546" s="3"/>
      <c r="Y1546" s="3"/>
      <c r="Z1546" s="3"/>
      <c r="AA1546" s="3"/>
      <c r="AB1546" s="3"/>
      <c r="AC1546" s="3"/>
      <c r="AD1546" s="3"/>
      <c r="AE1546" s="3"/>
      <c r="AF1546" s="3"/>
      <c r="AG1546" s="3"/>
    </row>
    <row r="1547">
      <c r="A1547" s="2">
        <v>2019.0</v>
      </c>
      <c r="B1547" s="1" t="s">
        <v>332</v>
      </c>
      <c r="D1547" s="5" t="s">
        <v>400</v>
      </c>
      <c r="F1547" s="5">
        <v>119244.0</v>
      </c>
      <c r="I1547" s="5">
        <v>0.0</v>
      </c>
      <c r="K1547" s="5">
        <v>119244.0</v>
      </c>
      <c r="L1547" s="5">
        <v>119244.0</v>
      </c>
      <c r="N1547" s="5">
        <v>0.0</v>
      </c>
      <c r="P1547" s="3"/>
      <c r="Q1547" s="3"/>
      <c r="R1547" s="3"/>
      <c r="S1547" s="3"/>
      <c r="T1547" s="3"/>
      <c r="U1547" s="3"/>
      <c r="V1547" s="3"/>
      <c r="W1547" s="3"/>
      <c r="X1547" s="3"/>
      <c r="Y1547" s="3"/>
      <c r="Z1547" s="3"/>
      <c r="AA1547" s="3"/>
      <c r="AB1547" s="3"/>
      <c r="AC1547" s="3"/>
      <c r="AD1547" s="3"/>
      <c r="AE1547" s="3"/>
      <c r="AF1547" s="3"/>
      <c r="AG1547" s="3"/>
    </row>
    <row r="1548">
      <c r="A1548" s="2">
        <v>2019.0</v>
      </c>
      <c r="B1548" s="1" t="s">
        <v>332</v>
      </c>
      <c r="D1548" s="5" t="s">
        <v>400</v>
      </c>
      <c r="F1548" s="5">
        <v>13003.0</v>
      </c>
      <c r="I1548" s="5">
        <v>525.0</v>
      </c>
      <c r="K1548" s="5">
        <v>13528.0</v>
      </c>
      <c r="L1548" s="5">
        <v>0.0</v>
      </c>
      <c r="N1548" s="5">
        <v>13528.0</v>
      </c>
      <c r="P1548" s="3"/>
      <c r="Q1548" s="3"/>
      <c r="R1548" s="3"/>
      <c r="S1548" s="3"/>
      <c r="T1548" s="3"/>
      <c r="U1548" s="3"/>
      <c r="V1548" s="3"/>
      <c r="W1548" s="3"/>
      <c r="X1548" s="3"/>
      <c r="Y1548" s="3"/>
      <c r="Z1548" s="3"/>
      <c r="AA1548" s="3"/>
      <c r="AB1548" s="3"/>
      <c r="AC1548" s="3"/>
      <c r="AD1548" s="3"/>
      <c r="AE1548" s="3"/>
      <c r="AF1548" s="3"/>
      <c r="AG1548" s="3"/>
    </row>
    <row r="1549">
      <c r="A1549" s="2">
        <v>2019.0</v>
      </c>
      <c r="B1549" s="1" t="s">
        <v>332</v>
      </c>
      <c r="D1549" s="5" t="s">
        <v>400</v>
      </c>
      <c r="F1549" s="5">
        <v>2680.0</v>
      </c>
      <c r="I1549" s="5">
        <v>109.0</v>
      </c>
      <c r="K1549" s="5">
        <v>2789.0</v>
      </c>
      <c r="L1549" s="5">
        <v>0.0</v>
      </c>
      <c r="N1549" s="5">
        <v>2789.0</v>
      </c>
      <c r="P1549" s="3"/>
      <c r="Q1549" s="3"/>
      <c r="R1549" s="3"/>
      <c r="S1549" s="3"/>
      <c r="T1549" s="3"/>
      <c r="U1549" s="3"/>
      <c r="V1549" s="3"/>
      <c r="W1549" s="3"/>
      <c r="X1549" s="3"/>
      <c r="Y1549" s="3"/>
      <c r="Z1549" s="3"/>
      <c r="AA1549" s="3"/>
      <c r="AB1549" s="3"/>
      <c r="AC1549" s="3"/>
      <c r="AD1549" s="3"/>
      <c r="AE1549" s="3"/>
      <c r="AF1549" s="3"/>
      <c r="AG1549" s="3"/>
    </row>
    <row r="1550">
      <c r="A1550" s="2">
        <v>2019.0</v>
      </c>
      <c r="B1550" s="1" t="s">
        <v>332</v>
      </c>
      <c r="D1550" s="5" t="s">
        <v>400</v>
      </c>
      <c r="F1550" s="5">
        <v>850.0</v>
      </c>
      <c r="I1550" s="5">
        <v>0.0</v>
      </c>
      <c r="K1550" s="5">
        <v>850.0</v>
      </c>
      <c r="L1550" s="5">
        <v>850.0</v>
      </c>
      <c r="N1550" s="5">
        <v>0.0</v>
      </c>
      <c r="P1550" s="3"/>
      <c r="Q1550" s="3"/>
      <c r="R1550" s="3"/>
      <c r="S1550" s="3"/>
      <c r="T1550" s="3"/>
      <c r="U1550" s="3"/>
      <c r="V1550" s="3"/>
      <c r="W1550" s="3"/>
      <c r="X1550" s="3"/>
      <c r="Y1550" s="3"/>
      <c r="Z1550" s="3"/>
      <c r="AA1550" s="3"/>
      <c r="AB1550" s="3"/>
      <c r="AC1550" s="3"/>
      <c r="AD1550" s="3"/>
      <c r="AE1550" s="3"/>
      <c r="AF1550" s="3"/>
      <c r="AG1550" s="3"/>
    </row>
    <row r="1551">
      <c r="A1551" s="2">
        <v>2019.0</v>
      </c>
      <c r="B1551" s="1" t="s">
        <v>332</v>
      </c>
      <c r="D1551" s="5" t="s">
        <v>400</v>
      </c>
      <c r="F1551" s="5">
        <v>142975.0</v>
      </c>
      <c r="I1551" s="5">
        <v>755800.0</v>
      </c>
      <c r="J1551" s="5">
        <v>6698.0</v>
      </c>
      <c r="K1551" s="5">
        <v>905473.0</v>
      </c>
      <c r="L1551" s="5">
        <v>691249.0</v>
      </c>
      <c r="N1551" s="5">
        <v>214224.0</v>
      </c>
      <c r="P1551" s="3"/>
      <c r="Q1551" s="3"/>
      <c r="R1551" s="3"/>
      <c r="S1551" s="3"/>
      <c r="T1551" s="3"/>
      <c r="U1551" s="3"/>
      <c r="V1551" s="3"/>
      <c r="W1551" s="3"/>
      <c r="X1551" s="3"/>
      <c r="Y1551" s="3"/>
      <c r="Z1551" s="3"/>
      <c r="AA1551" s="3"/>
      <c r="AB1551" s="3"/>
      <c r="AC1551" s="3"/>
      <c r="AD1551" s="3"/>
      <c r="AE1551" s="3"/>
      <c r="AF1551" s="3"/>
      <c r="AG1551" s="3"/>
    </row>
    <row r="1552">
      <c r="A1552" s="2">
        <v>2019.0</v>
      </c>
      <c r="B1552" s="1" t="s">
        <v>332</v>
      </c>
      <c r="D1552" s="5" t="s">
        <v>400</v>
      </c>
      <c r="F1552" s="5">
        <v>18440.0</v>
      </c>
      <c r="I1552" s="5">
        <v>2163627.0</v>
      </c>
      <c r="J1552" s="5">
        <v>3632.0</v>
      </c>
      <c r="K1552" s="5">
        <v>2185699.0</v>
      </c>
      <c r="L1552" s="5">
        <v>202000.0</v>
      </c>
      <c r="N1552" s="5">
        <v>1983699.0</v>
      </c>
      <c r="P1552" s="3"/>
      <c r="Q1552" s="3"/>
      <c r="R1552" s="3"/>
      <c r="S1552" s="3"/>
      <c r="T1552" s="3"/>
      <c r="U1552" s="3"/>
      <c r="V1552" s="3"/>
      <c r="W1552" s="3"/>
      <c r="X1552" s="3"/>
      <c r="Y1552" s="3"/>
      <c r="Z1552" s="3"/>
      <c r="AA1552" s="3"/>
      <c r="AB1552" s="3"/>
      <c r="AC1552" s="3"/>
      <c r="AD1552" s="3"/>
      <c r="AE1552" s="3"/>
      <c r="AF1552" s="3"/>
      <c r="AG1552" s="3"/>
    </row>
    <row r="1553">
      <c r="A1553" s="2">
        <v>2019.0</v>
      </c>
      <c r="B1553" s="1" t="s">
        <v>332</v>
      </c>
      <c r="D1553" s="5" t="s">
        <v>168</v>
      </c>
      <c r="F1553" s="5">
        <f>SUM(F1547:F1552)</f>
        <v>297192</v>
      </c>
      <c r="I1553" s="5">
        <f>SUM(I1547:I1552)</f>
        <v>2920061</v>
      </c>
      <c r="J1553" s="5">
        <f>SUM(J1551:J1552)</f>
        <v>10330</v>
      </c>
      <c r="K1553" s="5">
        <f t="shared" ref="K1553:L1553" si="353">SUM(K1547:K1552)</f>
        <v>3227583</v>
      </c>
      <c r="L1553" s="5">
        <f t="shared" si="353"/>
        <v>1013343</v>
      </c>
      <c r="N1553" s="5">
        <f>SUM(N1547:N1552)</f>
        <v>2214240</v>
      </c>
      <c r="P1553" s="3"/>
      <c r="Q1553" s="3"/>
      <c r="R1553" s="3"/>
      <c r="S1553" s="3"/>
      <c r="T1553" s="3"/>
      <c r="U1553" s="3"/>
      <c r="V1553" s="3"/>
      <c r="W1553" s="3"/>
      <c r="X1553" s="3"/>
      <c r="Y1553" s="3"/>
      <c r="Z1553" s="3"/>
      <c r="AA1553" s="3"/>
      <c r="AB1553" s="3"/>
      <c r="AC1553" s="3"/>
      <c r="AD1553" s="3"/>
      <c r="AE1553" s="3"/>
      <c r="AF1553" s="3"/>
      <c r="AG1553" s="3"/>
    </row>
    <row r="1554">
      <c r="A1554" s="2">
        <v>2019.0</v>
      </c>
      <c r="B1554" s="1" t="s">
        <v>332</v>
      </c>
      <c r="D1554" s="5" t="s">
        <v>168</v>
      </c>
      <c r="F1554" s="5">
        <v>9484.0</v>
      </c>
      <c r="I1554" s="5">
        <v>4065.0</v>
      </c>
      <c r="J1554" s="5">
        <v>4991.0</v>
      </c>
      <c r="K1554" s="5">
        <v>18540.0</v>
      </c>
      <c r="L1554" s="5">
        <v>18540.0</v>
      </c>
      <c r="N1554" s="5">
        <v>0.0</v>
      </c>
      <c r="P1554" s="3"/>
      <c r="Q1554" s="3"/>
      <c r="R1554" s="3"/>
      <c r="S1554" s="3"/>
      <c r="T1554" s="3"/>
      <c r="U1554" s="3"/>
      <c r="V1554" s="3"/>
      <c r="W1554" s="3"/>
      <c r="X1554" s="3"/>
      <c r="Y1554" s="3"/>
      <c r="Z1554" s="3"/>
      <c r="AA1554" s="3"/>
      <c r="AB1554" s="3"/>
      <c r="AC1554" s="3"/>
      <c r="AD1554" s="3"/>
      <c r="AE1554" s="3"/>
      <c r="AF1554" s="3"/>
      <c r="AG1554" s="3"/>
    </row>
    <row r="1555">
      <c r="A1555" s="2">
        <v>2019.0</v>
      </c>
      <c r="B1555" s="1" t="s">
        <v>332</v>
      </c>
      <c r="D1555" s="5" t="s">
        <v>168</v>
      </c>
      <c r="F1555" s="5">
        <v>42096.0</v>
      </c>
      <c r="I1555" s="5">
        <v>2000.0</v>
      </c>
      <c r="J1555" s="5">
        <v>640.0</v>
      </c>
      <c r="K1555" s="5">
        <v>44736.0</v>
      </c>
      <c r="L1555" s="5">
        <v>44736.0</v>
      </c>
      <c r="N1555" s="5">
        <v>0.0</v>
      </c>
      <c r="P1555" s="3"/>
      <c r="Q1555" s="3"/>
      <c r="R1555" s="3"/>
      <c r="S1555" s="3"/>
      <c r="T1555" s="3"/>
      <c r="U1555" s="3"/>
      <c r="V1555" s="3"/>
      <c r="W1555" s="3"/>
      <c r="X1555" s="3"/>
      <c r="Y1555" s="3"/>
      <c r="Z1555" s="3"/>
      <c r="AA1555" s="3"/>
      <c r="AB1555" s="3"/>
      <c r="AC1555" s="3"/>
      <c r="AD1555" s="3"/>
      <c r="AE1555" s="3"/>
      <c r="AF1555" s="3"/>
      <c r="AG1555" s="3"/>
    </row>
    <row r="1556">
      <c r="A1556" s="2">
        <v>2019.0</v>
      </c>
      <c r="B1556" s="1" t="s">
        <v>332</v>
      </c>
      <c r="D1556" s="5" t="s">
        <v>168</v>
      </c>
      <c r="F1556" s="5">
        <v>10746.0</v>
      </c>
      <c r="I1556" s="5">
        <v>434.0</v>
      </c>
      <c r="K1556" s="5">
        <v>11180.0</v>
      </c>
      <c r="L1556" s="5">
        <v>0.0</v>
      </c>
      <c r="N1556" s="5">
        <v>11180.0</v>
      </c>
      <c r="P1556" s="3"/>
      <c r="Q1556" s="3"/>
      <c r="R1556" s="3"/>
      <c r="S1556" s="3"/>
      <c r="T1556" s="3"/>
      <c r="U1556" s="3"/>
      <c r="V1556" s="3"/>
      <c r="W1556" s="3"/>
      <c r="X1556" s="3"/>
      <c r="Y1556" s="3"/>
      <c r="Z1556" s="3"/>
      <c r="AA1556" s="3"/>
      <c r="AB1556" s="3"/>
      <c r="AC1556" s="3"/>
      <c r="AD1556" s="3"/>
      <c r="AE1556" s="3"/>
      <c r="AF1556" s="3"/>
      <c r="AG1556" s="3"/>
    </row>
    <row r="1557">
      <c r="A1557" s="2">
        <v>2019.0</v>
      </c>
      <c r="B1557" s="1" t="s">
        <v>332</v>
      </c>
      <c r="D1557" s="5" t="s">
        <v>168</v>
      </c>
      <c r="F1557" s="5">
        <v>3928.0</v>
      </c>
      <c r="I1557" s="5">
        <v>159.0</v>
      </c>
      <c r="K1557" s="5">
        <v>4087.0</v>
      </c>
      <c r="L1557" s="5">
        <v>4087.0</v>
      </c>
      <c r="N1557" s="5">
        <v>0.0</v>
      </c>
      <c r="P1557" s="3"/>
      <c r="Q1557" s="3"/>
      <c r="R1557" s="3"/>
      <c r="S1557" s="3"/>
      <c r="T1557" s="3"/>
      <c r="U1557" s="3"/>
      <c r="V1557" s="3"/>
      <c r="W1557" s="3"/>
      <c r="X1557" s="3"/>
      <c r="Y1557" s="3"/>
      <c r="Z1557" s="3"/>
      <c r="AA1557" s="3"/>
      <c r="AB1557" s="3"/>
      <c r="AC1557" s="3"/>
      <c r="AD1557" s="3"/>
      <c r="AE1557" s="3"/>
      <c r="AF1557" s="3"/>
      <c r="AG1557" s="3"/>
    </row>
    <row r="1558">
      <c r="A1558" s="2">
        <v>2019.0</v>
      </c>
      <c r="B1558" s="1" t="s">
        <v>332</v>
      </c>
      <c r="D1558" s="5" t="s">
        <v>168</v>
      </c>
      <c r="F1558" s="5">
        <v>339431.0</v>
      </c>
      <c r="I1558" s="5">
        <v>679039.0</v>
      </c>
      <c r="J1558" s="5">
        <v>9398.0</v>
      </c>
      <c r="K1558" s="5">
        <v>1027868.0</v>
      </c>
      <c r="L1558" s="5">
        <v>652112.0</v>
      </c>
      <c r="N1558" s="5">
        <v>375756.0</v>
      </c>
      <c r="P1558" s="3"/>
      <c r="Q1558" s="3"/>
      <c r="R1558" s="3"/>
      <c r="S1558" s="3"/>
      <c r="T1558" s="3"/>
      <c r="U1558" s="3"/>
      <c r="V1558" s="3"/>
      <c r="W1558" s="3"/>
      <c r="X1558" s="3"/>
      <c r="Y1558" s="3"/>
      <c r="Z1558" s="3"/>
      <c r="AA1558" s="3"/>
      <c r="AB1558" s="3"/>
      <c r="AC1558" s="3"/>
      <c r="AD1558" s="3"/>
      <c r="AE1558" s="3"/>
      <c r="AF1558" s="3"/>
      <c r="AG1558" s="3"/>
    </row>
    <row r="1559">
      <c r="A1559" s="2">
        <v>2019.0</v>
      </c>
      <c r="B1559" s="1" t="s">
        <v>332</v>
      </c>
      <c r="D1559" s="5" t="s">
        <v>168</v>
      </c>
      <c r="F1559" s="5">
        <v>140557.0</v>
      </c>
      <c r="I1559" s="5">
        <v>909788.0</v>
      </c>
      <c r="J1559" s="5">
        <v>9569.0</v>
      </c>
      <c r="K1559" s="5">
        <v>1059914.0</v>
      </c>
      <c r="L1559" s="5">
        <v>797443.0</v>
      </c>
      <c r="N1559" s="5">
        <v>262471.0</v>
      </c>
      <c r="P1559" s="3"/>
      <c r="Q1559" s="3"/>
      <c r="R1559" s="3"/>
      <c r="S1559" s="3"/>
      <c r="T1559" s="3"/>
      <c r="U1559" s="3"/>
      <c r="V1559" s="3"/>
      <c r="W1559" s="3"/>
      <c r="X1559" s="3"/>
      <c r="Y1559" s="3"/>
      <c r="Z1559" s="3"/>
      <c r="AA1559" s="3"/>
      <c r="AB1559" s="3"/>
      <c r="AC1559" s="3"/>
      <c r="AD1559" s="3"/>
      <c r="AE1559" s="3"/>
      <c r="AF1559" s="3"/>
      <c r="AG1559" s="3"/>
    </row>
    <row r="1560">
      <c r="A1560" s="2">
        <v>2019.0</v>
      </c>
      <c r="B1560" s="1" t="s">
        <v>332</v>
      </c>
      <c r="D1560" s="5" t="s">
        <v>168</v>
      </c>
      <c r="F1560" s="5">
        <v>662730.0</v>
      </c>
      <c r="I1560" s="5">
        <v>1320000.0</v>
      </c>
      <c r="J1560" s="5">
        <v>13355.0</v>
      </c>
      <c r="K1560" s="5">
        <v>1996085.0</v>
      </c>
      <c r="L1560" s="5">
        <v>722508.0</v>
      </c>
      <c r="N1560" s="5">
        <v>1273577.0</v>
      </c>
      <c r="P1560" s="3"/>
      <c r="Q1560" s="3"/>
      <c r="R1560" s="3"/>
      <c r="S1560" s="3"/>
      <c r="T1560" s="3"/>
      <c r="U1560" s="3"/>
      <c r="V1560" s="3"/>
      <c r="W1560" s="3"/>
      <c r="X1560" s="3"/>
      <c r="Y1560" s="3"/>
      <c r="Z1560" s="3"/>
      <c r="AA1560" s="3"/>
      <c r="AB1560" s="3"/>
      <c r="AC1560" s="3"/>
      <c r="AD1560" s="3"/>
      <c r="AE1560" s="3"/>
      <c r="AF1560" s="3"/>
      <c r="AG1560" s="3"/>
    </row>
    <row r="1561">
      <c r="A1561" s="2">
        <v>2019.0</v>
      </c>
      <c r="B1561" s="1" t="s">
        <v>332</v>
      </c>
      <c r="D1561" s="5" t="s">
        <v>171</v>
      </c>
      <c r="F1561" s="5">
        <f>SUM(F1554:F1560)</f>
        <v>1208972</v>
      </c>
      <c r="I1561" s="5">
        <f t="shared" ref="I1561:L1561" si="354">SUM(I1554:I1560)</f>
        <v>2915485</v>
      </c>
      <c r="J1561" s="5">
        <f t="shared" si="354"/>
        <v>37953</v>
      </c>
      <c r="K1561" s="5">
        <f t="shared" si="354"/>
        <v>4162410</v>
      </c>
      <c r="L1561" s="5">
        <f t="shared" si="354"/>
        <v>2239426</v>
      </c>
      <c r="N1561" s="5">
        <f>SUM(N1554:N1560)</f>
        <v>1922984</v>
      </c>
      <c r="P1561" s="3"/>
      <c r="Q1561" s="3"/>
      <c r="R1561" s="3"/>
      <c r="S1561" s="3"/>
      <c r="T1561" s="3"/>
      <c r="U1561" s="3"/>
      <c r="V1561" s="3"/>
      <c r="W1561" s="3"/>
      <c r="X1561" s="3"/>
      <c r="Y1561" s="3"/>
      <c r="Z1561" s="3"/>
      <c r="AA1561" s="3"/>
      <c r="AB1561" s="3"/>
      <c r="AC1561" s="3"/>
      <c r="AD1561" s="3"/>
      <c r="AE1561" s="3"/>
      <c r="AF1561" s="3"/>
      <c r="AG1561" s="3"/>
    </row>
    <row r="1562">
      <c r="A1562" s="2">
        <v>2019.0</v>
      </c>
      <c r="B1562" s="1" t="s">
        <v>332</v>
      </c>
      <c r="D1562" s="5" t="s">
        <v>171</v>
      </c>
      <c r="F1562" s="5">
        <v>1593431.0</v>
      </c>
      <c r="I1562" s="5">
        <v>10000.0</v>
      </c>
      <c r="J1562" s="5">
        <v>56492.0</v>
      </c>
      <c r="K1562" s="5">
        <v>1659923.0</v>
      </c>
      <c r="L1562" s="5">
        <v>247106.0</v>
      </c>
      <c r="N1562" s="5">
        <v>1412817.0</v>
      </c>
      <c r="P1562" s="3"/>
      <c r="Q1562" s="3"/>
      <c r="R1562" s="3"/>
      <c r="S1562" s="3"/>
      <c r="T1562" s="3"/>
      <c r="U1562" s="3"/>
      <c r="V1562" s="3"/>
      <c r="W1562" s="3"/>
      <c r="X1562" s="3"/>
      <c r="Y1562" s="3"/>
      <c r="Z1562" s="3"/>
      <c r="AA1562" s="3"/>
      <c r="AB1562" s="3"/>
      <c r="AC1562" s="3"/>
      <c r="AD1562" s="3"/>
      <c r="AE1562" s="3"/>
      <c r="AF1562" s="3"/>
      <c r="AG1562" s="3"/>
    </row>
    <row r="1563">
      <c r="A1563" s="2">
        <v>2019.0</v>
      </c>
      <c r="B1563" s="1" t="s">
        <v>332</v>
      </c>
      <c r="D1563" s="5" t="s">
        <v>171</v>
      </c>
      <c r="F1563" s="5">
        <v>418062.0</v>
      </c>
      <c r="I1563" s="5">
        <v>373488.0</v>
      </c>
      <c r="J1563" s="5">
        <v>12318.0</v>
      </c>
      <c r="K1563" s="5">
        <v>803868.0</v>
      </c>
      <c r="L1563" s="5">
        <v>695196.0</v>
      </c>
      <c r="N1563" s="5">
        <v>108672.0</v>
      </c>
      <c r="P1563" s="3"/>
      <c r="Q1563" s="3"/>
      <c r="R1563" s="3"/>
      <c r="S1563" s="3"/>
      <c r="T1563" s="3"/>
      <c r="U1563" s="3"/>
      <c r="V1563" s="3"/>
      <c r="W1563" s="3"/>
      <c r="X1563" s="3"/>
      <c r="Y1563" s="3"/>
      <c r="Z1563" s="3"/>
      <c r="AA1563" s="3"/>
      <c r="AB1563" s="3"/>
      <c r="AC1563" s="3"/>
      <c r="AD1563" s="3"/>
      <c r="AE1563" s="3"/>
      <c r="AF1563" s="3"/>
      <c r="AG1563" s="3"/>
    </row>
    <row r="1564">
      <c r="A1564" s="2">
        <v>2019.0</v>
      </c>
      <c r="B1564" s="1" t="s">
        <v>332</v>
      </c>
      <c r="D1564" s="5" t="s">
        <v>171</v>
      </c>
      <c r="F1564" s="5">
        <v>6259.0</v>
      </c>
      <c r="I1564" s="5">
        <v>273.0</v>
      </c>
      <c r="K1564" s="5">
        <v>6532.0</v>
      </c>
      <c r="L1564" s="5">
        <v>0.0</v>
      </c>
      <c r="N1564" s="5">
        <v>6532.0</v>
      </c>
      <c r="P1564" s="3"/>
      <c r="Q1564" s="3"/>
      <c r="R1564" s="3"/>
      <c r="S1564" s="3"/>
      <c r="T1564" s="3"/>
      <c r="U1564" s="3"/>
      <c r="V1564" s="3"/>
      <c r="W1564" s="3"/>
      <c r="X1564" s="3"/>
      <c r="Y1564" s="3"/>
      <c r="Z1564" s="3"/>
      <c r="AA1564" s="3"/>
      <c r="AB1564" s="3"/>
      <c r="AC1564" s="3"/>
      <c r="AD1564" s="3"/>
      <c r="AE1564" s="3"/>
      <c r="AF1564" s="3"/>
      <c r="AG1564" s="3"/>
    </row>
    <row r="1565">
      <c r="A1565" s="2">
        <v>2019.0</v>
      </c>
      <c r="B1565" s="1" t="s">
        <v>332</v>
      </c>
      <c r="D1565" s="5" t="s">
        <v>171</v>
      </c>
      <c r="F1565" s="5">
        <v>158219.0</v>
      </c>
      <c r="I1565" s="5">
        <v>96330.0</v>
      </c>
      <c r="J1565" s="5">
        <v>6654.0</v>
      </c>
      <c r="K1565" s="5">
        <v>261203.0</v>
      </c>
      <c r="L1565" s="5">
        <v>97985.0</v>
      </c>
      <c r="N1565" s="5">
        <v>163218.0</v>
      </c>
      <c r="P1565" s="3"/>
      <c r="Q1565" s="3"/>
      <c r="R1565" s="3"/>
      <c r="S1565" s="3"/>
      <c r="T1565" s="3"/>
      <c r="U1565" s="3"/>
      <c r="V1565" s="3"/>
      <c r="W1565" s="3"/>
      <c r="X1565" s="3"/>
      <c r="Y1565" s="3"/>
      <c r="Z1565" s="3"/>
      <c r="AA1565" s="3"/>
      <c r="AB1565" s="3"/>
      <c r="AC1565" s="3"/>
      <c r="AD1565" s="3"/>
      <c r="AE1565" s="3"/>
      <c r="AF1565" s="3"/>
      <c r="AG1565" s="3"/>
    </row>
    <row r="1566">
      <c r="A1566" s="2">
        <v>2019.0</v>
      </c>
      <c r="B1566" s="1" t="s">
        <v>332</v>
      </c>
      <c r="D1566" s="5" t="s">
        <v>171</v>
      </c>
      <c r="F1566" s="5">
        <v>622794.0</v>
      </c>
      <c r="I1566" s="5">
        <v>2087300.0</v>
      </c>
      <c r="J1566" s="5">
        <v>24652.0</v>
      </c>
      <c r="K1566" s="5">
        <v>2734746.0</v>
      </c>
      <c r="L1566" s="5">
        <v>978796.0</v>
      </c>
      <c r="N1566" s="5">
        <v>1755950.0</v>
      </c>
      <c r="P1566" s="3"/>
      <c r="Q1566" s="3"/>
      <c r="R1566" s="3"/>
      <c r="S1566" s="3"/>
      <c r="T1566" s="3"/>
      <c r="U1566" s="3"/>
      <c r="V1566" s="3"/>
      <c r="W1566" s="3"/>
      <c r="X1566" s="3"/>
      <c r="Y1566" s="3"/>
      <c r="Z1566" s="3"/>
      <c r="AA1566" s="3"/>
      <c r="AB1566" s="3"/>
      <c r="AC1566" s="3"/>
      <c r="AD1566" s="3"/>
      <c r="AE1566" s="3"/>
      <c r="AF1566" s="3"/>
      <c r="AG1566" s="3"/>
    </row>
    <row r="1567">
      <c r="A1567" s="2">
        <v>2019.0</v>
      </c>
      <c r="B1567" s="1" t="s">
        <v>332</v>
      </c>
      <c r="D1567" s="5" t="s">
        <v>405</v>
      </c>
      <c r="F1567" s="5">
        <f>SUM(F1562:F1566)</f>
        <v>2798765</v>
      </c>
      <c r="I1567" s="5">
        <f t="shared" ref="I1567:L1567" si="355">SUM(I1562:I1566)</f>
        <v>2567391</v>
      </c>
      <c r="J1567" s="5">
        <f t="shared" si="355"/>
        <v>100116</v>
      </c>
      <c r="K1567" s="5">
        <f t="shared" si="355"/>
        <v>5466272</v>
      </c>
      <c r="L1567" s="5">
        <f t="shared" si="355"/>
        <v>2019083</v>
      </c>
      <c r="N1567" s="5">
        <f>SUM(N1562:N1566)</f>
        <v>3447189</v>
      </c>
      <c r="P1567" s="3"/>
      <c r="Q1567" s="3"/>
      <c r="R1567" s="3"/>
      <c r="S1567" s="3"/>
      <c r="T1567" s="3"/>
      <c r="U1567" s="3"/>
      <c r="V1567" s="3"/>
      <c r="W1567" s="3"/>
      <c r="X1567" s="3"/>
      <c r="Y1567" s="3"/>
      <c r="Z1567" s="3"/>
      <c r="AA1567" s="3"/>
      <c r="AB1567" s="3"/>
      <c r="AC1567" s="3"/>
      <c r="AD1567" s="3"/>
      <c r="AE1567" s="3"/>
      <c r="AF1567" s="3"/>
      <c r="AG1567" s="3"/>
    </row>
    <row r="1568">
      <c r="A1568" s="2">
        <v>2019.0</v>
      </c>
      <c r="B1568" s="1" t="s">
        <v>332</v>
      </c>
      <c r="D1568" s="5" t="s">
        <v>405</v>
      </c>
      <c r="F1568" s="5">
        <v>600562.0</v>
      </c>
      <c r="I1568" s="5">
        <v>1445865.0</v>
      </c>
      <c r="J1568" s="5">
        <v>9362.0</v>
      </c>
      <c r="K1568" s="5">
        <f t="shared" ref="K1568:K1570" si="356">SUM(F1568:J1568)</f>
        <v>2055789</v>
      </c>
      <c r="L1568" s="5">
        <v>1260195.0</v>
      </c>
      <c r="N1568" s="5">
        <f t="shared" ref="N1568:N1570" si="357">K1568-L1568</f>
        <v>795594</v>
      </c>
      <c r="P1568" s="3"/>
      <c r="Q1568" s="3"/>
      <c r="R1568" s="3"/>
      <c r="S1568" s="3"/>
      <c r="T1568" s="3"/>
      <c r="U1568" s="3"/>
      <c r="V1568" s="3"/>
      <c r="W1568" s="3"/>
      <c r="X1568" s="3"/>
      <c r="Y1568" s="3"/>
      <c r="Z1568" s="3"/>
      <c r="AA1568" s="3"/>
      <c r="AB1568" s="3"/>
      <c r="AC1568" s="3"/>
      <c r="AD1568" s="3"/>
      <c r="AE1568" s="3"/>
      <c r="AF1568" s="3"/>
      <c r="AG1568" s="3"/>
    </row>
    <row r="1569">
      <c r="A1569" s="2">
        <v>2019.0</v>
      </c>
      <c r="B1569" s="1" t="s">
        <v>332</v>
      </c>
      <c r="D1569" s="5" t="s">
        <v>405</v>
      </c>
      <c r="F1569" s="5">
        <v>31462.0</v>
      </c>
      <c r="I1569" s="5">
        <v>19550.0</v>
      </c>
      <c r="J1569" s="5">
        <v>1411.0</v>
      </c>
      <c r="K1569" s="5">
        <f t="shared" si="356"/>
        <v>52423</v>
      </c>
      <c r="L1569" s="5">
        <v>23758.0</v>
      </c>
      <c r="N1569" s="5">
        <f t="shared" si="357"/>
        <v>28665</v>
      </c>
      <c r="P1569" s="3"/>
      <c r="Q1569" s="3"/>
      <c r="R1569" s="3"/>
      <c r="S1569" s="3"/>
      <c r="T1569" s="3"/>
      <c r="U1569" s="3"/>
      <c r="V1569" s="3"/>
      <c r="W1569" s="3"/>
      <c r="X1569" s="3"/>
      <c r="Y1569" s="3"/>
      <c r="Z1569" s="3"/>
      <c r="AA1569" s="3"/>
      <c r="AB1569" s="3"/>
      <c r="AC1569" s="3"/>
      <c r="AD1569" s="3"/>
      <c r="AE1569" s="3"/>
      <c r="AF1569" s="3"/>
      <c r="AG1569" s="3"/>
    </row>
    <row r="1570">
      <c r="A1570" s="2">
        <v>2019.0</v>
      </c>
      <c r="B1570" s="1" t="s">
        <v>332</v>
      </c>
      <c r="D1570" s="5" t="s">
        <v>405</v>
      </c>
      <c r="F1570" s="5">
        <v>20190.0</v>
      </c>
      <c r="I1570" s="5">
        <v>0.0</v>
      </c>
      <c r="J1570" s="5">
        <v>814.0</v>
      </c>
      <c r="K1570" s="5">
        <f t="shared" si="356"/>
        <v>21004</v>
      </c>
      <c r="N1570" s="5">
        <f t="shared" si="357"/>
        <v>21004</v>
      </c>
      <c r="P1570" s="3"/>
      <c r="Q1570" s="3"/>
      <c r="R1570" s="3"/>
      <c r="S1570" s="3"/>
      <c r="T1570" s="3"/>
      <c r="U1570" s="3"/>
      <c r="V1570" s="3"/>
      <c r="W1570" s="3"/>
      <c r="X1570" s="3"/>
      <c r="Y1570" s="3"/>
      <c r="Z1570" s="3"/>
      <c r="AA1570" s="3"/>
      <c r="AB1570" s="3"/>
      <c r="AC1570" s="3"/>
      <c r="AD1570" s="3"/>
      <c r="AE1570" s="3"/>
      <c r="AF1570" s="3"/>
      <c r="AG1570" s="3"/>
    </row>
    <row r="1571">
      <c r="A1571" s="2">
        <v>2019.0</v>
      </c>
      <c r="B1571" s="1" t="s">
        <v>332</v>
      </c>
      <c r="D1571" s="5" t="s">
        <v>177</v>
      </c>
      <c r="F1571" s="5">
        <f>SUM(F1568:F1570)</f>
        <v>652214</v>
      </c>
      <c r="I1571" s="5">
        <f t="shared" ref="I1571:L1571" si="358">SUM(I1568:I1570)</f>
        <v>1465415</v>
      </c>
      <c r="J1571" s="5">
        <f t="shared" si="358"/>
        <v>11587</v>
      </c>
      <c r="K1571" s="5">
        <f t="shared" si="358"/>
        <v>2129216</v>
      </c>
      <c r="L1571" s="5">
        <f t="shared" si="358"/>
        <v>1283953</v>
      </c>
      <c r="N1571" s="5">
        <f>SUM(N1568:N1570)</f>
        <v>845263</v>
      </c>
      <c r="P1571" s="3"/>
      <c r="Q1571" s="3"/>
      <c r="R1571" s="3"/>
      <c r="S1571" s="3"/>
      <c r="T1571" s="3"/>
      <c r="U1571" s="3"/>
      <c r="V1571" s="3"/>
      <c r="W1571" s="3"/>
      <c r="X1571" s="3"/>
      <c r="Y1571" s="3"/>
      <c r="Z1571" s="3"/>
      <c r="AA1571" s="3"/>
      <c r="AB1571" s="3"/>
      <c r="AC1571" s="3"/>
      <c r="AD1571" s="3"/>
      <c r="AE1571" s="3"/>
      <c r="AF1571" s="3"/>
      <c r="AG1571" s="3"/>
    </row>
    <row r="1572">
      <c r="A1572" s="2">
        <v>2019.0</v>
      </c>
      <c r="B1572" s="1" t="s">
        <v>332</v>
      </c>
      <c r="D1572" s="5" t="s">
        <v>177</v>
      </c>
      <c r="F1572" s="5">
        <v>463133.0</v>
      </c>
      <c r="I1572" s="5">
        <v>1834469.0</v>
      </c>
      <c r="J1572" s="5">
        <v>5992.0</v>
      </c>
      <c r="K1572" s="5">
        <f t="shared" ref="K1572:K1573" si="359">SUM(F1572:J1572)</f>
        <v>2303594</v>
      </c>
      <c r="L1572" s="5">
        <v>972679.0</v>
      </c>
      <c r="N1572" s="5">
        <f t="shared" ref="N1572:N1573" si="360">K1572-L1572</f>
        <v>1330915</v>
      </c>
      <c r="P1572" s="3"/>
      <c r="Q1572" s="3"/>
      <c r="R1572" s="3"/>
      <c r="S1572" s="3"/>
      <c r="T1572" s="3"/>
      <c r="U1572" s="3"/>
      <c r="V1572" s="3"/>
      <c r="W1572" s="3"/>
      <c r="X1572" s="3"/>
      <c r="Y1572" s="3"/>
      <c r="Z1572" s="3"/>
      <c r="AA1572" s="3"/>
      <c r="AB1572" s="3"/>
      <c r="AC1572" s="3"/>
      <c r="AD1572" s="3"/>
      <c r="AE1572" s="3"/>
      <c r="AF1572" s="3"/>
      <c r="AG1572" s="3"/>
    </row>
    <row r="1573">
      <c r="A1573" s="2">
        <v>2019.0</v>
      </c>
      <c r="B1573" s="1" t="s">
        <v>332</v>
      </c>
      <c r="D1573" s="5" t="s">
        <v>177</v>
      </c>
      <c r="F1573" s="5">
        <v>38751.0</v>
      </c>
      <c r="I1573" s="5">
        <v>29295.0</v>
      </c>
      <c r="J1573" s="5">
        <v>1962.0</v>
      </c>
      <c r="K1573" s="5">
        <f t="shared" si="359"/>
        <v>70008</v>
      </c>
      <c r="L1573" s="5">
        <v>50000.0</v>
      </c>
      <c r="N1573" s="5">
        <f t="shared" si="360"/>
        <v>20008</v>
      </c>
      <c r="P1573" s="3"/>
      <c r="Q1573" s="3"/>
      <c r="R1573" s="3"/>
      <c r="S1573" s="3"/>
      <c r="T1573" s="3"/>
      <c r="U1573" s="3"/>
      <c r="V1573" s="3"/>
      <c r="W1573" s="3"/>
      <c r="X1573" s="3"/>
      <c r="Y1573" s="3"/>
      <c r="Z1573" s="3"/>
      <c r="AA1573" s="3"/>
      <c r="AB1573" s="3"/>
      <c r="AC1573" s="3"/>
      <c r="AD1573" s="3"/>
      <c r="AE1573" s="3"/>
      <c r="AF1573" s="3"/>
      <c r="AG1573" s="3"/>
    </row>
    <row r="1574">
      <c r="A1574" s="2">
        <v>2019.0</v>
      </c>
      <c r="B1574" s="1" t="s">
        <v>332</v>
      </c>
      <c r="D1574" s="5" t="s">
        <v>176</v>
      </c>
      <c r="F1574" s="5">
        <f>SUM(F1572:F1573)</f>
        <v>501884</v>
      </c>
      <c r="I1574" s="5">
        <f t="shared" ref="I1574:L1574" si="361">SUM(I1572:I1573)</f>
        <v>1863764</v>
      </c>
      <c r="J1574" s="5">
        <f t="shared" si="361"/>
        <v>7954</v>
      </c>
      <c r="K1574" s="5">
        <f t="shared" si="361"/>
        <v>2373602</v>
      </c>
      <c r="L1574" s="5">
        <f t="shared" si="361"/>
        <v>1022679</v>
      </c>
      <c r="N1574" s="5">
        <f>SUM(N1572:N1573)</f>
        <v>1350923</v>
      </c>
      <c r="P1574" s="3"/>
      <c r="Q1574" s="3"/>
      <c r="R1574" s="3"/>
      <c r="S1574" s="3"/>
      <c r="T1574" s="3"/>
      <c r="U1574" s="3"/>
      <c r="V1574" s="3"/>
      <c r="W1574" s="3"/>
      <c r="X1574" s="3"/>
      <c r="Y1574" s="3"/>
      <c r="Z1574" s="3"/>
      <c r="AA1574" s="3"/>
      <c r="AB1574" s="3"/>
      <c r="AC1574" s="3"/>
      <c r="AD1574" s="3"/>
      <c r="AE1574" s="3"/>
      <c r="AF1574" s="3"/>
      <c r="AG1574" s="3"/>
    </row>
    <row r="1575">
      <c r="A1575" s="2">
        <v>2019.0</v>
      </c>
      <c r="B1575" s="1" t="s">
        <v>332</v>
      </c>
      <c r="D1575" s="5" t="s">
        <v>176</v>
      </c>
      <c r="F1575" s="5">
        <v>29617.0</v>
      </c>
      <c r="I1575" s="5">
        <v>1130560.0</v>
      </c>
      <c r="J1575" s="5">
        <v>1409.0</v>
      </c>
      <c r="K1575" s="5">
        <f t="shared" ref="K1575:K1576" si="362">SUM(F1575:J1575)</f>
        <v>1161586</v>
      </c>
      <c r="L1575" s="5">
        <v>822327.0</v>
      </c>
      <c r="N1575" s="5">
        <f t="shared" ref="N1575:N1576" si="363">K1575-L1575</f>
        <v>339259</v>
      </c>
      <c r="P1575" s="3"/>
      <c r="Q1575" s="3"/>
      <c r="R1575" s="3"/>
      <c r="S1575" s="3"/>
      <c r="T1575" s="3"/>
      <c r="U1575" s="3"/>
      <c r="V1575" s="3"/>
      <c r="W1575" s="3"/>
      <c r="X1575" s="3"/>
      <c r="Y1575" s="3"/>
      <c r="Z1575" s="3"/>
      <c r="AA1575" s="3"/>
      <c r="AB1575" s="3"/>
      <c r="AC1575" s="3"/>
      <c r="AD1575" s="3"/>
      <c r="AE1575" s="3"/>
      <c r="AF1575" s="3"/>
      <c r="AG1575" s="3"/>
    </row>
    <row r="1576">
      <c r="A1576" s="2">
        <v>2019.0</v>
      </c>
      <c r="B1576" s="1" t="s">
        <v>332</v>
      </c>
      <c r="D1576" s="5" t="s">
        <v>176</v>
      </c>
      <c r="F1576" s="5">
        <v>27630.0</v>
      </c>
      <c r="I1576" s="5">
        <v>9416.0</v>
      </c>
      <c r="J1576" s="5">
        <v>0.0</v>
      </c>
      <c r="K1576" s="5">
        <f t="shared" si="362"/>
        <v>37046</v>
      </c>
      <c r="L1576" s="5">
        <v>32000.0</v>
      </c>
      <c r="N1576" s="5">
        <f t="shared" si="363"/>
        <v>5046</v>
      </c>
      <c r="P1576" s="3"/>
      <c r="Q1576" s="3"/>
      <c r="R1576" s="3"/>
      <c r="S1576" s="3"/>
      <c r="T1576" s="3"/>
      <c r="U1576" s="3"/>
      <c r="V1576" s="3"/>
      <c r="W1576" s="3"/>
      <c r="X1576" s="3"/>
      <c r="Y1576" s="3"/>
      <c r="Z1576" s="3"/>
      <c r="AA1576" s="3"/>
      <c r="AB1576" s="3"/>
      <c r="AC1576" s="3"/>
      <c r="AD1576" s="3"/>
      <c r="AE1576" s="3"/>
      <c r="AF1576" s="3"/>
      <c r="AG1576" s="3"/>
    </row>
    <row r="1577">
      <c r="A1577" s="2">
        <v>2019.0</v>
      </c>
      <c r="B1577" s="1" t="s">
        <v>332</v>
      </c>
      <c r="D1577" s="5" t="s">
        <v>184</v>
      </c>
      <c r="F1577" s="5">
        <f>SUM(F1575:F1576)</f>
        <v>57247</v>
      </c>
      <c r="I1577" s="5">
        <f t="shared" ref="I1577:L1577" si="364">SUM(I1575:I1576)</f>
        <v>1139976</v>
      </c>
      <c r="J1577" s="5">
        <f t="shared" si="364"/>
        <v>1409</v>
      </c>
      <c r="K1577" s="5">
        <f t="shared" si="364"/>
        <v>1198632</v>
      </c>
      <c r="L1577" s="5">
        <f t="shared" si="364"/>
        <v>854327</v>
      </c>
      <c r="N1577" s="5">
        <f>SUM(N1575:N1576)</f>
        <v>344305</v>
      </c>
      <c r="P1577" s="3"/>
      <c r="Q1577" s="3"/>
      <c r="R1577" s="3"/>
      <c r="S1577" s="3"/>
      <c r="T1577" s="3"/>
      <c r="U1577" s="3"/>
      <c r="V1577" s="3"/>
      <c r="W1577" s="3"/>
      <c r="X1577" s="3"/>
      <c r="Y1577" s="3"/>
      <c r="Z1577" s="3"/>
      <c r="AA1577" s="3"/>
      <c r="AB1577" s="3"/>
      <c r="AC1577" s="3"/>
      <c r="AD1577" s="3"/>
      <c r="AE1577" s="3"/>
      <c r="AF1577" s="3"/>
      <c r="AG1577" s="3"/>
    </row>
    <row r="1578">
      <c r="A1578" s="2">
        <v>2019.0</v>
      </c>
      <c r="B1578" s="1" t="s">
        <v>332</v>
      </c>
      <c r="D1578" s="5" t="s">
        <v>184</v>
      </c>
      <c r="F1578" s="5">
        <v>694737.0</v>
      </c>
      <c r="I1578" s="5">
        <v>2046100.0</v>
      </c>
      <c r="J1578" s="5">
        <v>16830.0</v>
      </c>
      <c r="K1578" s="5">
        <f t="shared" ref="K1578:K1581" si="365">SUM(F1578:J1578)</f>
        <v>2757667</v>
      </c>
      <c r="L1578" s="5">
        <v>1755290.0</v>
      </c>
      <c r="N1578" s="5">
        <f t="shared" ref="N1578:N1581" si="366">K1578-L1578</f>
        <v>1002377</v>
      </c>
      <c r="P1578" s="3"/>
      <c r="Q1578" s="3"/>
      <c r="R1578" s="3"/>
      <c r="S1578" s="3"/>
      <c r="T1578" s="3"/>
      <c r="U1578" s="3"/>
      <c r="V1578" s="3"/>
      <c r="W1578" s="3"/>
      <c r="X1578" s="3"/>
      <c r="Y1578" s="3"/>
      <c r="Z1578" s="3"/>
      <c r="AA1578" s="3"/>
      <c r="AB1578" s="3"/>
      <c r="AC1578" s="3"/>
      <c r="AD1578" s="3"/>
      <c r="AE1578" s="3"/>
      <c r="AF1578" s="3"/>
      <c r="AG1578" s="3"/>
    </row>
    <row r="1579">
      <c r="A1579" s="2">
        <v>2019.0</v>
      </c>
      <c r="B1579" s="1" t="s">
        <v>332</v>
      </c>
      <c r="D1579" s="5" t="s">
        <v>184</v>
      </c>
      <c r="F1579" s="5">
        <v>17428.0</v>
      </c>
      <c r="I1579" s="5">
        <v>0.0</v>
      </c>
      <c r="J1579" s="5">
        <v>0.0</v>
      </c>
      <c r="K1579" s="5">
        <f t="shared" si="365"/>
        <v>17428</v>
      </c>
      <c r="L1579" s="5">
        <v>0.0</v>
      </c>
      <c r="N1579" s="5">
        <f t="shared" si="366"/>
        <v>17428</v>
      </c>
      <c r="P1579" s="3"/>
      <c r="Q1579" s="3"/>
      <c r="R1579" s="3"/>
      <c r="S1579" s="3"/>
      <c r="T1579" s="3"/>
      <c r="U1579" s="3"/>
      <c r="V1579" s="3"/>
      <c r="W1579" s="3"/>
      <c r="X1579" s="3"/>
      <c r="Y1579" s="3"/>
      <c r="Z1579" s="3"/>
      <c r="AA1579" s="3"/>
      <c r="AB1579" s="3"/>
      <c r="AC1579" s="3"/>
      <c r="AD1579" s="3"/>
      <c r="AE1579" s="3"/>
      <c r="AF1579" s="3"/>
      <c r="AG1579" s="3"/>
    </row>
    <row r="1580">
      <c r="A1580" s="2">
        <v>2019.0</v>
      </c>
      <c r="B1580" s="1" t="s">
        <v>332</v>
      </c>
      <c r="D1580" s="5" t="s">
        <v>184</v>
      </c>
      <c r="F1580" s="5">
        <v>21043.0</v>
      </c>
      <c r="I1580" s="5">
        <v>12000.0</v>
      </c>
      <c r="J1580" s="5">
        <v>850.0</v>
      </c>
      <c r="K1580" s="5">
        <f t="shared" si="365"/>
        <v>33893</v>
      </c>
      <c r="L1580" s="5">
        <v>0.0</v>
      </c>
      <c r="N1580" s="5">
        <f t="shared" si="366"/>
        <v>33893</v>
      </c>
      <c r="P1580" s="3"/>
      <c r="Q1580" s="3"/>
      <c r="R1580" s="3"/>
      <c r="S1580" s="3"/>
      <c r="T1580" s="3"/>
      <c r="U1580" s="3"/>
      <c r="V1580" s="3"/>
      <c r="W1580" s="3"/>
      <c r="X1580" s="3"/>
      <c r="Y1580" s="3"/>
      <c r="Z1580" s="3"/>
      <c r="AA1580" s="3"/>
      <c r="AB1580" s="3"/>
      <c r="AC1580" s="3"/>
      <c r="AD1580" s="3"/>
      <c r="AE1580" s="3"/>
      <c r="AF1580" s="3"/>
      <c r="AG1580" s="3"/>
    </row>
    <row r="1581">
      <c r="A1581" s="2">
        <v>2019.0</v>
      </c>
      <c r="B1581" s="1" t="s">
        <v>332</v>
      </c>
      <c r="D1581" s="5" t="s">
        <v>184</v>
      </c>
      <c r="F1581" s="5">
        <v>41872.0</v>
      </c>
      <c r="I1581" s="5">
        <v>0.0</v>
      </c>
      <c r="J1581" s="5">
        <v>1691.0</v>
      </c>
      <c r="K1581" s="5">
        <f t="shared" si="365"/>
        <v>43563</v>
      </c>
      <c r="L1581" s="5">
        <v>0.0</v>
      </c>
      <c r="N1581" s="5">
        <f t="shared" si="366"/>
        <v>43563</v>
      </c>
      <c r="P1581" s="3"/>
      <c r="Q1581" s="3"/>
      <c r="R1581" s="3"/>
      <c r="S1581" s="3"/>
      <c r="T1581" s="3"/>
      <c r="U1581" s="3"/>
      <c r="V1581" s="3"/>
      <c r="W1581" s="3"/>
      <c r="X1581" s="3"/>
      <c r="Y1581" s="3"/>
      <c r="Z1581" s="3"/>
      <c r="AA1581" s="3"/>
      <c r="AB1581" s="3"/>
      <c r="AC1581" s="3"/>
      <c r="AD1581" s="3"/>
      <c r="AE1581" s="3"/>
      <c r="AF1581" s="3"/>
      <c r="AG1581" s="3"/>
    </row>
    <row r="1582">
      <c r="A1582" s="2">
        <v>2019.0</v>
      </c>
      <c r="B1582" s="1" t="s">
        <v>332</v>
      </c>
      <c r="D1582" s="5" t="s">
        <v>187</v>
      </c>
      <c r="F1582" s="5">
        <f>SUM(F1578:F1581)</f>
        <v>775080</v>
      </c>
      <c r="I1582" s="5">
        <f t="shared" ref="I1582:L1582" si="367">SUM(I1578:I1581)</f>
        <v>2058100</v>
      </c>
      <c r="J1582" s="5">
        <f t="shared" si="367"/>
        <v>19371</v>
      </c>
      <c r="K1582" s="5">
        <f t="shared" si="367"/>
        <v>2852551</v>
      </c>
      <c r="L1582" s="5">
        <f t="shared" si="367"/>
        <v>1755290</v>
      </c>
      <c r="N1582" s="5">
        <f>SUM(N1578:N1581)</f>
        <v>1097261</v>
      </c>
      <c r="P1582" s="3"/>
      <c r="Q1582" s="3"/>
      <c r="R1582" s="3"/>
      <c r="S1582" s="3"/>
      <c r="T1582" s="3"/>
      <c r="U1582" s="3"/>
      <c r="V1582" s="3"/>
      <c r="W1582" s="3"/>
      <c r="X1582" s="3"/>
      <c r="Y1582" s="3"/>
      <c r="Z1582" s="3"/>
      <c r="AA1582" s="3"/>
      <c r="AB1582" s="3"/>
      <c r="AC1582" s="3"/>
      <c r="AD1582" s="3"/>
      <c r="AE1582" s="3"/>
      <c r="AF1582" s="3"/>
      <c r="AG1582" s="3"/>
    </row>
    <row r="1583">
      <c r="A1583" s="2">
        <v>2019.0</v>
      </c>
      <c r="B1583" s="1" t="s">
        <v>332</v>
      </c>
      <c r="D1583" s="5" t="s">
        <v>187</v>
      </c>
      <c r="F1583" s="5">
        <v>1019547.0</v>
      </c>
      <c r="I1583" s="5">
        <v>2182674.0</v>
      </c>
      <c r="J1583" s="5">
        <v>14177.0</v>
      </c>
      <c r="K1583" s="5">
        <f t="shared" ref="K1583:K1584" si="368">SUM(F1583:J1583)</f>
        <v>3216398</v>
      </c>
      <c r="L1583" s="5">
        <v>1499645.0</v>
      </c>
      <c r="N1583" s="5">
        <f t="shared" ref="N1583:N1584" si="369">K1583-L1583</f>
        <v>1716753</v>
      </c>
      <c r="P1583" s="3"/>
      <c r="Q1583" s="3"/>
      <c r="R1583" s="3"/>
      <c r="S1583" s="3"/>
      <c r="T1583" s="3"/>
      <c r="U1583" s="3"/>
      <c r="V1583" s="3"/>
      <c r="W1583" s="3"/>
      <c r="X1583" s="3"/>
      <c r="Y1583" s="3"/>
      <c r="Z1583" s="3"/>
      <c r="AA1583" s="3"/>
      <c r="AB1583" s="3"/>
      <c r="AC1583" s="3"/>
      <c r="AD1583" s="3"/>
      <c r="AE1583" s="3"/>
      <c r="AF1583" s="3"/>
      <c r="AG1583" s="3"/>
    </row>
    <row r="1584">
      <c r="A1584" s="2">
        <v>2019.0</v>
      </c>
      <c r="B1584" s="1" t="s">
        <v>332</v>
      </c>
      <c r="D1584" s="5" t="s">
        <v>187</v>
      </c>
      <c r="F1584" s="5">
        <v>37995.0</v>
      </c>
      <c r="I1584" s="5">
        <v>9300.0</v>
      </c>
      <c r="J1584" s="5">
        <v>1031.0</v>
      </c>
      <c r="K1584" s="5">
        <f t="shared" si="368"/>
        <v>48326</v>
      </c>
      <c r="L1584" s="5">
        <v>36552.0</v>
      </c>
      <c r="N1584" s="5">
        <f t="shared" si="369"/>
        <v>11774</v>
      </c>
      <c r="P1584" s="3"/>
      <c r="Q1584" s="3"/>
      <c r="R1584" s="3"/>
      <c r="S1584" s="3"/>
      <c r="T1584" s="3"/>
      <c r="U1584" s="3"/>
      <c r="V1584" s="3"/>
      <c r="W1584" s="3"/>
      <c r="X1584" s="3"/>
      <c r="Y1584" s="3"/>
      <c r="Z1584" s="3"/>
      <c r="AA1584" s="3"/>
      <c r="AB1584" s="3"/>
      <c r="AC1584" s="3"/>
      <c r="AD1584" s="3"/>
      <c r="AE1584" s="3"/>
      <c r="AF1584" s="3"/>
      <c r="AG1584" s="3"/>
    </row>
    <row r="1585">
      <c r="A1585" s="2">
        <v>2019.0</v>
      </c>
      <c r="B1585" s="1" t="s">
        <v>332</v>
      </c>
      <c r="D1585" s="5" t="s">
        <v>193</v>
      </c>
      <c r="F1585" s="5">
        <f>SUM(F1583:F1584)</f>
        <v>1057542</v>
      </c>
      <c r="I1585" s="5">
        <f t="shared" ref="I1585:L1585" si="370">SUM(I1583:I1584)</f>
        <v>2191974</v>
      </c>
      <c r="J1585" s="5">
        <f t="shared" si="370"/>
        <v>15208</v>
      </c>
      <c r="K1585" s="5">
        <f t="shared" si="370"/>
        <v>3264724</v>
      </c>
      <c r="L1585" s="5">
        <f t="shared" si="370"/>
        <v>1536197</v>
      </c>
      <c r="N1585" s="5">
        <f>SUM(N1583:N1584)</f>
        <v>1728527</v>
      </c>
      <c r="P1585" s="3"/>
      <c r="Q1585" s="3"/>
      <c r="R1585" s="3"/>
      <c r="S1585" s="3"/>
      <c r="T1585" s="3"/>
      <c r="U1585" s="3"/>
      <c r="V1585" s="3"/>
      <c r="W1585" s="3"/>
      <c r="X1585" s="3"/>
      <c r="Y1585" s="3"/>
      <c r="Z1585" s="3"/>
      <c r="AA1585" s="3"/>
      <c r="AB1585" s="3"/>
      <c r="AC1585" s="3"/>
      <c r="AD1585" s="3"/>
      <c r="AE1585" s="3"/>
      <c r="AF1585" s="3"/>
      <c r="AG1585" s="3"/>
    </row>
    <row r="1586">
      <c r="A1586" s="2">
        <v>2019.0</v>
      </c>
      <c r="B1586" s="1" t="s">
        <v>332</v>
      </c>
      <c r="D1586" s="5" t="s">
        <v>193</v>
      </c>
      <c r="F1586" s="5">
        <v>294244.0</v>
      </c>
      <c r="I1586" s="5">
        <v>596569.0</v>
      </c>
      <c r="J1586" s="5">
        <v>7381.0</v>
      </c>
      <c r="K1586" s="5">
        <f t="shared" ref="K1586:K1588" si="371">SUM(F1586:J1586)</f>
        <v>898194</v>
      </c>
      <c r="L1586" s="5">
        <v>843683.0</v>
      </c>
      <c r="N1586" s="5">
        <f t="shared" ref="N1586:N1588" si="372">K1586-L1586</f>
        <v>54511</v>
      </c>
      <c r="P1586" s="3"/>
      <c r="Q1586" s="3"/>
      <c r="R1586" s="3"/>
      <c r="S1586" s="3"/>
      <c r="T1586" s="3"/>
      <c r="U1586" s="3"/>
      <c r="V1586" s="3"/>
      <c r="W1586" s="3"/>
      <c r="X1586" s="3"/>
      <c r="Y1586" s="3"/>
      <c r="Z1586" s="3"/>
      <c r="AA1586" s="3"/>
      <c r="AB1586" s="3"/>
      <c r="AC1586" s="3"/>
      <c r="AD1586" s="3"/>
      <c r="AE1586" s="3"/>
      <c r="AF1586" s="3"/>
      <c r="AG1586" s="3"/>
    </row>
    <row r="1587">
      <c r="A1587" s="2">
        <v>2019.0</v>
      </c>
      <c r="B1587" s="1" t="s">
        <v>332</v>
      </c>
      <c r="D1587" s="5" t="s">
        <v>193</v>
      </c>
      <c r="F1587" s="5">
        <v>1581.0</v>
      </c>
      <c r="I1587" s="5">
        <v>373566.0</v>
      </c>
      <c r="J1587" s="5">
        <v>1404.0</v>
      </c>
      <c r="K1587" s="5">
        <f t="shared" si="371"/>
        <v>376551</v>
      </c>
      <c r="L1587" s="5">
        <v>373360.0</v>
      </c>
      <c r="N1587" s="5">
        <f t="shared" si="372"/>
        <v>3191</v>
      </c>
      <c r="P1587" s="3"/>
      <c r="Q1587" s="3"/>
      <c r="R1587" s="3"/>
      <c r="S1587" s="3"/>
      <c r="T1587" s="3"/>
      <c r="U1587" s="3"/>
      <c r="V1587" s="3"/>
      <c r="W1587" s="3"/>
      <c r="X1587" s="3"/>
      <c r="Y1587" s="3"/>
      <c r="Z1587" s="3"/>
      <c r="AA1587" s="3"/>
      <c r="AB1587" s="3"/>
      <c r="AC1587" s="3"/>
      <c r="AD1587" s="3"/>
      <c r="AE1587" s="3"/>
      <c r="AF1587" s="3"/>
      <c r="AG1587" s="3"/>
    </row>
    <row r="1588">
      <c r="A1588" s="2">
        <v>2019.0</v>
      </c>
      <c r="B1588" s="1" t="s">
        <v>332</v>
      </c>
      <c r="D1588" s="5" t="s">
        <v>193</v>
      </c>
      <c r="F1588" s="5">
        <v>108562.0</v>
      </c>
      <c r="I1588" s="5">
        <v>61970.0</v>
      </c>
      <c r="J1588" s="5">
        <v>5268.0</v>
      </c>
      <c r="K1588" s="5">
        <f t="shared" si="371"/>
        <v>175800</v>
      </c>
      <c r="L1588" s="5">
        <v>39160.0</v>
      </c>
      <c r="N1588" s="5">
        <f t="shared" si="372"/>
        <v>136640</v>
      </c>
      <c r="P1588" s="3"/>
      <c r="Q1588" s="3"/>
      <c r="R1588" s="3"/>
      <c r="S1588" s="3"/>
      <c r="T1588" s="3"/>
      <c r="U1588" s="3"/>
      <c r="V1588" s="3"/>
      <c r="W1588" s="3"/>
      <c r="X1588" s="3"/>
      <c r="Y1588" s="3"/>
      <c r="Z1588" s="3"/>
      <c r="AA1588" s="3"/>
      <c r="AB1588" s="3"/>
      <c r="AC1588" s="3"/>
      <c r="AD1588" s="3"/>
      <c r="AE1588" s="3"/>
      <c r="AF1588" s="3"/>
      <c r="AG1588" s="3"/>
    </row>
    <row r="1589">
      <c r="A1589" s="2">
        <v>2019.0</v>
      </c>
      <c r="B1589" s="1" t="s">
        <v>332</v>
      </c>
      <c r="D1589" s="5" t="s">
        <v>309</v>
      </c>
      <c r="F1589" s="5">
        <f>SUM(F1586:F1588)</f>
        <v>404387</v>
      </c>
      <c r="I1589" s="5">
        <f t="shared" ref="I1589:L1589" si="373">SUM(I1586:I1588)</f>
        <v>1032105</v>
      </c>
      <c r="J1589" s="5">
        <f t="shared" si="373"/>
        <v>14053</v>
      </c>
      <c r="K1589" s="5">
        <f t="shared" si="373"/>
        <v>1450545</v>
      </c>
      <c r="L1589" s="5">
        <f t="shared" si="373"/>
        <v>1256203</v>
      </c>
      <c r="N1589" s="5">
        <f>SUM(N1586:N1588)</f>
        <v>194342</v>
      </c>
      <c r="P1589" s="3"/>
      <c r="Q1589" s="3"/>
      <c r="R1589" s="3"/>
      <c r="S1589" s="3"/>
      <c r="T1589" s="3"/>
      <c r="U1589" s="3"/>
      <c r="V1589" s="3"/>
      <c r="W1589" s="3"/>
      <c r="X1589" s="3"/>
      <c r="Y1589" s="3"/>
      <c r="Z1589" s="3"/>
      <c r="AA1589" s="3"/>
      <c r="AB1589" s="3"/>
      <c r="AC1589" s="3"/>
      <c r="AD1589" s="3"/>
      <c r="AE1589" s="3"/>
      <c r="AF1589" s="3"/>
      <c r="AG1589" s="3"/>
    </row>
    <row r="1590">
      <c r="A1590" s="2">
        <v>2019.0</v>
      </c>
      <c r="B1590" s="1" t="s">
        <v>332</v>
      </c>
      <c r="D1590" s="5" t="s">
        <v>309</v>
      </c>
      <c r="F1590" s="5">
        <v>16109.0</v>
      </c>
      <c r="I1590" s="5">
        <v>115200.0</v>
      </c>
      <c r="J1590" s="5">
        <v>296.0</v>
      </c>
      <c r="K1590" s="5">
        <f t="shared" ref="K1590:K1592" si="374">SUM(F1590:J1590)</f>
        <v>131605</v>
      </c>
      <c r="L1590" s="5">
        <v>13420.0</v>
      </c>
      <c r="N1590" s="5">
        <f t="shared" ref="N1590:N1592" si="375">K1590-L1590</f>
        <v>118185</v>
      </c>
      <c r="P1590" s="3"/>
      <c r="Q1590" s="3"/>
      <c r="R1590" s="3"/>
      <c r="S1590" s="3"/>
      <c r="T1590" s="3"/>
      <c r="U1590" s="3"/>
      <c r="V1590" s="3"/>
      <c r="W1590" s="3"/>
      <c r="X1590" s="3"/>
      <c r="Y1590" s="3"/>
      <c r="Z1590" s="3"/>
      <c r="AA1590" s="3"/>
      <c r="AB1590" s="3"/>
      <c r="AC1590" s="3"/>
      <c r="AD1590" s="3"/>
      <c r="AE1590" s="3"/>
      <c r="AF1590" s="3"/>
      <c r="AG1590" s="3"/>
    </row>
    <row r="1591">
      <c r="A1591" s="2">
        <v>2019.0</v>
      </c>
      <c r="B1591" s="1" t="s">
        <v>332</v>
      </c>
      <c r="D1591" s="5" t="s">
        <v>309</v>
      </c>
      <c r="F1591" s="5">
        <v>38412.0</v>
      </c>
      <c r="I1591" s="5">
        <v>951627.0</v>
      </c>
      <c r="J1591" s="5">
        <v>5051.0</v>
      </c>
      <c r="K1591" s="5">
        <f t="shared" si="374"/>
        <v>995090</v>
      </c>
      <c r="L1591" s="5">
        <v>84000.0</v>
      </c>
      <c r="N1591" s="5">
        <f t="shared" si="375"/>
        <v>911090</v>
      </c>
      <c r="P1591" s="3"/>
      <c r="Q1591" s="3"/>
      <c r="R1591" s="3"/>
      <c r="S1591" s="3"/>
      <c r="T1591" s="3"/>
      <c r="U1591" s="3"/>
      <c r="V1591" s="3"/>
      <c r="W1591" s="3"/>
      <c r="X1591" s="3"/>
      <c r="Y1591" s="3"/>
      <c r="Z1591" s="3"/>
      <c r="AA1591" s="3"/>
      <c r="AB1591" s="3"/>
      <c r="AC1591" s="3"/>
      <c r="AD1591" s="3"/>
      <c r="AE1591" s="3"/>
      <c r="AF1591" s="3"/>
      <c r="AG1591" s="3"/>
    </row>
    <row r="1592">
      <c r="A1592" s="2">
        <v>2019.0</v>
      </c>
      <c r="B1592" s="1" t="s">
        <v>332</v>
      </c>
      <c r="D1592" s="5" t="s">
        <v>309</v>
      </c>
      <c r="F1592" s="5">
        <v>86879.0</v>
      </c>
      <c r="I1592" s="5">
        <v>114900.0</v>
      </c>
      <c r="J1592" s="5">
        <v>1771.0</v>
      </c>
      <c r="K1592" s="5">
        <f t="shared" si="374"/>
        <v>203550</v>
      </c>
      <c r="L1592" s="5">
        <v>197998.0</v>
      </c>
      <c r="N1592" s="5">
        <f t="shared" si="375"/>
        <v>5552</v>
      </c>
      <c r="P1592" s="3"/>
      <c r="Q1592" s="3"/>
      <c r="R1592" s="3"/>
      <c r="S1592" s="3"/>
      <c r="T1592" s="3"/>
      <c r="U1592" s="3"/>
      <c r="V1592" s="3"/>
      <c r="W1592" s="3"/>
      <c r="X1592" s="3"/>
      <c r="Y1592" s="3"/>
      <c r="Z1592" s="3"/>
      <c r="AA1592" s="3"/>
      <c r="AB1592" s="3"/>
      <c r="AC1592" s="3"/>
      <c r="AD1592" s="3"/>
      <c r="AE1592" s="3"/>
      <c r="AF1592" s="3"/>
      <c r="AG1592" s="3"/>
    </row>
    <row r="1593">
      <c r="A1593" s="2">
        <v>2019.0</v>
      </c>
      <c r="B1593" s="1" t="s">
        <v>332</v>
      </c>
      <c r="D1593" s="5" t="s">
        <v>312</v>
      </c>
      <c r="F1593" s="5">
        <f>SUM(F1590:F1592)</f>
        <v>141400</v>
      </c>
      <c r="I1593" s="5">
        <f t="shared" ref="I1593:L1593" si="376">SUM(I1590:I1592)</f>
        <v>1181727</v>
      </c>
      <c r="J1593" s="5">
        <f t="shared" si="376"/>
        <v>7118</v>
      </c>
      <c r="K1593" s="5">
        <f t="shared" si="376"/>
        <v>1330245</v>
      </c>
      <c r="L1593" s="5">
        <f t="shared" si="376"/>
        <v>295418</v>
      </c>
      <c r="N1593" s="5">
        <f>SUM(N1590:N1592)</f>
        <v>1034827</v>
      </c>
      <c r="P1593" s="3"/>
      <c r="Q1593" s="3"/>
      <c r="R1593" s="3"/>
      <c r="S1593" s="3"/>
      <c r="T1593" s="3"/>
      <c r="U1593" s="3"/>
      <c r="V1593" s="3"/>
      <c r="W1593" s="3"/>
      <c r="X1593" s="3"/>
      <c r="Y1593" s="3"/>
      <c r="Z1593" s="3"/>
      <c r="AA1593" s="3"/>
      <c r="AB1593" s="3"/>
      <c r="AC1593" s="3"/>
      <c r="AD1593" s="3"/>
      <c r="AE1593" s="3"/>
      <c r="AF1593" s="3"/>
      <c r="AG1593" s="3"/>
    </row>
    <row r="1594">
      <c r="A1594" s="2">
        <v>2019.0</v>
      </c>
      <c r="B1594" s="1" t="s">
        <v>332</v>
      </c>
      <c r="D1594" s="5" t="s">
        <v>312</v>
      </c>
      <c r="F1594" s="5">
        <v>35054.0</v>
      </c>
      <c r="I1594" s="5">
        <v>40223.0</v>
      </c>
      <c r="J1594" s="5">
        <v>1536.0</v>
      </c>
      <c r="K1594" s="5">
        <f t="shared" ref="K1594:K1596" si="377">SUM(F1594:J1594)</f>
        <v>76813</v>
      </c>
      <c r="L1594" s="5">
        <v>45844.0</v>
      </c>
      <c r="N1594" s="5">
        <f t="shared" ref="N1594:N1596" si="378">K1594-L1594</f>
        <v>30969</v>
      </c>
      <c r="P1594" s="3"/>
      <c r="Q1594" s="3"/>
      <c r="R1594" s="3"/>
      <c r="S1594" s="3"/>
      <c r="T1594" s="3"/>
      <c r="U1594" s="3"/>
      <c r="V1594" s="3"/>
      <c r="W1594" s="3"/>
      <c r="X1594" s="3"/>
      <c r="Y1594" s="3"/>
      <c r="Z1594" s="3"/>
      <c r="AA1594" s="3"/>
      <c r="AB1594" s="3"/>
      <c r="AC1594" s="3"/>
      <c r="AD1594" s="3"/>
      <c r="AE1594" s="3"/>
      <c r="AF1594" s="3"/>
      <c r="AG1594" s="3"/>
    </row>
    <row r="1595">
      <c r="A1595" s="2">
        <v>2019.0</v>
      </c>
      <c r="B1595" s="1" t="s">
        <v>332</v>
      </c>
      <c r="D1595" s="5" t="s">
        <v>312</v>
      </c>
      <c r="F1595" s="5">
        <v>447111.0</v>
      </c>
      <c r="I1595" s="5">
        <v>1543629.0</v>
      </c>
      <c r="J1595" s="5">
        <v>14477.0</v>
      </c>
      <c r="K1595" s="5">
        <f t="shared" si="377"/>
        <v>2005217</v>
      </c>
      <c r="L1595" s="5">
        <v>223507.0</v>
      </c>
      <c r="N1595" s="5">
        <f t="shared" si="378"/>
        <v>1781710</v>
      </c>
      <c r="P1595" s="3"/>
      <c r="Q1595" s="3"/>
      <c r="R1595" s="3"/>
      <c r="S1595" s="3"/>
      <c r="T1595" s="3"/>
      <c r="U1595" s="3"/>
      <c r="V1595" s="3"/>
      <c r="W1595" s="3"/>
      <c r="X1595" s="3"/>
      <c r="Y1595" s="3"/>
      <c r="Z1595" s="3"/>
      <c r="AA1595" s="3"/>
      <c r="AB1595" s="3"/>
      <c r="AC1595" s="3"/>
      <c r="AD1595" s="3"/>
      <c r="AE1595" s="3"/>
      <c r="AF1595" s="3"/>
      <c r="AG1595" s="3"/>
    </row>
    <row r="1596">
      <c r="A1596" s="2">
        <v>2019.0</v>
      </c>
      <c r="B1596" s="1" t="s">
        <v>332</v>
      </c>
      <c r="D1596" s="5" t="s">
        <v>312</v>
      </c>
      <c r="F1596" s="5">
        <v>80699.0</v>
      </c>
      <c r="I1596" s="5">
        <v>332432.0</v>
      </c>
      <c r="J1596" s="5">
        <v>4914.0</v>
      </c>
      <c r="K1596" s="5">
        <f t="shared" si="377"/>
        <v>418045</v>
      </c>
      <c r="L1596" s="5">
        <v>255927.0</v>
      </c>
      <c r="N1596" s="5">
        <f t="shared" si="378"/>
        <v>162118</v>
      </c>
      <c r="P1596" s="3"/>
      <c r="Q1596" s="3"/>
      <c r="R1596" s="3"/>
      <c r="S1596" s="3"/>
      <c r="T1596" s="3"/>
      <c r="U1596" s="3"/>
      <c r="V1596" s="3"/>
      <c r="W1596" s="3"/>
      <c r="X1596" s="3"/>
      <c r="Y1596" s="3"/>
      <c r="Z1596" s="3"/>
      <c r="AA1596" s="3"/>
      <c r="AB1596" s="3"/>
      <c r="AC1596" s="3"/>
      <c r="AD1596" s="3"/>
      <c r="AE1596" s="3"/>
      <c r="AF1596" s="3"/>
      <c r="AG1596" s="3"/>
    </row>
    <row r="1597">
      <c r="A1597" s="2">
        <v>2019.0</v>
      </c>
      <c r="B1597" s="1" t="s">
        <v>332</v>
      </c>
      <c r="D1597" s="5" t="s">
        <v>408</v>
      </c>
      <c r="F1597" s="5">
        <f>SUM(F1594:F1596)</f>
        <v>562864</v>
      </c>
      <c r="I1597" s="5">
        <f t="shared" ref="I1597:L1597" si="379">SUM(I1594:I1596)</f>
        <v>1916284</v>
      </c>
      <c r="J1597" s="5">
        <f t="shared" si="379"/>
        <v>20927</v>
      </c>
      <c r="K1597" s="5">
        <f t="shared" si="379"/>
        <v>2500075</v>
      </c>
      <c r="L1597" s="5">
        <f t="shared" si="379"/>
        <v>525278</v>
      </c>
      <c r="N1597" s="5">
        <f>SUM(N1594:N1596)</f>
        <v>1974797</v>
      </c>
      <c r="P1597" s="3"/>
      <c r="Q1597" s="3"/>
      <c r="R1597" s="3"/>
      <c r="S1597" s="3"/>
      <c r="T1597" s="3"/>
      <c r="U1597" s="3"/>
      <c r="V1597" s="3"/>
      <c r="W1597" s="3"/>
      <c r="X1597" s="3"/>
      <c r="Y1597" s="3"/>
      <c r="Z1597" s="3"/>
      <c r="AA1597" s="3"/>
      <c r="AB1597" s="3"/>
      <c r="AC1597" s="3"/>
      <c r="AD1597" s="3"/>
      <c r="AE1597" s="3"/>
      <c r="AF1597" s="3"/>
      <c r="AG1597" s="3"/>
    </row>
    <row r="1598">
      <c r="A1598" s="2">
        <v>2019.0</v>
      </c>
      <c r="B1598" s="1" t="s">
        <v>332</v>
      </c>
      <c r="D1598" s="5" t="s">
        <v>408</v>
      </c>
      <c r="F1598" s="5">
        <v>294244.0</v>
      </c>
      <c r="I1598" s="5">
        <v>596569.0</v>
      </c>
      <c r="J1598" s="5">
        <v>7381.0</v>
      </c>
      <c r="K1598" s="5">
        <f t="shared" ref="K1598:K1600" si="380">SUM(F1598:J1598)</f>
        <v>898194</v>
      </c>
      <c r="L1598" s="5">
        <v>843683.0</v>
      </c>
      <c r="N1598" s="5">
        <f t="shared" ref="N1598:N1600" si="381">K1598-L1598</f>
        <v>54511</v>
      </c>
      <c r="P1598" s="3"/>
      <c r="Q1598" s="3"/>
      <c r="R1598" s="3"/>
      <c r="S1598" s="3"/>
      <c r="T1598" s="3"/>
      <c r="U1598" s="3"/>
      <c r="V1598" s="3"/>
      <c r="W1598" s="3"/>
      <c r="X1598" s="3"/>
      <c r="Y1598" s="3"/>
      <c r="Z1598" s="3"/>
      <c r="AA1598" s="3"/>
      <c r="AB1598" s="3"/>
      <c r="AC1598" s="3"/>
      <c r="AD1598" s="3"/>
      <c r="AE1598" s="3"/>
      <c r="AF1598" s="3"/>
      <c r="AG1598" s="3"/>
    </row>
    <row r="1599">
      <c r="A1599" s="2">
        <v>2019.0</v>
      </c>
      <c r="B1599" s="1" t="s">
        <v>332</v>
      </c>
      <c r="D1599" s="5" t="s">
        <v>408</v>
      </c>
      <c r="F1599" s="5">
        <v>1581.0</v>
      </c>
      <c r="I1599" s="5">
        <v>373566.0</v>
      </c>
      <c r="J1599" s="5">
        <v>1404.0</v>
      </c>
      <c r="K1599" s="5">
        <f t="shared" si="380"/>
        <v>376551</v>
      </c>
      <c r="L1599" s="5">
        <v>373360.0</v>
      </c>
      <c r="N1599" s="5">
        <f t="shared" si="381"/>
        <v>3191</v>
      </c>
      <c r="P1599" s="3"/>
      <c r="Q1599" s="3"/>
      <c r="R1599" s="3"/>
      <c r="S1599" s="3"/>
      <c r="T1599" s="3"/>
      <c r="U1599" s="3"/>
      <c r="V1599" s="3"/>
      <c r="W1599" s="3"/>
      <c r="X1599" s="3"/>
      <c r="Y1599" s="3"/>
      <c r="Z1599" s="3"/>
      <c r="AA1599" s="3"/>
      <c r="AB1599" s="3"/>
      <c r="AC1599" s="3"/>
      <c r="AD1599" s="3"/>
      <c r="AE1599" s="3"/>
      <c r="AF1599" s="3"/>
      <c r="AG1599" s="3"/>
    </row>
    <row r="1600">
      <c r="A1600" s="2">
        <v>2019.0</v>
      </c>
      <c r="B1600" s="1" t="s">
        <v>332</v>
      </c>
      <c r="D1600" s="5" t="s">
        <v>408</v>
      </c>
      <c r="F1600" s="5">
        <v>108562.0</v>
      </c>
      <c r="I1600" s="5">
        <v>61970.0</v>
      </c>
      <c r="J1600" s="5">
        <v>5268.0</v>
      </c>
      <c r="K1600" s="5">
        <f t="shared" si="380"/>
        <v>175800</v>
      </c>
      <c r="L1600" s="5">
        <v>39160.0</v>
      </c>
      <c r="N1600" s="5">
        <f t="shared" si="381"/>
        <v>136640</v>
      </c>
      <c r="P1600" s="3"/>
      <c r="Q1600" s="3"/>
      <c r="R1600" s="3"/>
      <c r="S1600" s="3"/>
      <c r="T1600" s="3"/>
      <c r="U1600" s="3"/>
      <c r="V1600" s="3"/>
      <c r="W1600" s="3"/>
      <c r="X1600" s="3"/>
      <c r="Y1600" s="3"/>
      <c r="Z1600" s="3"/>
      <c r="AA1600" s="3"/>
      <c r="AB1600" s="3"/>
      <c r="AC1600" s="3"/>
      <c r="AD1600" s="3"/>
      <c r="AE1600" s="3"/>
      <c r="AF1600" s="3"/>
      <c r="AG1600" s="3"/>
    </row>
    <row r="1601">
      <c r="A1601" s="2">
        <v>2019.0</v>
      </c>
      <c r="B1601" s="1" t="s">
        <v>332</v>
      </c>
      <c r="D1601" s="5" t="s">
        <v>411</v>
      </c>
      <c r="F1601" s="5">
        <f>SUM(F1598:F1600)</f>
        <v>404387</v>
      </c>
      <c r="I1601" s="5">
        <f t="shared" ref="I1601:L1601" si="382">SUM(I1598:I1600)</f>
        <v>1032105</v>
      </c>
      <c r="J1601" s="5">
        <f t="shared" si="382"/>
        <v>14053</v>
      </c>
      <c r="K1601" s="5">
        <f t="shared" si="382"/>
        <v>1450545</v>
      </c>
      <c r="L1601" s="5">
        <f t="shared" si="382"/>
        <v>1256203</v>
      </c>
      <c r="N1601" s="5">
        <f>SUM(N1598:N1600)</f>
        <v>194342</v>
      </c>
      <c r="P1601" s="3"/>
      <c r="Q1601" s="3"/>
      <c r="R1601" s="3"/>
      <c r="S1601" s="3"/>
      <c r="T1601" s="3"/>
      <c r="U1601" s="3"/>
      <c r="V1601" s="3"/>
      <c r="W1601" s="3"/>
      <c r="X1601" s="3"/>
      <c r="Y1601" s="3"/>
      <c r="Z1601" s="3"/>
      <c r="AA1601" s="3"/>
      <c r="AB1601" s="3"/>
      <c r="AC1601" s="3"/>
      <c r="AD1601" s="3"/>
      <c r="AE1601" s="3"/>
      <c r="AF1601" s="3"/>
      <c r="AG1601" s="3"/>
    </row>
    <row r="1602">
      <c r="A1602" s="2">
        <v>2019.0</v>
      </c>
      <c r="B1602" s="1" t="s">
        <v>332</v>
      </c>
      <c r="D1602" s="5" t="s">
        <v>411</v>
      </c>
      <c r="F1602" s="5">
        <v>150914.0</v>
      </c>
      <c r="I1602" s="5">
        <v>13714.0</v>
      </c>
      <c r="J1602" s="5">
        <v>1345.0</v>
      </c>
      <c r="K1602" s="5">
        <f t="shared" ref="K1602:K1606" si="383">SUM(F1602:J1602)</f>
        <v>165973</v>
      </c>
      <c r="L1602" s="5">
        <v>148020.0</v>
      </c>
      <c r="N1602" s="5">
        <f t="shared" ref="N1602:N1606" si="384">K1602-L1602</f>
        <v>17953</v>
      </c>
      <c r="P1602" s="3"/>
      <c r="Q1602" s="3"/>
      <c r="R1602" s="3"/>
      <c r="S1602" s="3"/>
      <c r="T1602" s="3"/>
      <c r="U1602" s="3"/>
      <c r="V1602" s="3"/>
      <c r="W1602" s="3"/>
      <c r="X1602" s="3"/>
      <c r="Y1602" s="3"/>
      <c r="Z1602" s="3"/>
      <c r="AA1602" s="3"/>
      <c r="AB1602" s="3"/>
      <c r="AC1602" s="3"/>
      <c r="AD1602" s="3"/>
      <c r="AE1602" s="3"/>
      <c r="AF1602" s="3"/>
      <c r="AG1602" s="3"/>
    </row>
    <row r="1603">
      <c r="A1603" s="2">
        <v>2019.0</v>
      </c>
      <c r="B1603" s="1" t="s">
        <v>332</v>
      </c>
      <c r="D1603" s="5" t="s">
        <v>411</v>
      </c>
      <c r="F1603" s="5">
        <v>93180.0</v>
      </c>
      <c r="I1603" s="5">
        <v>1720627.0</v>
      </c>
      <c r="J1603" s="5">
        <v>0.0</v>
      </c>
      <c r="K1603" s="5">
        <f t="shared" si="383"/>
        <v>1813807</v>
      </c>
      <c r="L1603" s="5">
        <v>125371.0</v>
      </c>
      <c r="N1603" s="5">
        <f t="shared" si="384"/>
        <v>1688436</v>
      </c>
      <c r="P1603" s="3"/>
      <c r="Q1603" s="3"/>
      <c r="R1603" s="3"/>
      <c r="S1603" s="3"/>
      <c r="T1603" s="3"/>
      <c r="U1603" s="3"/>
      <c r="V1603" s="3"/>
      <c r="W1603" s="3"/>
      <c r="X1603" s="3"/>
      <c r="Y1603" s="3"/>
      <c r="Z1603" s="3"/>
      <c r="AA1603" s="3"/>
      <c r="AB1603" s="3"/>
      <c r="AC1603" s="3"/>
      <c r="AD1603" s="3"/>
      <c r="AE1603" s="3"/>
      <c r="AF1603" s="3"/>
      <c r="AG1603" s="3"/>
    </row>
    <row r="1604">
      <c r="A1604" s="2">
        <v>2019.0</v>
      </c>
      <c r="B1604" s="1" t="s">
        <v>332</v>
      </c>
      <c r="D1604" s="5" t="s">
        <v>411</v>
      </c>
      <c r="F1604" s="5">
        <v>148556.0</v>
      </c>
      <c r="I1604" s="5">
        <v>158485.0</v>
      </c>
      <c r="J1604" s="5">
        <v>9366.0</v>
      </c>
      <c r="K1604" s="5">
        <f t="shared" si="383"/>
        <v>316407</v>
      </c>
      <c r="L1604" s="5">
        <v>249147.0</v>
      </c>
      <c r="N1604" s="5">
        <f t="shared" si="384"/>
        <v>67260</v>
      </c>
      <c r="P1604" s="3"/>
      <c r="Q1604" s="3"/>
      <c r="R1604" s="3"/>
      <c r="S1604" s="3"/>
      <c r="T1604" s="3"/>
      <c r="U1604" s="3"/>
      <c r="V1604" s="3"/>
      <c r="W1604" s="3"/>
      <c r="X1604" s="3"/>
      <c r="Y1604" s="3"/>
      <c r="Z1604" s="3"/>
      <c r="AA1604" s="3"/>
      <c r="AB1604" s="3"/>
      <c r="AC1604" s="3"/>
      <c r="AD1604" s="3"/>
      <c r="AE1604" s="3"/>
      <c r="AF1604" s="3"/>
      <c r="AG1604" s="3"/>
    </row>
    <row r="1605">
      <c r="A1605" s="2">
        <v>2019.0</v>
      </c>
      <c r="B1605" s="1" t="s">
        <v>332</v>
      </c>
      <c r="D1605" s="5" t="s">
        <v>411</v>
      </c>
      <c r="F1605" s="5">
        <v>235200.0</v>
      </c>
      <c r="I1605" s="5">
        <v>545999.0</v>
      </c>
      <c r="J1605" s="5">
        <v>8263.0</v>
      </c>
      <c r="K1605" s="5">
        <f t="shared" si="383"/>
        <v>789462</v>
      </c>
      <c r="L1605" s="5">
        <v>604589.0</v>
      </c>
      <c r="N1605" s="5">
        <f t="shared" si="384"/>
        <v>184873</v>
      </c>
      <c r="P1605" s="3"/>
      <c r="Q1605" s="3"/>
      <c r="R1605" s="3"/>
      <c r="S1605" s="3"/>
      <c r="T1605" s="3"/>
      <c r="U1605" s="3"/>
      <c r="V1605" s="3"/>
      <c r="W1605" s="3"/>
      <c r="X1605" s="3"/>
      <c r="Y1605" s="3"/>
      <c r="Z1605" s="3"/>
      <c r="AA1605" s="3"/>
      <c r="AB1605" s="3"/>
      <c r="AC1605" s="3"/>
      <c r="AD1605" s="3"/>
      <c r="AE1605" s="3"/>
      <c r="AF1605" s="3"/>
      <c r="AG1605" s="3"/>
    </row>
    <row r="1606">
      <c r="A1606" s="2">
        <v>2019.0</v>
      </c>
      <c r="B1606" s="1" t="s">
        <v>332</v>
      </c>
      <c r="D1606" s="5" t="s">
        <v>411</v>
      </c>
      <c r="F1606" s="5">
        <v>73477.0</v>
      </c>
      <c r="I1606" s="5">
        <v>0.0</v>
      </c>
      <c r="J1606" s="5">
        <v>1631.0</v>
      </c>
      <c r="K1606" s="5">
        <f t="shared" si="383"/>
        <v>75108</v>
      </c>
      <c r="L1606" s="5">
        <v>73301.0</v>
      </c>
      <c r="N1606" s="5">
        <f t="shared" si="384"/>
        <v>1807</v>
      </c>
      <c r="P1606" s="3"/>
      <c r="Q1606" s="3"/>
      <c r="R1606" s="3"/>
      <c r="S1606" s="3"/>
      <c r="T1606" s="3"/>
      <c r="U1606" s="3"/>
      <c r="V1606" s="3"/>
      <c r="W1606" s="3"/>
      <c r="X1606" s="3"/>
      <c r="Y1606" s="3"/>
      <c r="Z1606" s="3"/>
      <c r="AA1606" s="3"/>
      <c r="AB1606" s="3"/>
      <c r="AC1606" s="3"/>
      <c r="AD1606" s="3"/>
      <c r="AE1606" s="3"/>
      <c r="AF1606" s="3"/>
      <c r="AG1606" s="3"/>
    </row>
    <row r="1607">
      <c r="A1607" s="2">
        <v>2019.0</v>
      </c>
      <c r="B1607" s="1" t="s">
        <v>332</v>
      </c>
      <c r="D1607" s="5" t="s">
        <v>412</v>
      </c>
      <c r="F1607" s="5">
        <f>SUM(F1602:F1606)</f>
        <v>701327</v>
      </c>
      <c r="I1607" s="5">
        <f t="shared" ref="I1607:L1607" si="385">SUM(I1602:I1606)</f>
        <v>2438825</v>
      </c>
      <c r="J1607" s="5">
        <f t="shared" si="385"/>
        <v>20605</v>
      </c>
      <c r="K1607" s="5">
        <f t="shared" si="385"/>
        <v>3160757</v>
      </c>
      <c r="L1607" s="5">
        <f t="shared" si="385"/>
        <v>1200428</v>
      </c>
      <c r="N1607" s="5">
        <f>SUM(N1602:N1606)</f>
        <v>1960329</v>
      </c>
      <c r="P1607" s="3"/>
      <c r="Q1607" s="3"/>
      <c r="R1607" s="3"/>
      <c r="S1607" s="3"/>
      <c r="T1607" s="3"/>
      <c r="U1607" s="3"/>
      <c r="V1607" s="3"/>
      <c r="W1607" s="3"/>
      <c r="X1607" s="3"/>
      <c r="Y1607" s="3"/>
      <c r="Z1607" s="3"/>
      <c r="AA1607" s="3"/>
      <c r="AB1607" s="3"/>
      <c r="AC1607" s="3"/>
      <c r="AD1607" s="3"/>
      <c r="AE1607" s="3"/>
      <c r="AF1607" s="3"/>
      <c r="AG1607" s="3"/>
    </row>
    <row r="1608">
      <c r="A1608" s="2">
        <v>2019.0</v>
      </c>
      <c r="B1608" s="1" t="s">
        <v>332</v>
      </c>
      <c r="D1608" s="5" t="s">
        <v>412</v>
      </c>
      <c r="F1608" s="5">
        <v>586595.0</v>
      </c>
      <c r="I1608" s="5">
        <v>1372000.0</v>
      </c>
      <c r="J1608" s="5">
        <v>23035.0</v>
      </c>
      <c r="K1608" s="5">
        <f t="shared" ref="K1608:K1610" si="386">SUM(F1608:J1608)</f>
        <v>1981630</v>
      </c>
      <c r="L1608" s="5">
        <v>675100.0</v>
      </c>
      <c r="N1608" s="5">
        <f t="shared" ref="N1608:N1610" si="387">K1608-L1608</f>
        <v>1306530</v>
      </c>
      <c r="P1608" s="3"/>
      <c r="Q1608" s="3"/>
      <c r="R1608" s="3"/>
      <c r="S1608" s="3"/>
      <c r="T1608" s="3"/>
      <c r="U1608" s="3"/>
      <c r="V1608" s="3"/>
      <c r="W1608" s="3"/>
      <c r="X1608" s="3"/>
      <c r="Y1608" s="3"/>
      <c r="Z1608" s="3"/>
      <c r="AA1608" s="3"/>
      <c r="AB1608" s="3"/>
      <c r="AC1608" s="3"/>
      <c r="AD1608" s="3"/>
      <c r="AE1608" s="3"/>
      <c r="AF1608" s="3"/>
      <c r="AG1608" s="3"/>
    </row>
    <row r="1609">
      <c r="A1609" s="2">
        <v>2019.0</v>
      </c>
      <c r="B1609" s="1" t="s">
        <v>332</v>
      </c>
      <c r="D1609" s="5" t="s">
        <v>412</v>
      </c>
      <c r="F1609" s="5">
        <v>201988.0</v>
      </c>
      <c r="I1609" s="5">
        <v>31080.0</v>
      </c>
      <c r="J1609" s="5">
        <v>4478.0</v>
      </c>
      <c r="K1609" s="5">
        <f t="shared" si="386"/>
        <v>237546</v>
      </c>
      <c r="L1609" s="5">
        <v>0.0</v>
      </c>
      <c r="N1609" s="5">
        <f t="shared" si="387"/>
        <v>237546</v>
      </c>
      <c r="P1609" s="3"/>
      <c r="Q1609" s="3"/>
      <c r="R1609" s="3"/>
      <c r="S1609" s="3"/>
      <c r="T1609" s="3"/>
      <c r="U1609" s="3"/>
      <c r="V1609" s="3"/>
      <c r="W1609" s="3"/>
      <c r="X1609" s="3"/>
      <c r="Y1609" s="3"/>
      <c r="Z1609" s="3"/>
      <c r="AA1609" s="3"/>
      <c r="AB1609" s="3"/>
      <c r="AC1609" s="3"/>
      <c r="AD1609" s="3"/>
      <c r="AE1609" s="3"/>
      <c r="AF1609" s="3"/>
      <c r="AG1609" s="3"/>
    </row>
    <row r="1610">
      <c r="A1610" s="2">
        <v>2019.0</v>
      </c>
      <c r="B1610" s="1" t="s">
        <v>332</v>
      </c>
      <c r="D1610" s="5" t="s">
        <v>412</v>
      </c>
      <c r="F1610" s="5">
        <v>2020.0</v>
      </c>
      <c r="I1610" s="5">
        <v>888419.0</v>
      </c>
      <c r="J1610" s="5">
        <v>11445.0</v>
      </c>
      <c r="K1610" s="5">
        <f t="shared" si="386"/>
        <v>901884</v>
      </c>
      <c r="L1610" s="5">
        <v>436722.0</v>
      </c>
      <c r="N1610" s="5">
        <f t="shared" si="387"/>
        <v>465162</v>
      </c>
      <c r="P1610" s="3"/>
      <c r="Q1610" s="3"/>
      <c r="R1610" s="3"/>
      <c r="S1610" s="3"/>
      <c r="T1610" s="3"/>
      <c r="U1610" s="3"/>
      <c r="V1610" s="3"/>
      <c r="W1610" s="3"/>
      <c r="X1610" s="3"/>
      <c r="Y1610" s="3"/>
      <c r="Z1610" s="3"/>
      <c r="AA1610" s="3"/>
      <c r="AB1610" s="3"/>
      <c r="AC1610" s="3"/>
      <c r="AD1610" s="3"/>
      <c r="AE1610" s="3"/>
      <c r="AF1610" s="3"/>
      <c r="AG1610" s="3"/>
    </row>
    <row r="1611">
      <c r="A1611" s="2">
        <v>2019.0</v>
      </c>
      <c r="B1611" s="1" t="s">
        <v>332</v>
      </c>
      <c r="D1611" s="5" t="s">
        <v>324</v>
      </c>
      <c r="F1611" s="5">
        <f>SUM(F1608:F1610)</f>
        <v>790603</v>
      </c>
      <c r="I1611" s="5">
        <f t="shared" ref="I1611:L1611" si="388">SUM(I1608:I1610)</f>
        <v>2291499</v>
      </c>
      <c r="J1611" s="5">
        <f t="shared" si="388"/>
        <v>38958</v>
      </c>
      <c r="K1611" s="5">
        <f t="shared" si="388"/>
        <v>3121060</v>
      </c>
      <c r="L1611" s="5">
        <f t="shared" si="388"/>
        <v>1111822</v>
      </c>
      <c r="N1611" s="5">
        <f>SUM(N1608:N1610)</f>
        <v>2009238</v>
      </c>
      <c r="P1611" s="3"/>
      <c r="Q1611" s="3"/>
      <c r="R1611" s="3"/>
      <c r="S1611" s="3"/>
      <c r="T1611" s="3"/>
      <c r="U1611" s="3"/>
      <c r="V1611" s="3"/>
      <c r="W1611" s="3"/>
      <c r="X1611" s="3"/>
      <c r="Y1611" s="3"/>
      <c r="Z1611" s="3"/>
      <c r="AA1611" s="3"/>
      <c r="AB1611" s="3"/>
      <c r="AC1611" s="3"/>
      <c r="AD1611" s="3"/>
      <c r="AE1611" s="3"/>
      <c r="AF1611" s="3"/>
      <c r="AG1611" s="3"/>
    </row>
    <row r="1612">
      <c r="A1612" s="2">
        <v>2019.0</v>
      </c>
      <c r="B1612" s="1" t="s">
        <v>332</v>
      </c>
      <c r="D1612" s="5" t="s">
        <v>324</v>
      </c>
      <c r="F1612" s="5">
        <v>367221.0</v>
      </c>
      <c r="I1612" s="5">
        <v>420100.0</v>
      </c>
      <c r="J1612" s="5">
        <v>0.0</v>
      </c>
      <c r="K1612" s="5">
        <f t="shared" ref="K1612:K1614" si="389">SUM(F1612:J1612)</f>
        <v>787321</v>
      </c>
      <c r="L1612" s="5">
        <v>363363.0</v>
      </c>
      <c r="N1612" s="5">
        <f t="shared" ref="N1612:N1614" si="390">K1612-L1612</f>
        <v>423958</v>
      </c>
      <c r="P1612" s="3"/>
      <c r="Q1612" s="3"/>
      <c r="R1612" s="3"/>
      <c r="S1612" s="3"/>
      <c r="T1612" s="3"/>
      <c r="U1612" s="3"/>
      <c r="V1612" s="3"/>
      <c r="W1612" s="3"/>
      <c r="X1612" s="3"/>
      <c r="Y1612" s="3"/>
      <c r="Z1612" s="3"/>
      <c r="AA1612" s="3"/>
      <c r="AB1612" s="3"/>
      <c r="AC1612" s="3"/>
      <c r="AD1612" s="3"/>
      <c r="AE1612" s="3"/>
      <c r="AF1612" s="3"/>
      <c r="AG1612" s="3"/>
    </row>
    <row r="1613">
      <c r="A1613" s="2">
        <v>2019.0</v>
      </c>
      <c r="B1613" s="1" t="s">
        <v>332</v>
      </c>
      <c r="D1613" s="5" t="s">
        <v>324</v>
      </c>
      <c r="F1613" s="5">
        <v>406596.0</v>
      </c>
      <c r="I1613" s="5">
        <v>1604448.0</v>
      </c>
      <c r="J1613" s="5">
        <v>13694.0</v>
      </c>
      <c r="K1613" s="5">
        <f t="shared" si="389"/>
        <v>2024738</v>
      </c>
      <c r="L1613" s="5">
        <v>608382.0</v>
      </c>
      <c r="N1613" s="5">
        <f t="shared" si="390"/>
        <v>1416356</v>
      </c>
      <c r="P1613" s="3"/>
      <c r="Q1613" s="3"/>
      <c r="R1613" s="3"/>
      <c r="S1613" s="3"/>
      <c r="T1613" s="3"/>
      <c r="U1613" s="3"/>
      <c r="V1613" s="3"/>
      <c r="W1613" s="3"/>
      <c r="X1613" s="3"/>
      <c r="Y1613" s="3"/>
      <c r="Z1613" s="3"/>
      <c r="AA1613" s="3"/>
      <c r="AB1613" s="3"/>
      <c r="AC1613" s="3"/>
      <c r="AD1613" s="3"/>
      <c r="AE1613" s="3"/>
      <c r="AF1613" s="3"/>
      <c r="AG1613" s="3"/>
    </row>
    <row r="1614">
      <c r="A1614" s="2">
        <v>2019.0</v>
      </c>
      <c r="B1614" s="1" t="s">
        <v>332</v>
      </c>
      <c r="D1614" s="5" t="s">
        <v>324</v>
      </c>
      <c r="F1614" s="5">
        <v>13840.0</v>
      </c>
      <c r="I1614" s="5">
        <v>19855.0</v>
      </c>
      <c r="J1614" s="5">
        <v>877.0</v>
      </c>
      <c r="K1614" s="5">
        <f t="shared" si="389"/>
        <v>34572</v>
      </c>
      <c r="L1614" s="5">
        <v>0.0</v>
      </c>
      <c r="N1614" s="5">
        <f t="shared" si="390"/>
        <v>34572</v>
      </c>
      <c r="P1614" s="3"/>
      <c r="Q1614" s="3"/>
      <c r="R1614" s="3"/>
      <c r="S1614" s="3"/>
      <c r="T1614" s="3"/>
      <c r="U1614" s="3"/>
      <c r="V1614" s="3"/>
      <c r="W1614" s="3"/>
      <c r="X1614" s="3"/>
      <c r="Y1614" s="3"/>
      <c r="Z1614" s="3"/>
      <c r="AA1614" s="3"/>
      <c r="AB1614" s="3"/>
      <c r="AC1614" s="3"/>
      <c r="AD1614" s="3"/>
      <c r="AE1614" s="3"/>
      <c r="AF1614" s="3"/>
      <c r="AG1614" s="3"/>
    </row>
    <row r="1615">
      <c r="A1615" s="2">
        <v>2019.0</v>
      </c>
      <c r="B1615" s="1" t="s">
        <v>332</v>
      </c>
      <c r="D1615" s="5" t="s">
        <v>326</v>
      </c>
      <c r="F1615" s="5">
        <f>SUM(F1612:F1614)</f>
        <v>787657</v>
      </c>
      <c r="I1615" s="5">
        <f t="shared" ref="I1615:L1615" si="391">SUM(I1612:I1614)</f>
        <v>2044403</v>
      </c>
      <c r="J1615" s="5">
        <f t="shared" si="391"/>
        <v>14571</v>
      </c>
      <c r="K1615" s="5">
        <f t="shared" si="391"/>
        <v>2846631</v>
      </c>
      <c r="L1615" s="5">
        <f t="shared" si="391"/>
        <v>971745</v>
      </c>
      <c r="N1615" s="5">
        <f>SUM(N1612:N1614)</f>
        <v>1874886</v>
      </c>
      <c r="P1615" s="3"/>
      <c r="Q1615" s="3"/>
      <c r="R1615" s="3"/>
      <c r="S1615" s="3"/>
      <c r="T1615" s="3"/>
      <c r="U1615" s="3"/>
      <c r="V1615" s="3"/>
      <c r="W1615" s="3"/>
      <c r="X1615" s="3"/>
      <c r="Y1615" s="3"/>
      <c r="Z1615" s="3"/>
      <c r="AA1615" s="3"/>
      <c r="AB1615" s="3"/>
      <c r="AC1615" s="3"/>
      <c r="AD1615" s="3"/>
      <c r="AE1615" s="3"/>
      <c r="AF1615" s="3"/>
      <c r="AG1615" s="3"/>
    </row>
    <row r="1616">
      <c r="A1616" s="2">
        <v>2019.0</v>
      </c>
      <c r="B1616" s="1" t="s">
        <v>332</v>
      </c>
      <c r="D1616" s="5" t="s">
        <v>199</v>
      </c>
      <c r="F1616" s="5">
        <v>307399.0</v>
      </c>
      <c r="I1616" s="5">
        <v>781469.0</v>
      </c>
      <c r="K1616" s="5">
        <v>1088868.0</v>
      </c>
      <c r="L1616" s="5">
        <v>778294.0</v>
      </c>
      <c r="N1616" s="5">
        <v>310574.0</v>
      </c>
      <c r="P1616" s="3"/>
      <c r="Q1616" s="3"/>
      <c r="R1616" s="3"/>
      <c r="S1616" s="3"/>
      <c r="T1616" s="3"/>
      <c r="U1616" s="3"/>
      <c r="V1616" s="3"/>
      <c r="W1616" s="3"/>
      <c r="X1616" s="3"/>
      <c r="Y1616" s="3"/>
      <c r="Z1616" s="3"/>
      <c r="AA1616" s="3"/>
      <c r="AB1616" s="3"/>
      <c r="AC1616" s="3"/>
      <c r="AD1616" s="3"/>
      <c r="AE1616" s="3"/>
      <c r="AF1616" s="3"/>
      <c r="AG1616" s="3"/>
    </row>
    <row r="1617">
      <c r="A1617" s="2">
        <v>2019.0</v>
      </c>
      <c r="B1617" s="1" t="s">
        <v>332</v>
      </c>
      <c r="D1617" s="5" t="s">
        <v>202</v>
      </c>
      <c r="F1617" s="5">
        <v>1044787.0</v>
      </c>
      <c r="I1617" s="5">
        <v>1878627.0</v>
      </c>
      <c r="K1617" s="5">
        <v>2923414.0</v>
      </c>
      <c r="L1617" s="5">
        <v>2099189.0</v>
      </c>
      <c r="N1617" s="5">
        <v>824225.0</v>
      </c>
      <c r="P1617" s="3"/>
      <c r="Q1617" s="3"/>
      <c r="R1617" s="3"/>
      <c r="S1617" s="3"/>
      <c r="T1617" s="3"/>
      <c r="U1617" s="3"/>
      <c r="V1617" s="3"/>
      <c r="W1617" s="3"/>
      <c r="X1617" s="3"/>
      <c r="Y1617" s="3"/>
      <c r="Z1617" s="3"/>
      <c r="AA1617" s="3"/>
      <c r="AB1617" s="3"/>
      <c r="AC1617" s="3"/>
      <c r="AD1617" s="3"/>
      <c r="AE1617" s="3"/>
      <c r="AF1617" s="3"/>
      <c r="AG1617" s="3"/>
    </row>
    <row r="1618">
      <c r="A1618" s="2">
        <v>2019.0</v>
      </c>
      <c r="B1618" s="1" t="s">
        <v>332</v>
      </c>
      <c r="D1618" s="5" t="s">
        <v>208</v>
      </c>
      <c r="F1618" s="5">
        <v>1808557.0</v>
      </c>
      <c r="I1618" s="5">
        <v>1680347.0</v>
      </c>
      <c r="K1618" s="5">
        <v>3488904.0</v>
      </c>
      <c r="L1618" s="5">
        <v>2129314.0</v>
      </c>
      <c r="N1618" s="5">
        <v>1359590.0</v>
      </c>
      <c r="P1618" s="3"/>
      <c r="Q1618" s="3"/>
      <c r="R1618" s="3"/>
      <c r="S1618" s="3"/>
      <c r="T1618" s="3"/>
      <c r="U1618" s="3"/>
      <c r="V1618" s="3"/>
      <c r="W1618" s="3"/>
      <c r="X1618" s="3"/>
      <c r="Y1618" s="3"/>
      <c r="Z1618" s="3"/>
      <c r="AA1618" s="3"/>
      <c r="AB1618" s="3"/>
      <c r="AC1618" s="3"/>
      <c r="AD1618" s="3"/>
      <c r="AE1618" s="3"/>
      <c r="AF1618" s="3"/>
      <c r="AG1618" s="3"/>
    </row>
    <row r="1619">
      <c r="A1619" s="2">
        <v>2019.0</v>
      </c>
      <c r="B1619" s="1" t="s">
        <v>26</v>
      </c>
      <c r="D1619" s="5" t="s">
        <v>36</v>
      </c>
      <c r="F1619" s="5">
        <v>3378953.0</v>
      </c>
      <c r="I1619" s="5">
        <v>1.0848053E7</v>
      </c>
      <c r="J1619" s="5">
        <v>81970.0</v>
      </c>
      <c r="K1619" s="5">
        <v>1.4308976E7</v>
      </c>
      <c r="L1619" s="5">
        <v>1.3491738E7</v>
      </c>
      <c r="N1619" s="5">
        <v>817238.0</v>
      </c>
      <c r="P1619" s="3"/>
      <c r="Q1619" s="3"/>
      <c r="R1619" s="3"/>
      <c r="S1619" s="3"/>
      <c r="T1619" s="3"/>
      <c r="U1619" s="3"/>
      <c r="V1619" s="3"/>
      <c r="W1619" s="3"/>
      <c r="X1619" s="3"/>
      <c r="Y1619" s="3"/>
      <c r="Z1619" s="3"/>
      <c r="AA1619" s="3"/>
      <c r="AB1619" s="3"/>
      <c r="AC1619" s="3"/>
      <c r="AD1619" s="3"/>
      <c r="AE1619" s="3"/>
      <c r="AF1619" s="3"/>
      <c r="AG1619" s="3"/>
    </row>
    <row r="1620">
      <c r="A1620" s="2">
        <v>2019.0</v>
      </c>
      <c r="B1620" s="1" t="s">
        <v>26</v>
      </c>
      <c r="D1620" s="5" t="s">
        <v>57</v>
      </c>
      <c r="F1620" s="5">
        <v>745148.0</v>
      </c>
      <c r="I1620" s="5">
        <v>2.4655622E7</v>
      </c>
      <c r="J1620" s="5">
        <v>152628.0</v>
      </c>
      <c r="K1620" s="5">
        <v>2.5553398E7</v>
      </c>
      <c r="L1620" s="5">
        <v>2.3692402E7</v>
      </c>
      <c r="N1620" s="5">
        <v>1860996.0</v>
      </c>
      <c r="P1620" s="3"/>
      <c r="Q1620" s="3"/>
      <c r="R1620" s="3"/>
      <c r="S1620" s="3"/>
      <c r="T1620" s="3"/>
      <c r="U1620" s="3"/>
      <c r="V1620" s="3"/>
      <c r="W1620" s="3"/>
      <c r="X1620" s="3"/>
      <c r="Y1620" s="3"/>
      <c r="Z1620" s="3"/>
      <c r="AA1620" s="3"/>
      <c r="AB1620" s="3"/>
      <c r="AC1620" s="3"/>
      <c r="AD1620" s="3"/>
      <c r="AE1620" s="3"/>
      <c r="AF1620" s="3"/>
      <c r="AG1620" s="3"/>
    </row>
    <row r="1621">
      <c r="A1621" s="2">
        <v>2019.0</v>
      </c>
      <c r="B1621" s="1" t="s">
        <v>26</v>
      </c>
      <c r="D1621" s="5" t="s">
        <v>28</v>
      </c>
      <c r="F1621" s="5">
        <v>4278589.0</v>
      </c>
      <c r="I1621" s="5">
        <v>1.5192662E7</v>
      </c>
      <c r="J1621" s="5">
        <v>217269.0</v>
      </c>
      <c r="K1621" s="5">
        <v>1.968852E7</v>
      </c>
      <c r="L1621" s="5">
        <v>1.4904425E7</v>
      </c>
      <c r="N1621" s="5">
        <v>4784095.0</v>
      </c>
      <c r="P1621" s="3"/>
      <c r="Q1621" s="3"/>
      <c r="R1621" s="3"/>
      <c r="S1621" s="3"/>
      <c r="T1621" s="3"/>
      <c r="U1621" s="3"/>
      <c r="V1621" s="3"/>
      <c r="W1621" s="3"/>
      <c r="X1621" s="3"/>
      <c r="Y1621" s="3"/>
      <c r="Z1621" s="3"/>
      <c r="AA1621" s="3"/>
      <c r="AB1621" s="3"/>
      <c r="AC1621" s="3"/>
      <c r="AD1621" s="3"/>
      <c r="AE1621" s="3"/>
      <c r="AF1621" s="3"/>
      <c r="AG1621" s="3"/>
    </row>
    <row r="1622">
      <c r="A1622" s="2">
        <v>2019.0</v>
      </c>
      <c r="B1622" s="1" t="s">
        <v>26</v>
      </c>
      <c r="D1622" s="5" t="s">
        <v>77</v>
      </c>
      <c r="F1622" s="5">
        <v>1980.0</v>
      </c>
      <c r="I1622" s="5">
        <v>1.884E7</v>
      </c>
      <c r="J1622" s="5">
        <v>38257.0</v>
      </c>
      <c r="K1622" s="5">
        <v>1.8880237E7</v>
      </c>
      <c r="L1622" s="5">
        <v>1.8836559E7</v>
      </c>
      <c r="N1622" s="5">
        <v>43678.0</v>
      </c>
      <c r="P1622" s="3"/>
      <c r="Q1622" s="3"/>
      <c r="R1622" s="3"/>
      <c r="S1622" s="3"/>
      <c r="T1622" s="3"/>
      <c r="U1622" s="3"/>
      <c r="V1622" s="3"/>
      <c r="W1622" s="3"/>
      <c r="X1622" s="3"/>
      <c r="Y1622" s="3"/>
      <c r="Z1622" s="3"/>
      <c r="AA1622" s="3"/>
      <c r="AB1622" s="3"/>
      <c r="AC1622" s="3"/>
      <c r="AD1622" s="3"/>
      <c r="AE1622" s="3"/>
      <c r="AF1622" s="3"/>
      <c r="AG1622" s="3"/>
    </row>
    <row r="1623">
      <c r="A1623" s="2">
        <v>2019.0</v>
      </c>
      <c r="B1623" s="1" t="s">
        <v>26</v>
      </c>
      <c r="D1623" s="5" t="s">
        <v>426</v>
      </c>
      <c r="F1623" s="5">
        <v>6923.0</v>
      </c>
      <c r="I1623" s="5">
        <v>3.1781146E7</v>
      </c>
      <c r="J1623" s="5">
        <v>77902.0</v>
      </c>
      <c r="K1623" s="5">
        <v>3.1865971E7</v>
      </c>
      <c r="L1623" s="5">
        <v>3.1737974E7</v>
      </c>
      <c r="N1623" s="5">
        <v>127997.0</v>
      </c>
      <c r="P1623" s="3"/>
      <c r="Q1623" s="3"/>
      <c r="R1623" s="3"/>
      <c r="S1623" s="3"/>
      <c r="T1623" s="3"/>
      <c r="U1623" s="3"/>
      <c r="V1623" s="3"/>
      <c r="W1623" s="3"/>
      <c r="X1623" s="3"/>
      <c r="Y1623" s="3"/>
      <c r="Z1623" s="3"/>
      <c r="AA1623" s="3"/>
      <c r="AB1623" s="3"/>
      <c r="AC1623" s="3"/>
      <c r="AD1623" s="3"/>
      <c r="AE1623" s="3"/>
      <c r="AF1623" s="3"/>
      <c r="AG1623" s="3"/>
    </row>
    <row r="1624">
      <c r="A1624" s="2">
        <v>2019.0</v>
      </c>
      <c r="B1624" s="1" t="s">
        <v>26</v>
      </c>
      <c r="D1624" s="5" t="s">
        <v>73</v>
      </c>
      <c r="F1624" s="5">
        <v>1319422.0</v>
      </c>
      <c r="I1624" s="5">
        <v>5220498.0</v>
      </c>
      <c r="J1624" s="5">
        <v>50318.0</v>
      </c>
      <c r="K1624" s="5">
        <v>6590238.0</v>
      </c>
      <c r="L1624" s="5">
        <v>6463703.0</v>
      </c>
      <c r="N1624" s="5">
        <v>126535.0</v>
      </c>
      <c r="P1624" s="3"/>
      <c r="Q1624" s="3"/>
      <c r="R1624" s="3"/>
      <c r="S1624" s="3"/>
      <c r="T1624" s="3"/>
      <c r="U1624" s="3"/>
      <c r="V1624" s="3"/>
      <c r="W1624" s="3"/>
      <c r="X1624" s="3"/>
      <c r="Y1624" s="3"/>
      <c r="Z1624" s="3"/>
      <c r="AA1624" s="3"/>
      <c r="AB1624" s="3"/>
      <c r="AC1624" s="3"/>
      <c r="AD1624" s="3"/>
      <c r="AE1624" s="3"/>
      <c r="AF1624" s="3"/>
      <c r="AG1624" s="3"/>
    </row>
    <row r="1625">
      <c r="A1625" s="2">
        <v>2019.0</v>
      </c>
      <c r="B1625" s="1" t="s">
        <v>26</v>
      </c>
      <c r="D1625" s="5" t="s">
        <v>427</v>
      </c>
      <c r="F1625" s="5">
        <v>1061237.0</v>
      </c>
      <c r="I1625" s="5">
        <v>1.251488E7</v>
      </c>
      <c r="J1625" s="5">
        <v>51584.0</v>
      </c>
      <c r="K1625" s="5">
        <v>1.3627701E7</v>
      </c>
      <c r="L1625" s="5">
        <v>1.2617721E7</v>
      </c>
      <c r="N1625" s="5">
        <v>1009980.0</v>
      </c>
      <c r="P1625" s="3"/>
      <c r="Q1625" s="3"/>
      <c r="R1625" s="3"/>
      <c r="S1625" s="3"/>
      <c r="T1625" s="3"/>
      <c r="U1625" s="3"/>
      <c r="V1625" s="3"/>
      <c r="W1625" s="3"/>
      <c r="X1625" s="3"/>
      <c r="Y1625" s="3"/>
      <c r="Z1625" s="3"/>
      <c r="AA1625" s="3"/>
      <c r="AB1625" s="3"/>
      <c r="AC1625" s="3"/>
      <c r="AD1625" s="3"/>
      <c r="AE1625" s="3"/>
      <c r="AF1625" s="3"/>
      <c r="AG1625" s="3"/>
    </row>
    <row r="1626">
      <c r="A1626" s="2">
        <v>2019.0</v>
      </c>
      <c r="B1626" s="1" t="s">
        <v>26</v>
      </c>
      <c r="D1626" s="5" t="s">
        <v>428</v>
      </c>
      <c r="F1626" s="5">
        <v>363318.0</v>
      </c>
      <c r="I1626" s="5">
        <v>2.3992897E7</v>
      </c>
      <c r="J1626" s="5">
        <v>67273.0</v>
      </c>
      <c r="K1626" s="5">
        <v>2.4423488E7</v>
      </c>
      <c r="L1626" s="5">
        <v>2.3638033E7</v>
      </c>
      <c r="N1626" s="5">
        <v>785455.0</v>
      </c>
      <c r="P1626" s="3"/>
      <c r="Q1626" s="3"/>
      <c r="R1626" s="3"/>
      <c r="S1626" s="3"/>
      <c r="T1626" s="3"/>
      <c r="U1626" s="3"/>
      <c r="V1626" s="3"/>
      <c r="W1626" s="3"/>
      <c r="X1626" s="3"/>
      <c r="Y1626" s="3"/>
      <c r="Z1626" s="3"/>
      <c r="AA1626" s="3"/>
      <c r="AB1626" s="3"/>
      <c r="AC1626" s="3"/>
      <c r="AD1626" s="3"/>
      <c r="AE1626" s="3"/>
      <c r="AF1626" s="3"/>
      <c r="AG1626" s="3"/>
    </row>
    <row r="1627">
      <c r="A1627" s="2">
        <v>2019.0</v>
      </c>
      <c r="B1627" s="1" t="s">
        <v>26</v>
      </c>
      <c r="D1627" s="5" t="s">
        <v>68</v>
      </c>
      <c r="F1627" s="5">
        <v>1118339.0</v>
      </c>
      <c r="I1627" s="5">
        <v>7821293.0</v>
      </c>
      <c r="J1627" s="5">
        <v>51120.0</v>
      </c>
      <c r="K1627" s="5">
        <v>8990752.0</v>
      </c>
      <c r="L1627" s="5">
        <v>8478699.0</v>
      </c>
      <c r="N1627" s="5">
        <v>512053.0</v>
      </c>
      <c r="P1627" s="3"/>
      <c r="Q1627" s="3"/>
      <c r="R1627" s="3"/>
      <c r="S1627" s="3"/>
      <c r="T1627" s="3"/>
      <c r="U1627" s="3"/>
      <c r="V1627" s="3"/>
      <c r="W1627" s="3"/>
      <c r="X1627" s="3"/>
      <c r="Y1627" s="3"/>
      <c r="Z1627" s="3"/>
      <c r="AA1627" s="3"/>
      <c r="AB1627" s="3"/>
      <c r="AC1627" s="3"/>
      <c r="AD1627" s="3"/>
      <c r="AE1627" s="3"/>
      <c r="AF1627" s="3"/>
      <c r="AG1627" s="3"/>
    </row>
    <row r="1628">
      <c r="A1628" s="2">
        <v>2019.0</v>
      </c>
      <c r="B1628" s="1" t="s">
        <v>26</v>
      </c>
      <c r="D1628" s="5" t="s">
        <v>84</v>
      </c>
      <c r="F1628" s="5">
        <v>323589.0</v>
      </c>
      <c r="I1628" s="5">
        <v>1.3135177E7</v>
      </c>
      <c r="J1628" s="5">
        <v>86596.0</v>
      </c>
      <c r="K1628" s="5">
        <v>1.3545362E7</v>
      </c>
      <c r="L1628" s="5">
        <v>1.3484406E7</v>
      </c>
      <c r="N1628" s="5">
        <v>60956.0</v>
      </c>
      <c r="P1628" s="3"/>
      <c r="Q1628" s="3"/>
      <c r="R1628" s="3"/>
      <c r="S1628" s="3"/>
      <c r="T1628" s="3"/>
      <c r="U1628" s="3"/>
      <c r="V1628" s="3"/>
      <c r="W1628" s="3"/>
      <c r="X1628" s="3"/>
      <c r="Y1628" s="3"/>
      <c r="Z1628" s="3"/>
      <c r="AA1628" s="3"/>
      <c r="AB1628" s="3"/>
      <c r="AC1628" s="3"/>
      <c r="AD1628" s="3"/>
      <c r="AE1628" s="3"/>
      <c r="AF1628" s="3"/>
      <c r="AG1628" s="3"/>
    </row>
    <row r="1629">
      <c r="A1629" s="2">
        <v>2019.0</v>
      </c>
      <c r="B1629" s="1" t="s">
        <v>26</v>
      </c>
      <c r="D1629" s="5" t="s">
        <v>437</v>
      </c>
      <c r="F1629" s="5">
        <v>229092.0</v>
      </c>
      <c r="I1629" s="5">
        <v>8.6039398E7</v>
      </c>
      <c r="J1629" s="5">
        <v>204270.0</v>
      </c>
      <c r="K1629" s="5">
        <v>8.647276E7</v>
      </c>
      <c r="L1629" s="5">
        <v>8.369218E7</v>
      </c>
      <c r="N1629" s="5">
        <v>2780580.0</v>
      </c>
      <c r="P1629" s="3"/>
      <c r="Q1629" s="3"/>
      <c r="R1629" s="3"/>
      <c r="S1629" s="3"/>
      <c r="T1629" s="3"/>
      <c r="U1629" s="3"/>
      <c r="V1629" s="3"/>
      <c r="W1629" s="3"/>
      <c r="X1629" s="3"/>
      <c r="Y1629" s="3"/>
      <c r="Z1629" s="3"/>
      <c r="AA1629" s="3"/>
      <c r="AB1629" s="3"/>
      <c r="AC1629" s="3"/>
      <c r="AD1629" s="3"/>
      <c r="AE1629" s="3"/>
      <c r="AF1629" s="3"/>
      <c r="AG1629" s="3"/>
    </row>
    <row r="1630">
      <c r="A1630" s="2">
        <v>2019.0</v>
      </c>
      <c r="B1630" s="1" t="s">
        <v>26</v>
      </c>
      <c r="D1630" s="5" t="s">
        <v>135</v>
      </c>
      <c r="F1630" s="5">
        <v>2572796.0</v>
      </c>
      <c r="I1630" s="5">
        <v>1.878727E7</v>
      </c>
      <c r="J1630" s="5">
        <v>123676.0</v>
      </c>
      <c r="K1630" s="5">
        <v>2.1483742E7</v>
      </c>
      <c r="L1630" s="5">
        <v>1.7981706E7</v>
      </c>
      <c r="N1630" s="5">
        <v>3502036.0</v>
      </c>
      <c r="P1630" s="3"/>
      <c r="Q1630" s="3"/>
      <c r="R1630" s="3"/>
      <c r="S1630" s="3"/>
      <c r="T1630" s="3"/>
      <c r="U1630" s="3"/>
      <c r="V1630" s="3"/>
      <c r="W1630" s="3"/>
      <c r="X1630" s="3"/>
      <c r="Y1630" s="3"/>
      <c r="Z1630" s="3"/>
      <c r="AA1630" s="3"/>
      <c r="AB1630" s="3"/>
      <c r="AC1630" s="3"/>
      <c r="AD1630" s="3"/>
      <c r="AE1630" s="3"/>
      <c r="AF1630" s="3"/>
      <c r="AG1630" s="3"/>
    </row>
    <row r="1631">
      <c r="A1631" s="2">
        <v>2019.0</v>
      </c>
      <c r="B1631" s="1" t="s">
        <v>26</v>
      </c>
      <c r="D1631" s="5" t="s">
        <v>136</v>
      </c>
      <c r="F1631" s="5">
        <v>467369.0</v>
      </c>
      <c r="I1631" s="5">
        <v>1.0168857E7</v>
      </c>
      <c r="J1631" s="5">
        <v>72884.0</v>
      </c>
      <c r="K1631" s="5">
        <v>1.070911E7</v>
      </c>
      <c r="L1631" s="5">
        <v>7269027.0</v>
      </c>
      <c r="N1631" s="5">
        <v>3440083.0</v>
      </c>
      <c r="P1631" s="3"/>
      <c r="Q1631" s="3"/>
      <c r="R1631" s="3"/>
      <c r="S1631" s="3"/>
      <c r="T1631" s="3"/>
      <c r="U1631" s="3"/>
      <c r="V1631" s="3"/>
      <c r="W1631" s="3"/>
      <c r="X1631" s="3"/>
      <c r="Y1631" s="3"/>
      <c r="Z1631" s="3"/>
      <c r="AA1631" s="3"/>
      <c r="AB1631" s="3"/>
      <c r="AC1631" s="3"/>
      <c r="AD1631" s="3"/>
      <c r="AE1631" s="3"/>
      <c r="AF1631" s="3"/>
      <c r="AG1631" s="3"/>
    </row>
    <row r="1632">
      <c r="A1632" s="2">
        <v>2019.0</v>
      </c>
      <c r="B1632" s="1" t="s">
        <v>26</v>
      </c>
      <c r="D1632" s="5" t="s">
        <v>137</v>
      </c>
      <c r="F1632" s="5">
        <v>2073923.0</v>
      </c>
      <c r="I1632" s="5">
        <v>9658949.0</v>
      </c>
      <c r="J1632" s="5">
        <v>73513.0</v>
      </c>
      <c r="K1632" s="5">
        <v>1.1806385E7</v>
      </c>
      <c r="L1632" s="5">
        <v>9006121.0</v>
      </c>
      <c r="N1632" s="5">
        <v>2800264.0</v>
      </c>
      <c r="P1632" s="3"/>
      <c r="Q1632" s="3"/>
      <c r="R1632" s="3"/>
      <c r="S1632" s="3"/>
      <c r="T1632" s="3"/>
      <c r="U1632" s="3"/>
      <c r="V1632" s="3"/>
      <c r="W1632" s="3"/>
      <c r="X1632" s="3"/>
      <c r="Y1632" s="3"/>
      <c r="Z1632" s="3"/>
      <c r="AA1632" s="3"/>
      <c r="AB1632" s="3"/>
      <c r="AC1632" s="3"/>
      <c r="AD1632" s="3"/>
      <c r="AE1632" s="3"/>
      <c r="AF1632" s="3"/>
      <c r="AG1632" s="3"/>
    </row>
    <row r="1633">
      <c r="A1633" s="2">
        <v>2019.0</v>
      </c>
      <c r="B1633" s="1" t="s">
        <v>26</v>
      </c>
      <c r="D1633" s="5" t="s">
        <v>277</v>
      </c>
      <c r="F1633" s="5">
        <v>272758.0</v>
      </c>
      <c r="I1633" s="5">
        <v>2.2390897E7</v>
      </c>
      <c r="J1633" s="5">
        <v>75391.0</v>
      </c>
      <c r="K1633" s="5">
        <v>2.2739046E7</v>
      </c>
      <c r="L1633" s="5">
        <v>2.0094292E7</v>
      </c>
      <c r="N1633" s="5">
        <v>2644754.0</v>
      </c>
      <c r="P1633" s="3"/>
      <c r="Q1633" s="3"/>
      <c r="R1633" s="3"/>
      <c r="S1633" s="3"/>
      <c r="T1633" s="3"/>
      <c r="U1633" s="3"/>
      <c r="V1633" s="3"/>
      <c r="W1633" s="3"/>
      <c r="X1633" s="3"/>
      <c r="Y1633" s="3"/>
      <c r="Z1633" s="3"/>
      <c r="AA1633" s="3"/>
      <c r="AB1633" s="3"/>
      <c r="AC1633" s="3"/>
      <c r="AD1633" s="3"/>
      <c r="AE1633" s="3"/>
      <c r="AF1633" s="3"/>
      <c r="AG1633" s="3"/>
    </row>
    <row r="1634">
      <c r="A1634" s="2">
        <v>2019.0</v>
      </c>
      <c r="B1634" s="1" t="s">
        <v>26</v>
      </c>
      <c r="D1634" s="5" t="s">
        <v>144</v>
      </c>
      <c r="F1634" s="5">
        <v>88814.0</v>
      </c>
      <c r="I1634" s="5">
        <v>2.3075413E7</v>
      </c>
      <c r="J1634" s="5">
        <v>60640.0</v>
      </c>
      <c r="K1634" s="5">
        <v>2.3224867E7</v>
      </c>
      <c r="L1634" s="5">
        <v>2.1900621E7</v>
      </c>
      <c r="N1634" s="5">
        <v>1324246.0</v>
      </c>
      <c r="P1634" s="3"/>
      <c r="Q1634" s="3"/>
      <c r="R1634" s="3"/>
      <c r="S1634" s="3"/>
      <c r="T1634" s="3"/>
      <c r="U1634" s="3"/>
      <c r="V1634" s="3"/>
      <c r="W1634" s="3"/>
      <c r="X1634" s="3"/>
      <c r="Y1634" s="3"/>
      <c r="Z1634" s="3"/>
      <c r="AA1634" s="3"/>
      <c r="AB1634" s="3"/>
      <c r="AC1634" s="3"/>
      <c r="AD1634" s="3"/>
      <c r="AE1634" s="3"/>
      <c r="AF1634" s="3"/>
      <c r="AG1634" s="3"/>
    </row>
    <row r="1635">
      <c r="A1635" s="2">
        <v>2019.0</v>
      </c>
      <c r="B1635" s="1" t="s">
        <v>26</v>
      </c>
      <c r="D1635" s="5" t="s">
        <v>146</v>
      </c>
      <c r="F1635" s="5">
        <v>3332001.0</v>
      </c>
      <c r="I1635" s="5">
        <v>8400000.0</v>
      </c>
      <c r="J1635" s="5">
        <v>161600.0</v>
      </c>
      <c r="K1635" s="5">
        <v>1.1893601E7</v>
      </c>
      <c r="L1635" s="5">
        <v>7307456.0</v>
      </c>
      <c r="N1635" s="5">
        <v>4586145.0</v>
      </c>
      <c r="P1635" s="3"/>
      <c r="Q1635" s="3"/>
      <c r="R1635" s="3"/>
      <c r="S1635" s="3"/>
      <c r="T1635" s="3"/>
      <c r="U1635" s="3"/>
      <c r="V1635" s="3"/>
      <c r="W1635" s="3"/>
      <c r="X1635" s="3"/>
      <c r="Y1635" s="3"/>
      <c r="Z1635" s="3"/>
      <c r="AA1635" s="3"/>
      <c r="AB1635" s="3"/>
      <c r="AC1635" s="3"/>
      <c r="AD1635" s="3"/>
      <c r="AE1635" s="3"/>
      <c r="AF1635" s="3"/>
      <c r="AG1635" s="3"/>
    </row>
    <row r="1636">
      <c r="A1636" s="2">
        <v>2019.0</v>
      </c>
      <c r="B1636" s="1" t="s">
        <v>26</v>
      </c>
      <c r="D1636" s="5" t="s">
        <v>285</v>
      </c>
      <c r="F1636" s="5">
        <v>2512946.0</v>
      </c>
      <c r="I1636" s="5">
        <v>1.56E7</v>
      </c>
      <c r="J1636" s="5">
        <v>117493.0</v>
      </c>
      <c r="K1636" s="5">
        <v>1.8230439E7</v>
      </c>
      <c r="L1636" s="5">
        <v>1.5736078E7</v>
      </c>
      <c r="N1636" s="5">
        <v>2494361.0</v>
      </c>
      <c r="P1636" s="3"/>
      <c r="Q1636" s="3"/>
      <c r="R1636" s="3"/>
      <c r="S1636" s="3"/>
      <c r="T1636" s="3"/>
      <c r="U1636" s="3"/>
      <c r="V1636" s="3"/>
      <c r="W1636" s="3"/>
      <c r="X1636" s="3"/>
      <c r="Y1636" s="3"/>
      <c r="Z1636" s="3"/>
      <c r="AA1636" s="3"/>
      <c r="AB1636" s="3"/>
      <c r="AC1636" s="3"/>
      <c r="AD1636" s="3"/>
      <c r="AE1636" s="3"/>
      <c r="AF1636" s="3"/>
      <c r="AG1636" s="3"/>
    </row>
    <row r="1637">
      <c r="A1637" s="2">
        <v>2019.0</v>
      </c>
      <c r="B1637" s="1" t="s">
        <v>26</v>
      </c>
      <c r="D1637" s="5" t="s">
        <v>151</v>
      </c>
      <c r="F1637" s="5">
        <v>3549702.0</v>
      </c>
      <c r="I1637" s="5">
        <v>2.04E7</v>
      </c>
      <c r="J1637" s="5">
        <v>182486.0</v>
      </c>
      <c r="K1637" s="5">
        <v>2.4132188E7</v>
      </c>
      <c r="L1637" s="5">
        <v>1.9733457E7</v>
      </c>
      <c r="N1637" s="5">
        <v>4398731.0</v>
      </c>
      <c r="P1637" s="3"/>
      <c r="Q1637" s="3"/>
      <c r="R1637" s="3"/>
      <c r="S1637" s="3"/>
      <c r="T1637" s="3"/>
      <c r="U1637" s="3"/>
      <c r="V1637" s="3"/>
      <c r="W1637" s="3"/>
      <c r="X1637" s="3"/>
      <c r="Y1637" s="3"/>
      <c r="Z1637" s="3"/>
      <c r="AA1637" s="3"/>
      <c r="AB1637" s="3"/>
      <c r="AC1637" s="3"/>
      <c r="AD1637" s="3"/>
      <c r="AE1637" s="3"/>
      <c r="AF1637" s="3"/>
      <c r="AG1637" s="3"/>
    </row>
    <row r="1638">
      <c r="A1638" s="2">
        <v>2019.0</v>
      </c>
      <c r="B1638" s="1" t="s">
        <v>26</v>
      </c>
      <c r="D1638" s="5" t="s">
        <v>143</v>
      </c>
      <c r="F1638" s="5">
        <v>1958701.0</v>
      </c>
      <c r="I1638" s="5">
        <v>9600000.0</v>
      </c>
      <c r="J1638" s="5">
        <v>91484.0</v>
      </c>
      <c r="K1638" s="5">
        <v>1.1650185E7</v>
      </c>
      <c r="L1638" s="5">
        <v>8859197.0</v>
      </c>
      <c r="N1638" s="5">
        <v>2790988.0</v>
      </c>
      <c r="P1638" s="3"/>
      <c r="Q1638" s="3"/>
      <c r="R1638" s="3"/>
      <c r="S1638" s="3"/>
      <c r="T1638" s="3"/>
      <c r="U1638" s="3"/>
      <c r="V1638" s="3"/>
      <c r="W1638" s="3"/>
      <c r="X1638" s="3"/>
      <c r="Y1638" s="3"/>
      <c r="Z1638" s="3"/>
      <c r="AA1638" s="3"/>
      <c r="AB1638" s="3"/>
      <c r="AC1638" s="3"/>
      <c r="AD1638" s="3"/>
      <c r="AE1638" s="3"/>
      <c r="AF1638" s="3"/>
      <c r="AG1638" s="3"/>
    </row>
    <row r="1639">
      <c r="A1639" s="2">
        <v>2019.0</v>
      </c>
      <c r="B1639" s="1" t="s">
        <v>26</v>
      </c>
      <c r="D1639" s="5" t="s">
        <v>153</v>
      </c>
      <c r="F1639" s="5">
        <v>4281947.0</v>
      </c>
      <c r="I1639" s="5">
        <v>2.28E7</v>
      </c>
      <c r="J1639" s="5">
        <v>218182.0</v>
      </c>
      <c r="K1639" s="5">
        <v>2.7300129E7</v>
      </c>
      <c r="L1639" s="5">
        <v>2.1893084E7</v>
      </c>
      <c r="N1639" s="5">
        <v>5407045.0</v>
      </c>
      <c r="P1639" s="3"/>
      <c r="Q1639" s="3"/>
      <c r="R1639" s="3"/>
      <c r="S1639" s="3"/>
      <c r="T1639" s="3"/>
      <c r="U1639" s="3"/>
      <c r="V1639" s="3"/>
      <c r="W1639" s="3"/>
      <c r="X1639" s="3"/>
      <c r="Y1639" s="3"/>
      <c r="Z1639" s="3"/>
      <c r="AA1639" s="3"/>
      <c r="AB1639" s="3"/>
      <c r="AC1639" s="3"/>
      <c r="AD1639" s="3"/>
      <c r="AE1639" s="3"/>
      <c r="AF1639" s="3"/>
      <c r="AG1639" s="3"/>
    </row>
    <row r="1640">
      <c r="A1640" s="2">
        <v>2019.0</v>
      </c>
      <c r="B1640" s="1" t="s">
        <v>26</v>
      </c>
      <c r="D1640" s="5" t="s">
        <v>155</v>
      </c>
      <c r="F1640" s="5">
        <v>2114134.0</v>
      </c>
      <c r="I1640" s="5">
        <v>1.2911477E7</v>
      </c>
      <c r="J1640" s="5">
        <v>99169.0</v>
      </c>
      <c r="K1640" s="5">
        <v>1.512478E7</v>
      </c>
      <c r="L1640" s="5">
        <v>1.2073066E7</v>
      </c>
      <c r="N1640" s="5">
        <v>3051714.0</v>
      </c>
      <c r="P1640" s="3"/>
      <c r="Q1640" s="3"/>
      <c r="R1640" s="3"/>
      <c r="S1640" s="3"/>
      <c r="T1640" s="3"/>
      <c r="U1640" s="3"/>
      <c r="V1640" s="3"/>
      <c r="W1640" s="3"/>
      <c r="X1640" s="3"/>
      <c r="Y1640" s="3"/>
      <c r="Z1640" s="3"/>
      <c r="AA1640" s="3"/>
      <c r="AB1640" s="3"/>
      <c r="AC1640" s="3"/>
      <c r="AD1640" s="3"/>
      <c r="AE1640" s="3"/>
      <c r="AF1640" s="3"/>
      <c r="AG1640" s="3"/>
    </row>
    <row r="1641">
      <c r="A1641" s="2">
        <v>2019.0</v>
      </c>
      <c r="B1641" s="1" t="s">
        <v>26</v>
      </c>
      <c r="D1641" s="5" t="s">
        <v>1429</v>
      </c>
      <c r="F1641" s="5">
        <v>2074510.0</v>
      </c>
      <c r="I1641" s="5">
        <v>1.2983634E7</v>
      </c>
      <c r="J1641" s="5">
        <v>123724.0</v>
      </c>
      <c r="K1641" s="5">
        <v>1.5181868E7</v>
      </c>
      <c r="L1641" s="5">
        <v>1.4810682E7</v>
      </c>
      <c r="N1641" s="5">
        <v>371186.0</v>
      </c>
      <c r="P1641" s="3"/>
      <c r="Q1641" s="3"/>
      <c r="R1641" s="3"/>
      <c r="S1641" s="3"/>
      <c r="T1641" s="3"/>
      <c r="U1641" s="3"/>
      <c r="V1641" s="3"/>
      <c r="W1641" s="3"/>
      <c r="X1641" s="3"/>
      <c r="Y1641" s="3"/>
      <c r="Z1641" s="3"/>
      <c r="AA1641" s="3"/>
      <c r="AB1641" s="3"/>
      <c r="AC1641" s="3"/>
      <c r="AD1641" s="3"/>
      <c r="AE1641" s="3"/>
      <c r="AF1641" s="3"/>
      <c r="AG1641" s="3"/>
    </row>
    <row r="1642">
      <c r="A1642" s="2">
        <v>2019.0</v>
      </c>
      <c r="B1642" s="1" t="s">
        <v>26</v>
      </c>
      <c r="D1642" s="5" t="s">
        <v>1567</v>
      </c>
      <c r="F1642" s="5">
        <v>870901.0</v>
      </c>
      <c r="I1642" s="5">
        <v>1.1942508E7</v>
      </c>
      <c r="J1642" s="5">
        <v>4320.0</v>
      </c>
      <c r="K1642" s="5">
        <v>1.2817729E7</v>
      </c>
      <c r="L1642" s="5">
        <v>1.2431245E7</v>
      </c>
      <c r="N1642" s="5">
        <v>386484.0</v>
      </c>
      <c r="P1642" s="3"/>
      <c r="Q1642" s="3"/>
      <c r="R1642" s="3"/>
      <c r="S1642" s="3"/>
      <c r="T1642" s="3"/>
      <c r="U1642" s="3"/>
      <c r="V1642" s="3"/>
      <c r="W1642" s="3"/>
      <c r="X1642" s="3"/>
      <c r="Y1642" s="3"/>
      <c r="Z1642" s="3"/>
      <c r="AA1642" s="3"/>
      <c r="AB1642" s="3"/>
      <c r="AC1642" s="3"/>
      <c r="AD1642" s="3"/>
      <c r="AE1642" s="3"/>
      <c r="AF1642" s="3"/>
      <c r="AG1642" s="3"/>
    </row>
    <row r="1643">
      <c r="A1643" s="2">
        <v>2019.0</v>
      </c>
      <c r="B1643" s="1" t="s">
        <v>26</v>
      </c>
      <c r="D1643" s="5" t="s">
        <v>450</v>
      </c>
      <c r="F1643" s="5">
        <v>6154155.0</v>
      </c>
      <c r="I1643" s="5">
        <v>1.659E7</v>
      </c>
      <c r="J1643" s="5">
        <v>274753.0</v>
      </c>
      <c r="K1643" s="5">
        <v>2.3018908E7</v>
      </c>
      <c r="L1643" s="5">
        <v>1.4438709E7</v>
      </c>
      <c r="N1643" s="5">
        <v>8580199.0</v>
      </c>
      <c r="P1643" s="3"/>
      <c r="Q1643" s="3"/>
      <c r="R1643" s="3"/>
      <c r="S1643" s="3"/>
      <c r="T1643" s="3"/>
      <c r="U1643" s="3"/>
      <c r="V1643" s="3"/>
      <c r="W1643" s="3"/>
      <c r="X1643" s="3"/>
      <c r="Y1643" s="3"/>
      <c r="Z1643" s="3"/>
      <c r="AA1643" s="3"/>
      <c r="AB1643" s="3"/>
      <c r="AC1643" s="3"/>
      <c r="AD1643" s="3"/>
      <c r="AE1643" s="3"/>
      <c r="AF1643" s="3"/>
      <c r="AG1643" s="3"/>
    </row>
    <row r="1644">
      <c r="A1644" s="2">
        <v>2019.0</v>
      </c>
      <c r="B1644" s="1" t="s">
        <v>26</v>
      </c>
      <c r="D1644" s="5" t="s">
        <v>452</v>
      </c>
      <c r="F1644" s="5">
        <v>9220740.0</v>
      </c>
      <c r="I1644" s="5">
        <v>2.1E7</v>
      </c>
      <c r="J1644" s="5">
        <v>436795.0</v>
      </c>
      <c r="K1644" s="5">
        <v>3.0657535E7</v>
      </c>
      <c r="L1644" s="5">
        <v>1.6892971E7</v>
      </c>
      <c r="N1644" s="5">
        <v>1.3764564E7</v>
      </c>
      <c r="P1644" s="3"/>
      <c r="Q1644" s="3"/>
      <c r="R1644" s="3"/>
      <c r="S1644" s="3"/>
      <c r="T1644" s="3"/>
      <c r="U1644" s="3"/>
      <c r="V1644" s="3"/>
      <c r="W1644" s="3"/>
      <c r="X1644" s="3"/>
      <c r="Y1644" s="3"/>
      <c r="Z1644" s="3"/>
      <c r="AA1644" s="3"/>
      <c r="AB1644" s="3"/>
      <c r="AC1644" s="3"/>
      <c r="AD1644" s="3"/>
      <c r="AE1644" s="3"/>
      <c r="AF1644" s="3"/>
      <c r="AG1644" s="3"/>
    </row>
    <row r="1645">
      <c r="A1645" s="2">
        <v>2019.0</v>
      </c>
      <c r="B1645" s="1" t="s">
        <v>26</v>
      </c>
      <c r="D1645" s="5" t="s">
        <v>161</v>
      </c>
      <c r="F1645" s="5">
        <v>4465797.0</v>
      </c>
      <c r="I1645" s="5">
        <v>1.239E7</v>
      </c>
      <c r="J1645" s="5">
        <v>156737.0</v>
      </c>
      <c r="K1645" s="5">
        <v>1.7012534E7</v>
      </c>
      <c r="L1645" s="5">
        <v>1.2560388E7</v>
      </c>
      <c r="N1645" s="5">
        <v>4452146.0</v>
      </c>
      <c r="P1645" s="3"/>
      <c r="Q1645" s="3"/>
      <c r="R1645" s="3"/>
      <c r="S1645" s="3"/>
      <c r="T1645" s="3"/>
      <c r="U1645" s="3"/>
      <c r="V1645" s="3"/>
      <c r="W1645" s="3"/>
      <c r="X1645" s="3"/>
      <c r="Y1645" s="3"/>
      <c r="Z1645" s="3"/>
      <c r="AA1645" s="3"/>
      <c r="AB1645" s="3"/>
      <c r="AC1645" s="3"/>
      <c r="AD1645" s="3"/>
      <c r="AE1645" s="3"/>
      <c r="AF1645" s="3"/>
      <c r="AG1645" s="3"/>
    </row>
    <row r="1646">
      <c r="A1646" s="2">
        <v>2019.0</v>
      </c>
      <c r="B1646" s="1" t="s">
        <v>26</v>
      </c>
      <c r="D1646" s="5" t="s">
        <v>455</v>
      </c>
      <c r="F1646" s="5">
        <v>2806684.0</v>
      </c>
      <c r="I1646" s="5">
        <v>1.6609173E7</v>
      </c>
      <c r="J1646" s="5">
        <v>193680.0</v>
      </c>
      <c r="K1646" s="5">
        <v>1.9609537E7</v>
      </c>
      <c r="L1646" s="5">
        <v>1.1621637E7</v>
      </c>
      <c r="N1646" s="5">
        <v>7987900.0</v>
      </c>
      <c r="P1646" s="3"/>
      <c r="Q1646" s="3"/>
      <c r="R1646" s="3"/>
      <c r="S1646" s="3"/>
      <c r="T1646" s="3"/>
      <c r="U1646" s="3"/>
      <c r="V1646" s="3"/>
      <c r="W1646" s="3"/>
      <c r="X1646" s="3"/>
      <c r="Y1646" s="3"/>
      <c r="Z1646" s="3"/>
      <c r="AA1646" s="3"/>
      <c r="AB1646" s="3"/>
      <c r="AC1646" s="3"/>
      <c r="AD1646" s="3"/>
      <c r="AE1646" s="3"/>
      <c r="AF1646" s="3"/>
      <c r="AG1646" s="3"/>
    </row>
    <row r="1647">
      <c r="A1647" s="2">
        <v>2019.0</v>
      </c>
      <c r="B1647" s="1" t="s">
        <v>26</v>
      </c>
      <c r="D1647" s="5" t="s">
        <v>176</v>
      </c>
      <c r="F1647" s="5">
        <v>42233.0</v>
      </c>
      <c r="I1647" s="5">
        <v>1.0100623E7</v>
      </c>
      <c r="K1647" s="5">
        <v>1.0142856E7</v>
      </c>
      <c r="L1647" s="5">
        <v>9462941.0</v>
      </c>
      <c r="N1647" s="5">
        <v>679915.0</v>
      </c>
      <c r="P1647" s="3"/>
      <c r="Q1647" s="3"/>
      <c r="R1647" s="3"/>
      <c r="S1647" s="3"/>
      <c r="T1647" s="3"/>
      <c r="U1647" s="3"/>
      <c r="V1647" s="3"/>
      <c r="W1647" s="3"/>
      <c r="X1647" s="3"/>
      <c r="Y1647" s="3"/>
      <c r="Z1647" s="3"/>
      <c r="AA1647" s="3"/>
      <c r="AB1647" s="3"/>
      <c r="AC1647" s="3"/>
      <c r="AD1647" s="3"/>
      <c r="AE1647" s="3"/>
      <c r="AF1647" s="3"/>
      <c r="AG1647" s="3"/>
    </row>
    <row r="1648">
      <c r="A1648" s="2">
        <v>2019.0</v>
      </c>
      <c r="B1648" s="1" t="s">
        <v>26</v>
      </c>
      <c r="D1648" s="5" t="s">
        <v>456</v>
      </c>
      <c r="F1648" s="5">
        <v>825643.0</v>
      </c>
      <c r="I1648" s="5">
        <v>1.2822142E7</v>
      </c>
      <c r="J1648" s="5">
        <v>0.0</v>
      </c>
      <c r="K1648" s="5">
        <v>1.3647785E7</v>
      </c>
      <c r="L1648" s="5">
        <v>1.2793852E7</v>
      </c>
      <c r="N1648" s="5">
        <v>853933.0</v>
      </c>
      <c r="P1648" s="3"/>
      <c r="Q1648" s="3"/>
      <c r="R1648" s="3"/>
      <c r="S1648" s="3"/>
      <c r="T1648" s="3"/>
      <c r="U1648" s="3"/>
      <c r="V1648" s="3"/>
      <c r="W1648" s="3"/>
      <c r="X1648" s="3"/>
      <c r="Y1648" s="3"/>
      <c r="Z1648" s="3"/>
      <c r="AA1648" s="3"/>
      <c r="AB1648" s="3"/>
      <c r="AC1648" s="3"/>
      <c r="AD1648" s="3"/>
      <c r="AE1648" s="3"/>
      <c r="AF1648" s="3"/>
      <c r="AG1648" s="3"/>
    </row>
    <row r="1649">
      <c r="A1649" s="2">
        <v>2019.0</v>
      </c>
      <c r="B1649" s="1" t="s">
        <v>26</v>
      </c>
      <c r="D1649" s="5" t="s">
        <v>193</v>
      </c>
      <c r="F1649" s="5">
        <v>994405.0</v>
      </c>
      <c r="I1649" s="5">
        <v>1.6315609E7</v>
      </c>
      <c r="J1649" s="5">
        <v>33923.0</v>
      </c>
      <c r="K1649" s="5">
        <v>1.7343937E7</v>
      </c>
      <c r="L1649" s="5">
        <v>1.6590984E7</v>
      </c>
      <c r="N1649" s="5">
        <v>752953.0</v>
      </c>
      <c r="P1649" s="3"/>
      <c r="Q1649" s="3"/>
      <c r="R1649" s="3"/>
      <c r="S1649" s="3"/>
      <c r="T1649" s="3"/>
      <c r="U1649" s="3"/>
      <c r="V1649" s="3"/>
      <c r="W1649" s="3"/>
      <c r="X1649" s="3"/>
      <c r="Y1649" s="3"/>
      <c r="Z1649" s="3"/>
      <c r="AA1649" s="3"/>
      <c r="AB1649" s="3"/>
      <c r="AC1649" s="3"/>
      <c r="AD1649" s="3"/>
      <c r="AE1649" s="3"/>
      <c r="AF1649" s="3"/>
      <c r="AG1649" s="3"/>
    </row>
    <row r="1650">
      <c r="A1650" s="2">
        <v>2019.0</v>
      </c>
      <c r="B1650" s="1" t="s">
        <v>26</v>
      </c>
      <c r="D1650" s="5" t="s">
        <v>458</v>
      </c>
      <c r="F1650" s="5">
        <v>0.0</v>
      </c>
      <c r="I1650" s="5">
        <v>1.2266468E7</v>
      </c>
      <c r="J1650" s="5">
        <v>0.0</v>
      </c>
      <c r="K1650" s="5">
        <v>1.2266468E7</v>
      </c>
      <c r="L1650" s="5">
        <v>1.2266468E7</v>
      </c>
      <c r="N1650" s="5">
        <v>0.0</v>
      </c>
      <c r="P1650" s="3"/>
      <c r="Q1650" s="3"/>
      <c r="R1650" s="3"/>
      <c r="S1650" s="3"/>
      <c r="T1650" s="3"/>
      <c r="U1650" s="3"/>
      <c r="V1650" s="3"/>
      <c r="W1650" s="3"/>
      <c r="X1650" s="3"/>
      <c r="Y1650" s="3"/>
      <c r="Z1650" s="3"/>
      <c r="AA1650" s="3"/>
      <c r="AB1650" s="3"/>
      <c r="AC1650" s="3"/>
      <c r="AD1650" s="3"/>
      <c r="AE1650" s="3"/>
      <c r="AF1650" s="3"/>
      <c r="AG1650" s="3"/>
    </row>
    <row r="1651">
      <c r="B1651" s="2"/>
      <c r="P1651" s="3"/>
      <c r="Q1651" s="3"/>
      <c r="R1651" s="3"/>
      <c r="S1651" s="3"/>
      <c r="T1651" s="3"/>
      <c r="U1651" s="3"/>
      <c r="V1651" s="3"/>
      <c r="W1651" s="3"/>
      <c r="X1651" s="3"/>
      <c r="Y1651" s="3"/>
      <c r="Z1651" s="3"/>
      <c r="AA1651" s="3"/>
      <c r="AB1651" s="3"/>
      <c r="AC1651" s="3"/>
      <c r="AD1651" s="3"/>
      <c r="AE1651" s="3"/>
      <c r="AF1651" s="3"/>
      <c r="AG1651" s="3"/>
    </row>
    <row r="1652">
      <c r="B1652" s="2"/>
      <c r="P1652" s="3"/>
      <c r="Q1652" s="3"/>
      <c r="R1652" s="3"/>
      <c r="S1652" s="3"/>
      <c r="T1652" s="3"/>
      <c r="U1652" s="3"/>
      <c r="V1652" s="3"/>
      <c r="W1652" s="3"/>
      <c r="X1652" s="3"/>
      <c r="Y1652" s="3"/>
      <c r="Z1652" s="3"/>
      <c r="AA1652" s="3"/>
      <c r="AB1652" s="3"/>
      <c r="AC1652" s="3"/>
      <c r="AD1652" s="3"/>
      <c r="AE1652" s="3"/>
      <c r="AF1652" s="3"/>
      <c r="AG1652" s="3"/>
    </row>
    <row r="1653">
      <c r="B1653" s="2"/>
      <c r="P1653" s="3"/>
      <c r="Q1653" s="3"/>
      <c r="R1653" s="3"/>
      <c r="S1653" s="3"/>
      <c r="T1653" s="3"/>
      <c r="U1653" s="3"/>
      <c r="V1653" s="3"/>
      <c r="W1653" s="3"/>
      <c r="X1653" s="3"/>
      <c r="Y1653" s="3"/>
      <c r="Z1653" s="3"/>
      <c r="AA1653" s="3"/>
      <c r="AB1653" s="3"/>
      <c r="AC1653" s="3"/>
      <c r="AD1653" s="3"/>
      <c r="AE1653" s="3"/>
      <c r="AF1653" s="3"/>
      <c r="AG1653" s="3"/>
    </row>
    <row r="1654">
      <c r="B1654" s="2"/>
      <c r="P1654" s="3"/>
      <c r="Q1654" s="3"/>
      <c r="R1654" s="3"/>
      <c r="S1654" s="3"/>
      <c r="T1654" s="3"/>
      <c r="U1654" s="3"/>
      <c r="V1654" s="3"/>
      <c r="W1654" s="3"/>
      <c r="X1654" s="3"/>
      <c r="Y1654" s="3"/>
      <c r="Z1654" s="3"/>
      <c r="AA1654" s="3"/>
      <c r="AB1654" s="3"/>
      <c r="AC1654" s="3"/>
      <c r="AD1654" s="3"/>
      <c r="AE1654" s="3"/>
      <c r="AF1654" s="3"/>
      <c r="AG1654" s="3"/>
    </row>
    <row r="1655">
      <c r="B1655" s="2"/>
      <c r="P1655" s="3"/>
      <c r="Q1655" s="3"/>
      <c r="R1655" s="3"/>
      <c r="S1655" s="3"/>
      <c r="T1655" s="3"/>
      <c r="U1655" s="3"/>
      <c r="V1655" s="3"/>
      <c r="W1655" s="3"/>
      <c r="X1655" s="3"/>
      <c r="Y1655" s="3"/>
      <c r="Z1655" s="3"/>
      <c r="AA1655" s="3"/>
      <c r="AB1655" s="3"/>
      <c r="AC1655" s="3"/>
      <c r="AD1655" s="3"/>
      <c r="AE1655" s="3"/>
      <c r="AF1655" s="3"/>
      <c r="AG1655" s="3"/>
    </row>
    <row r="1656">
      <c r="B1656" s="2"/>
      <c r="P1656" s="3"/>
      <c r="Q1656" s="3"/>
      <c r="R1656" s="3"/>
      <c r="S1656" s="3"/>
      <c r="T1656" s="3"/>
      <c r="U1656" s="3"/>
      <c r="V1656" s="3"/>
      <c r="W1656" s="3"/>
      <c r="X1656" s="3"/>
      <c r="Y1656" s="3"/>
      <c r="Z1656" s="3"/>
      <c r="AA1656" s="3"/>
      <c r="AB1656" s="3"/>
      <c r="AC1656" s="3"/>
      <c r="AD1656" s="3"/>
      <c r="AE1656" s="3"/>
      <c r="AF1656" s="3"/>
      <c r="AG1656" s="3"/>
    </row>
    <row r="1657">
      <c r="B1657" s="2"/>
      <c r="P1657" s="3"/>
      <c r="Q1657" s="3"/>
      <c r="R1657" s="3"/>
      <c r="S1657" s="3"/>
      <c r="T1657" s="3"/>
      <c r="U1657" s="3"/>
      <c r="V1657" s="3"/>
      <c r="W1657" s="3"/>
      <c r="X1657" s="3"/>
      <c r="Y1657" s="3"/>
      <c r="Z1657" s="3"/>
      <c r="AA1657" s="3"/>
      <c r="AB1657" s="3"/>
      <c r="AC1657" s="3"/>
      <c r="AD1657" s="3"/>
      <c r="AE1657" s="3"/>
      <c r="AF1657" s="3"/>
      <c r="AG1657" s="3"/>
    </row>
    <row r="1658">
      <c r="B1658" s="2"/>
      <c r="P1658" s="3"/>
      <c r="Q1658" s="3"/>
      <c r="R1658" s="3"/>
      <c r="S1658" s="3"/>
      <c r="T1658" s="3"/>
      <c r="U1658" s="3"/>
      <c r="V1658" s="3"/>
      <c r="W1658" s="3"/>
      <c r="X1658" s="3"/>
      <c r="Y1658" s="3"/>
      <c r="Z1658" s="3"/>
      <c r="AA1658" s="3"/>
      <c r="AB1658" s="3"/>
      <c r="AC1658" s="3"/>
      <c r="AD1658" s="3"/>
      <c r="AE1658" s="3"/>
      <c r="AF1658" s="3"/>
      <c r="AG1658" s="3"/>
    </row>
    <row r="1659">
      <c r="B1659" s="2"/>
      <c r="P1659" s="3"/>
      <c r="Q1659" s="3"/>
      <c r="R1659" s="3"/>
      <c r="S1659" s="3"/>
      <c r="T1659" s="3"/>
      <c r="U1659" s="3"/>
      <c r="V1659" s="3"/>
      <c r="W1659" s="3"/>
      <c r="X1659" s="3"/>
      <c r="Y1659" s="3"/>
      <c r="Z1659" s="3"/>
      <c r="AA1659" s="3"/>
      <c r="AB1659" s="3"/>
      <c r="AC1659" s="3"/>
      <c r="AD1659" s="3"/>
      <c r="AE1659" s="3"/>
      <c r="AF1659" s="3"/>
      <c r="AG1659" s="3"/>
    </row>
    <row r="1660">
      <c r="B1660" s="2"/>
      <c r="P1660" s="3"/>
      <c r="Q1660" s="3"/>
      <c r="R1660" s="3"/>
      <c r="S1660" s="3"/>
      <c r="T1660" s="3"/>
      <c r="U1660" s="3"/>
      <c r="V1660" s="3"/>
      <c r="W1660" s="3"/>
      <c r="X1660" s="3"/>
      <c r="Y1660" s="3"/>
      <c r="Z1660" s="3"/>
      <c r="AA1660" s="3"/>
      <c r="AB1660" s="3"/>
      <c r="AC1660" s="3"/>
      <c r="AD1660" s="3"/>
      <c r="AE1660" s="3"/>
      <c r="AF1660" s="3"/>
      <c r="AG1660" s="3"/>
    </row>
    <row r="1661">
      <c r="B1661" s="2"/>
      <c r="P1661" s="3"/>
      <c r="Q1661" s="3"/>
      <c r="R1661" s="3"/>
      <c r="S1661" s="3"/>
      <c r="T1661" s="3"/>
      <c r="U1661" s="3"/>
      <c r="V1661" s="3"/>
      <c r="W1661" s="3"/>
      <c r="X1661" s="3"/>
      <c r="Y1661" s="3"/>
      <c r="Z1661" s="3"/>
      <c r="AA1661" s="3"/>
      <c r="AB1661" s="3"/>
      <c r="AC1661" s="3"/>
      <c r="AD1661" s="3"/>
      <c r="AE1661" s="3"/>
      <c r="AF1661" s="3"/>
      <c r="AG1661" s="3"/>
    </row>
    <row r="1662">
      <c r="B1662" s="2"/>
      <c r="P1662" s="3"/>
      <c r="Q1662" s="3"/>
      <c r="R1662" s="3"/>
      <c r="S1662" s="3"/>
      <c r="T1662" s="3"/>
      <c r="U1662" s="3"/>
      <c r="V1662" s="3"/>
      <c r="W1662" s="3"/>
      <c r="X1662" s="3"/>
      <c r="Y1662" s="3"/>
      <c r="Z1662" s="3"/>
      <c r="AA1662" s="3"/>
      <c r="AB1662" s="3"/>
      <c r="AC1662" s="3"/>
      <c r="AD1662" s="3"/>
      <c r="AE1662" s="3"/>
      <c r="AF1662" s="3"/>
      <c r="AG1662" s="3"/>
    </row>
    <row r="1663">
      <c r="B1663" s="2"/>
      <c r="P1663" s="3"/>
      <c r="Q1663" s="3"/>
      <c r="R1663" s="3"/>
      <c r="S1663" s="3"/>
      <c r="T1663" s="3"/>
      <c r="U1663" s="3"/>
      <c r="V1663" s="3"/>
      <c r="W1663" s="3"/>
      <c r="X1663" s="3"/>
      <c r="Y1663" s="3"/>
      <c r="Z1663" s="3"/>
      <c r="AA1663" s="3"/>
      <c r="AB1663" s="3"/>
      <c r="AC1663" s="3"/>
      <c r="AD1663" s="3"/>
      <c r="AE1663" s="3"/>
      <c r="AF1663" s="3"/>
      <c r="AG1663" s="3"/>
    </row>
    <row r="1664">
      <c r="B1664" s="2"/>
      <c r="P1664" s="3"/>
      <c r="Q1664" s="3"/>
      <c r="R1664" s="3"/>
      <c r="S1664" s="3"/>
      <c r="T1664" s="3"/>
      <c r="U1664" s="3"/>
      <c r="V1664" s="3"/>
      <c r="W1664" s="3"/>
      <c r="X1664" s="3"/>
      <c r="Y1664" s="3"/>
      <c r="Z1664" s="3"/>
      <c r="AA1664" s="3"/>
      <c r="AB1664" s="3"/>
      <c r="AC1664" s="3"/>
      <c r="AD1664" s="3"/>
      <c r="AE1664" s="3"/>
      <c r="AF1664" s="3"/>
      <c r="AG1664" s="3"/>
    </row>
    <row r="1665">
      <c r="B1665" s="2"/>
      <c r="P1665" s="3"/>
      <c r="Q1665" s="3"/>
      <c r="R1665" s="3"/>
      <c r="S1665" s="3"/>
      <c r="T1665" s="3"/>
      <c r="U1665" s="3"/>
      <c r="V1665" s="3"/>
      <c r="W1665" s="3"/>
      <c r="X1665" s="3"/>
      <c r="Y1665" s="3"/>
      <c r="Z1665" s="3"/>
      <c r="AA1665" s="3"/>
      <c r="AB1665" s="3"/>
      <c r="AC1665" s="3"/>
      <c r="AD1665" s="3"/>
      <c r="AE1665" s="3"/>
      <c r="AF1665" s="3"/>
      <c r="AG1665" s="3"/>
    </row>
    <row r="1666">
      <c r="B1666" s="2"/>
      <c r="P1666" s="3"/>
      <c r="Q1666" s="3"/>
      <c r="R1666" s="3"/>
      <c r="S1666" s="3"/>
      <c r="T1666" s="3"/>
      <c r="U1666" s="3"/>
      <c r="V1666" s="3"/>
      <c r="W1666" s="3"/>
      <c r="X1666" s="3"/>
      <c r="Y1666" s="3"/>
      <c r="Z1666" s="3"/>
      <c r="AA1666" s="3"/>
      <c r="AB1666" s="3"/>
      <c r="AC1666" s="3"/>
      <c r="AD1666" s="3"/>
      <c r="AE1666" s="3"/>
      <c r="AF1666" s="3"/>
      <c r="AG1666" s="3"/>
    </row>
    <row r="1667">
      <c r="B1667" s="2"/>
      <c r="P1667" s="3"/>
      <c r="Q1667" s="3"/>
      <c r="R1667" s="3"/>
      <c r="S1667" s="3"/>
      <c r="T1667" s="3"/>
      <c r="U1667" s="3"/>
      <c r="V1667" s="3"/>
      <c r="W1667" s="3"/>
      <c r="X1667" s="3"/>
      <c r="Y1667" s="3"/>
      <c r="Z1667" s="3"/>
      <c r="AA1667" s="3"/>
      <c r="AB1667" s="3"/>
      <c r="AC1667" s="3"/>
      <c r="AD1667" s="3"/>
      <c r="AE1667" s="3"/>
      <c r="AF1667" s="3"/>
      <c r="AG1667" s="3"/>
    </row>
    <row r="1668">
      <c r="B1668" s="2"/>
      <c r="P1668" s="3"/>
      <c r="Q1668" s="3"/>
      <c r="R1668" s="3"/>
      <c r="S1668" s="3"/>
      <c r="T1668" s="3"/>
      <c r="U1668" s="3"/>
      <c r="V1668" s="3"/>
      <c r="W1668" s="3"/>
      <c r="X1668" s="3"/>
      <c r="Y1668" s="3"/>
      <c r="Z1668" s="3"/>
      <c r="AA1668" s="3"/>
      <c r="AB1668" s="3"/>
      <c r="AC1668" s="3"/>
      <c r="AD1668" s="3"/>
      <c r="AE1668" s="3"/>
      <c r="AF1668" s="3"/>
      <c r="AG1668" s="3"/>
    </row>
    <row r="1669">
      <c r="B1669" s="2"/>
      <c r="P1669" s="3"/>
      <c r="Q1669" s="3"/>
      <c r="R1669" s="3"/>
      <c r="S1669" s="3"/>
      <c r="T1669" s="3"/>
      <c r="U1669" s="3"/>
      <c r="V1669" s="3"/>
      <c r="W1669" s="3"/>
      <c r="X1669" s="3"/>
      <c r="Y1669" s="3"/>
      <c r="Z1669" s="3"/>
      <c r="AA1669" s="3"/>
      <c r="AB1669" s="3"/>
      <c r="AC1669" s="3"/>
      <c r="AD1669" s="3"/>
      <c r="AE1669" s="3"/>
      <c r="AF1669" s="3"/>
      <c r="AG1669" s="3"/>
    </row>
    <row r="1670">
      <c r="B1670" s="2"/>
      <c r="P1670" s="3"/>
      <c r="Q1670" s="3"/>
      <c r="R1670" s="3"/>
      <c r="S1670" s="3"/>
      <c r="T1670" s="3"/>
      <c r="U1670" s="3"/>
      <c r="V1670" s="3"/>
      <c r="W1670" s="3"/>
      <c r="X1670" s="3"/>
      <c r="Y1670" s="3"/>
      <c r="Z1670" s="3"/>
      <c r="AA1670" s="3"/>
      <c r="AB1670" s="3"/>
      <c r="AC1670" s="3"/>
      <c r="AD1670" s="3"/>
      <c r="AE1670" s="3"/>
      <c r="AF1670" s="3"/>
      <c r="AG1670" s="3"/>
    </row>
    <row r="1671">
      <c r="B1671" s="2"/>
      <c r="P1671" s="3"/>
      <c r="Q1671" s="3"/>
      <c r="R1671" s="3"/>
      <c r="S1671" s="3"/>
      <c r="T1671" s="3"/>
      <c r="U1671" s="3"/>
      <c r="V1671" s="3"/>
      <c r="W1671" s="3"/>
      <c r="X1671" s="3"/>
      <c r="Y1671" s="3"/>
      <c r="Z1671" s="3"/>
      <c r="AA1671" s="3"/>
      <c r="AB1671" s="3"/>
      <c r="AC1671" s="3"/>
      <c r="AD1671" s="3"/>
      <c r="AE1671" s="3"/>
      <c r="AF1671" s="3"/>
      <c r="AG1671" s="3"/>
    </row>
    <row r="1672">
      <c r="B1672" s="2"/>
      <c r="P1672" s="3"/>
      <c r="Q1672" s="3"/>
      <c r="R1672" s="3"/>
      <c r="S1672" s="3"/>
      <c r="T1672" s="3"/>
      <c r="U1672" s="3"/>
      <c r="V1672" s="3"/>
      <c r="W1672" s="3"/>
      <c r="X1672" s="3"/>
      <c r="Y1672" s="3"/>
      <c r="Z1672" s="3"/>
      <c r="AA1672" s="3"/>
      <c r="AB1672" s="3"/>
      <c r="AC1672" s="3"/>
      <c r="AD1672" s="3"/>
      <c r="AE1672" s="3"/>
      <c r="AF1672" s="3"/>
      <c r="AG1672" s="3"/>
    </row>
    <row r="1673">
      <c r="B1673" s="2"/>
      <c r="P1673" s="3"/>
      <c r="Q1673" s="3"/>
      <c r="R1673" s="3"/>
      <c r="S1673" s="3"/>
      <c r="T1673" s="3"/>
      <c r="U1673" s="3"/>
      <c r="V1673" s="3"/>
      <c r="W1673" s="3"/>
      <c r="X1673" s="3"/>
      <c r="Y1673" s="3"/>
      <c r="Z1673" s="3"/>
      <c r="AA1673" s="3"/>
      <c r="AB1673" s="3"/>
      <c r="AC1673" s="3"/>
      <c r="AD1673" s="3"/>
      <c r="AE1673" s="3"/>
      <c r="AF1673" s="3"/>
      <c r="AG1673" s="3"/>
    </row>
    <row r="1674">
      <c r="B1674" s="2"/>
      <c r="P1674" s="3"/>
      <c r="Q1674" s="3"/>
      <c r="R1674" s="3"/>
      <c r="S1674" s="3"/>
      <c r="T1674" s="3"/>
      <c r="U1674" s="3"/>
      <c r="V1674" s="3"/>
      <c r="W1674" s="3"/>
      <c r="X1674" s="3"/>
      <c r="Y1674" s="3"/>
      <c r="Z1674" s="3"/>
      <c r="AA1674" s="3"/>
      <c r="AB1674" s="3"/>
      <c r="AC1674" s="3"/>
      <c r="AD1674" s="3"/>
      <c r="AE1674" s="3"/>
      <c r="AF1674" s="3"/>
      <c r="AG1674" s="3"/>
    </row>
    <row r="1675">
      <c r="B1675" s="2"/>
      <c r="P1675" s="3"/>
      <c r="Q1675" s="3"/>
      <c r="R1675" s="3"/>
      <c r="S1675" s="3"/>
      <c r="T1675" s="3"/>
      <c r="U1675" s="3"/>
      <c r="V1675" s="3"/>
      <c r="W1675" s="3"/>
      <c r="X1675" s="3"/>
      <c r="Y1675" s="3"/>
      <c r="Z1675" s="3"/>
      <c r="AA1675" s="3"/>
      <c r="AB1675" s="3"/>
      <c r="AC1675" s="3"/>
      <c r="AD1675" s="3"/>
      <c r="AE1675" s="3"/>
      <c r="AF1675" s="3"/>
      <c r="AG1675" s="3"/>
    </row>
    <row r="1676">
      <c r="B1676" s="2"/>
      <c r="P1676" s="3"/>
      <c r="Q1676" s="3"/>
      <c r="R1676" s="3"/>
      <c r="S1676" s="3"/>
      <c r="T1676" s="3"/>
      <c r="U1676" s="3"/>
      <c r="V1676" s="3"/>
      <c r="W1676" s="3"/>
      <c r="X1676" s="3"/>
      <c r="Y1676" s="3"/>
      <c r="Z1676" s="3"/>
      <c r="AA1676" s="3"/>
      <c r="AB1676" s="3"/>
      <c r="AC1676" s="3"/>
      <c r="AD1676" s="3"/>
      <c r="AE1676" s="3"/>
      <c r="AF1676" s="3"/>
      <c r="AG1676" s="3"/>
    </row>
    <row r="1677">
      <c r="B1677" s="2"/>
      <c r="P1677" s="3"/>
      <c r="Q1677" s="3"/>
      <c r="R1677" s="3"/>
      <c r="S1677" s="3"/>
      <c r="T1677" s="3"/>
      <c r="U1677" s="3"/>
      <c r="V1677" s="3"/>
      <c r="W1677" s="3"/>
      <c r="X1677" s="3"/>
      <c r="Y1677" s="3"/>
      <c r="Z1677" s="3"/>
      <c r="AA1677" s="3"/>
      <c r="AB1677" s="3"/>
      <c r="AC1677" s="3"/>
      <c r="AD1677" s="3"/>
      <c r="AE1677" s="3"/>
      <c r="AF1677" s="3"/>
      <c r="AG1677" s="3"/>
    </row>
    <row r="1678">
      <c r="B1678" s="2"/>
      <c r="P1678" s="3"/>
      <c r="Q1678" s="3"/>
      <c r="R1678" s="3"/>
      <c r="S1678" s="3"/>
      <c r="T1678" s="3"/>
      <c r="U1678" s="3"/>
      <c r="V1678" s="3"/>
      <c r="W1678" s="3"/>
      <c r="X1678" s="3"/>
      <c r="Y1678" s="3"/>
      <c r="Z1678" s="3"/>
      <c r="AA1678" s="3"/>
      <c r="AB1678" s="3"/>
      <c r="AC1678" s="3"/>
      <c r="AD1678" s="3"/>
      <c r="AE1678" s="3"/>
      <c r="AF1678" s="3"/>
      <c r="AG1678" s="3"/>
    </row>
    <row r="1679">
      <c r="B1679" s="2"/>
      <c r="P1679" s="3"/>
      <c r="Q1679" s="3"/>
      <c r="R1679" s="3"/>
      <c r="S1679" s="3"/>
      <c r="T1679" s="3"/>
      <c r="U1679" s="3"/>
      <c r="V1679" s="3"/>
      <c r="W1679" s="3"/>
      <c r="X1679" s="3"/>
      <c r="Y1679" s="3"/>
      <c r="Z1679" s="3"/>
      <c r="AA1679" s="3"/>
      <c r="AB1679" s="3"/>
      <c r="AC1679" s="3"/>
      <c r="AD1679" s="3"/>
      <c r="AE1679" s="3"/>
      <c r="AF1679" s="3"/>
      <c r="AG1679" s="3"/>
    </row>
    <row r="1680">
      <c r="B1680" s="2"/>
      <c r="P1680" s="3"/>
      <c r="Q1680" s="3"/>
      <c r="R1680" s="3"/>
      <c r="S1680" s="3"/>
      <c r="T1680" s="3"/>
      <c r="U1680" s="3"/>
      <c r="V1680" s="3"/>
      <c r="W1680" s="3"/>
      <c r="X1680" s="3"/>
      <c r="Y1680" s="3"/>
      <c r="Z1680" s="3"/>
      <c r="AA1680" s="3"/>
      <c r="AB1680" s="3"/>
      <c r="AC1680" s="3"/>
      <c r="AD1680" s="3"/>
      <c r="AE1680" s="3"/>
      <c r="AF1680" s="3"/>
      <c r="AG1680" s="3"/>
    </row>
    <row r="1681">
      <c r="B1681" s="2"/>
      <c r="P1681" s="3"/>
      <c r="Q1681" s="3"/>
      <c r="R1681" s="3"/>
      <c r="S1681" s="3"/>
      <c r="T1681" s="3"/>
      <c r="U1681" s="3"/>
      <c r="V1681" s="3"/>
      <c r="W1681" s="3"/>
      <c r="X1681" s="3"/>
      <c r="Y1681" s="3"/>
      <c r="Z1681" s="3"/>
      <c r="AA1681" s="3"/>
      <c r="AB1681" s="3"/>
      <c r="AC1681" s="3"/>
      <c r="AD1681" s="3"/>
      <c r="AE1681" s="3"/>
      <c r="AF1681" s="3"/>
      <c r="AG1681" s="3"/>
    </row>
    <row r="1682">
      <c r="B1682" s="2"/>
      <c r="P1682" s="3"/>
      <c r="Q1682" s="3"/>
      <c r="R1682" s="3"/>
      <c r="S1682" s="3"/>
      <c r="T1682" s="3"/>
      <c r="U1682" s="3"/>
      <c r="V1682" s="3"/>
      <c r="W1682" s="3"/>
      <c r="X1682" s="3"/>
      <c r="Y1682" s="3"/>
      <c r="Z1682" s="3"/>
      <c r="AA1682" s="3"/>
      <c r="AB1682" s="3"/>
      <c r="AC1682" s="3"/>
      <c r="AD1682" s="3"/>
      <c r="AE1682" s="3"/>
      <c r="AF1682" s="3"/>
      <c r="AG1682" s="3"/>
    </row>
    <row r="1683">
      <c r="B1683" s="2"/>
      <c r="P1683" s="3"/>
      <c r="Q1683" s="3"/>
      <c r="R1683" s="3"/>
      <c r="S1683" s="3"/>
      <c r="T1683" s="3"/>
      <c r="U1683" s="3"/>
      <c r="V1683" s="3"/>
      <c r="W1683" s="3"/>
      <c r="X1683" s="3"/>
      <c r="Y1683" s="3"/>
      <c r="Z1683" s="3"/>
      <c r="AA1683" s="3"/>
      <c r="AB1683" s="3"/>
      <c r="AC1683" s="3"/>
      <c r="AD1683" s="3"/>
      <c r="AE1683" s="3"/>
      <c r="AF1683" s="3"/>
      <c r="AG1683" s="3"/>
    </row>
    <row r="1684">
      <c r="B1684" s="2"/>
      <c r="P1684" s="3"/>
      <c r="Q1684" s="3"/>
      <c r="R1684" s="3"/>
      <c r="S1684" s="3"/>
      <c r="T1684" s="3"/>
      <c r="U1684" s="3"/>
      <c r="V1684" s="3"/>
      <c r="W1684" s="3"/>
      <c r="X1684" s="3"/>
      <c r="Y1684" s="3"/>
      <c r="Z1684" s="3"/>
      <c r="AA1684" s="3"/>
      <c r="AB1684" s="3"/>
      <c r="AC1684" s="3"/>
      <c r="AD1684" s="3"/>
      <c r="AE1684" s="3"/>
      <c r="AF1684" s="3"/>
      <c r="AG1684" s="3"/>
    </row>
    <row r="1685">
      <c r="B1685" s="2"/>
      <c r="P1685" s="3"/>
      <c r="Q1685" s="3"/>
      <c r="R1685" s="3"/>
      <c r="S1685" s="3"/>
      <c r="T1685" s="3"/>
      <c r="U1685" s="3"/>
      <c r="V1685" s="3"/>
      <c r="W1685" s="3"/>
      <c r="X1685" s="3"/>
      <c r="Y1685" s="3"/>
      <c r="Z1685" s="3"/>
      <c r="AA1685" s="3"/>
      <c r="AB1685" s="3"/>
      <c r="AC1685" s="3"/>
      <c r="AD1685" s="3"/>
      <c r="AE1685" s="3"/>
      <c r="AF1685" s="3"/>
      <c r="AG1685" s="3"/>
    </row>
    <row r="1686">
      <c r="B1686" s="2"/>
      <c r="P1686" s="3"/>
      <c r="Q1686" s="3"/>
      <c r="R1686" s="3"/>
      <c r="S1686" s="3"/>
      <c r="T1686" s="3"/>
      <c r="U1686" s="3"/>
      <c r="V1686" s="3"/>
      <c r="W1686" s="3"/>
      <c r="X1686" s="3"/>
      <c r="Y1686" s="3"/>
      <c r="Z1686" s="3"/>
      <c r="AA1686" s="3"/>
      <c r="AB1686" s="3"/>
      <c r="AC1686" s="3"/>
      <c r="AD1686" s="3"/>
      <c r="AE1686" s="3"/>
      <c r="AF1686" s="3"/>
      <c r="AG1686" s="3"/>
    </row>
    <row r="1687">
      <c r="B1687" s="2"/>
      <c r="P1687" s="3"/>
      <c r="Q1687" s="3"/>
      <c r="R1687" s="3"/>
      <c r="S1687" s="3"/>
      <c r="T1687" s="3"/>
      <c r="U1687" s="3"/>
      <c r="V1687" s="3"/>
      <c r="W1687" s="3"/>
      <c r="X1687" s="3"/>
      <c r="Y1687" s="3"/>
      <c r="Z1687" s="3"/>
      <c r="AA1687" s="3"/>
      <c r="AB1687" s="3"/>
      <c r="AC1687" s="3"/>
      <c r="AD1687" s="3"/>
      <c r="AE1687" s="3"/>
      <c r="AF1687" s="3"/>
      <c r="AG1687" s="3"/>
    </row>
    <row r="1688">
      <c r="B1688" s="2"/>
      <c r="P1688" s="3"/>
      <c r="Q1688" s="3"/>
      <c r="R1688" s="3"/>
      <c r="S1688" s="3"/>
      <c r="T1688" s="3"/>
      <c r="U1688" s="3"/>
      <c r="V1688" s="3"/>
      <c r="W1688" s="3"/>
      <c r="X1688" s="3"/>
      <c r="Y1688" s="3"/>
      <c r="Z1688" s="3"/>
      <c r="AA1688" s="3"/>
      <c r="AB1688" s="3"/>
      <c r="AC1688" s="3"/>
      <c r="AD1688" s="3"/>
      <c r="AE1688" s="3"/>
      <c r="AF1688" s="3"/>
      <c r="AG1688" s="3"/>
    </row>
    <row r="1689">
      <c r="B1689" s="2"/>
      <c r="P1689" s="3"/>
      <c r="Q1689" s="3"/>
      <c r="R1689" s="3"/>
      <c r="S1689" s="3"/>
      <c r="T1689" s="3"/>
      <c r="U1689" s="3"/>
      <c r="V1689" s="3"/>
      <c r="W1689" s="3"/>
      <c r="X1689" s="3"/>
      <c r="Y1689" s="3"/>
      <c r="Z1689" s="3"/>
      <c r="AA1689" s="3"/>
      <c r="AB1689" s="3"/>
      <c r="AC1689" s="3"/>
      <c r="AD1689" s="3"/>
      <c r="AE1689" s="3"/>
      <c r="AF1689" s="3"/>
      <c r="AG1689" s="3"/>
    </row>
    <row r="1690">
      <c r="B1690" s="2"/>
      <c r="P1690" s="3"/>
      <c r="Q1690" s="3"/>
      <c r="R1690" s="3"/>
      <c r="S1690" s="3"/>
      <c r="T1690" s="3"/>
      <c r="U1690" s="3"/>
      <c r="V1690" s="3"/>
      <c r="W1690" s="3"/>
      <c r="X1690" s="3"/>
      <c r="Y1690" s="3"/>
      <c r="Z1690" s="3"/>
      <c r="AA1690" s="3"/>
      <c r="AB1690" s="3"/>
      <c r="AC1690" s="3"/>
      <c r="AD1690" s="3"/>
      <c r="AE1690" s="3"/>
      <c r="AF1690" s="3"/>
      <c r="AG1690" s="3"/>
    </row>
    <row r="1691">
      <c r="B1691" s="2"/>
      <c r="P1691" s="3"/>
      <c r="Q1691" s="3"/>
      <c r="R1691" s="3"/>
      <c r="S1691" s="3"/>
      <c r="T1691" s="3"/>
      <c r="U1691" s="3"/>
      <c r="V1691" s="3"/>
      <c r="W1691" s="3"/>
      <c r="X1691" s="3"/>
      <c r="Y1691" s="3"/>
      <c r="Z1691" s="3"/>
      <c r="AA1691" s="3"/>
      <c r="AB1691" s="3"/>
      <c r="AC1691" s="3"/>
      <c r="AD1691" s="3"/>
      <c r="AE1691" s="3"/>
      <c r="AF1691" s="3"/>
      <c r="AG1691" s="3"/>
    </row>
    <row r="1692">
      <c r="B1692" s="2"/>
      <c r="P1692" s="3"/>
      <c r="Q1692" s="3"/>
      <c r="R1692" s="3"/>
      <c r="S1692" s="3"/>
      <c r="T1692" s="3"/>
      <c r="U1692" s="3"/>
      <c r="V1692" s="3"/>
      <c r="W1692" s="3"/>
      <c r="X1692" s="3"/>
      <c r="Y1692" s="3"/>
      <c r="Z1692" s="3"/>
      <c r="AA1692" s="3"/>
      <c r="AB1692" s="3"/>
      <c r="AC1692" s="3"/>
      <c r="AD1692" s="3"/>
      <c r="AE1692" s="3"/>
      <c r="AF1692" s="3"/>
      <c r="AG1692" s="3"/>
    </row>
    <row r="1693">
      <c r="B1693" s="2"/>
      <c r="P1693" s="3"/>
      <c r="Q1693" s="3"/>
      <c r="R1693" s="3"/>
      <c r="S1693" s="3"/>
      <c r="T1693" s="3"/>
      <c r="U1693" s="3"/>
      <c r="V1693" s="3"/>
      <c r="W1693" s="3"/>
      <c r="X1693" s="3"/>
      <c r="Y1693" s="3"/>
      <c r="Z1693" s="3"/>
      <c r="AA1693" s="3"/>
      <c r="AB1693" s="3"/>
      <c r="AC1693" s="3"/>
      <c r="AD1693" s="3"/>
      <c r="AE1693" s="3"/>
      <c r="AF1693" s="3"/>
      <c r="AG1693" s="3"/>
    </row>
    <row r="1694">
      <c r="B1694" s="2"/>
      <c r="P1694" s="3"/>
      <c r="Q1694" s="3"/>
      <c r="R1694" s="3"/>
      <c r="S1694" s="3"/>
      <c r="T1694" s="3"/>
      <c r="U1694" s="3"/>
      <c r="V1694" s="3"/>
      <c r="W1694" s="3"/>
      <c r="X1694" s="3"/>
      <c r="Y1694" s="3"/>
      <c r="Z1694" s="3"/>
      <c r="AA1694" s="3"/>
      <c r="AB1694" s="3"/>
      <c r="AC1694" s="3"/>
      <c r="AD1694" s="3"/>
      <c r="AE1694" s="3"/>
      <c r="AF1694" s="3"/>
      <c r="AG1694" s="3"/>
    </row>
    <row r="1695">
      <c r="B1695" s="2"/>
      <c r="P1695" s="3"/>
      <c r="Q1695" s="3"/>
      <c r="R1695" s="3"/>
      <c r="S1695" s="3"/>
      <c r="T1695" s="3"/>
      <c r="U1695" s="3"/>
      <c r="V1695" s="3"/>
      <c r="W1695" s="3"/>
      <c r="X1695" s="3"/>
      <c r="Y1695" s="3"/>
      <c r="Z1695" s="3"/>
      <c r="AA1695" s="3"/>
      <c r="AB1695" s="3"/>
      <c r="AC1695" s="3"/>
      <c r="AD1695" s="3"/>
      <c r="AE1695" s="3"/>
      <c r="AF1695" s="3"/>
      <c r="AG1695" s="3"/>
    </row>
    <row r="1696">
      <c r="B1696" s="2"/>
      <c r="P1696" s="3"/>
      <c r="Q1696" s="3"/>
      <c r="R1696" s="3"/>
      <c r="S1696" s="3"/>
      <c r="T1696" s="3"/>
      <c r="U1696" s="3"/>
      <c r="V1696" s="3"/>
      <c r="W1696" s="3"/>
      <c r="X1696" s="3"/>
      <c r="Y1696" s="3"/>
      <c r="Z1696" s="3"/>
      <c r="AA1696" s="3"/>
      <c r="AB1696" s="3"/>
      <c r="AC1696" s="3"/>
      <c r="AD1696" s="3"/>
      <c r="AE1696" s="3"/>
      <c r="AF1696" s="3"/>
      <c r="AG1696" s="3"/>
    </row>
    <row r="1697">
      <c r="B1697" s="2"/>
      <c r="P1697" s="3"/>
      <c r="Q1697" s="3"/>
      <c r="R1697" s="3"/>
      <c r="S1697" s="3"/>
      <c r="T1697" s="3"/>
      <c r="U1697" s="3"/>
      <c r="V1697" s="3"/>
      <c r="W1697" s="3"/>
      <c r="X1697" s="3"/>
      <c r="Y1697" s="3"/>
      <c r="Z1697" s="3"/>
      <c r="AA1697" s="3"/>
      <c r="AB1697" s="3"/>
      <c r="AC1697" s="3"/>
      <c r="AD1697" s="3"/>
      <c r="AE1697" s="3"/>
      <c r="AF1697" s="3"/>
      <c r="AG1697" s="3"/>
    </row>
    <row r="1698">
      <c r="B1698" s="2"/>
      <c r="P1698" s="3"/>
      <c r="Q1698" s="3"/>
      <c r="R1698" s="3"/>
      <c r="S1698" s="3"/>
      <c r="T1698" s="3"/>
      <c r="U1698" s="3"/>
      <c r="V1698" s="3"/>
      <c r="W1698" s="3"/>
      <c r="X1698" s="3"/>
      <c r="Y1698" s="3"/>
      <c r="Z1698" s="3"/>
      <c r="AA1698" s="3"/>
      <c r="AB1698" s="3"/>
      <c r="AC1698" s="3"/>
      <c r="AD1698" s="3"/>
      <c r="AE1698" s="3"/>
      <c r="AF1698" s="3"/>
      <c r="AG1698" s="3"/>
    </row>
    <row r="1699">
      <c r="B1699" s="2"/>
      <c r="P1699" s="3"/>
      <c r="Q1699" s="3"/>
      <c r="R1699" s="3"/>
      <c r="S1699" s="3"/>
      <c r="T1699" s="3"/>
      <c r="U1699" s="3"/>
      <c r="V1699" s="3"/>
      <c r="W1699" s="3"/>
      <c r="X1699" s="3"/>
      <c r="Y1699" s="3"/>
      <c r="Z1699" s="3"/>
      <c r="AA1699" s="3"/>
      <c r="AB1699" s="3"/>
      <c r="AC1699" s="3"/>
      <c r="AD1699" s="3"/>
      <c r="AE1699" s="3"/>
      <c r="AF1699" s="3"/>
      <c r="AG1699" s="3"/>
    </row>
    <row r="1700">
      <c r="B1700" s="2"/>
      <c r="P1700" s="3"/>
      <c r="Q1700" s="3"/>
      <c r="R1700" s="3"/>
      <c r="S1700" s="3"/>
      <c r="T1700" s="3"/>
      <c r="U1700" s="3"/>
      <c r="V1700" s="3"/>
      <c r="W1700" s="3"/>
      <c r="X1700" s="3"/>
      <c r="Y1700" s="3"/>
      <c r="Z1700" s="3"/>
      <c r="AA1700" s="3"/>
      <c r="AB1700" s="3"/>
      <c r="AC1700" s="3"/>
      <c r="AD1700" s="3"/>
      <c r="AE1700" s="3"/>
      <c r="AF1700" s="3"/>
      <c r="AG1700" s="3"/>
    </row>
    <row r="1701">
      <c r="B1701" s="2"/>
      <c r="P1701" s="3"/>
      <c r="Q1701" s="3"/>
      <c r="R1701" s="3"/>
      <c r="S1701" s="3"/>
      <c r="T1701" s="3"/>
      <c r="U1701" s="3"/>
      <c r="V1701" s="3"/>
      <c r="W1701" s="3"/>
      <c r="X1701" s="3"/>
      <c r="Y1701" s="3"/>
      <c r="Z1701" s="3"/>
      <c r="AA1701" s="3"/>
      <c r="AB1701" s="3"/>
      <c r="AC1701" s="3"/>
      <c r="AD1701" s="3"/>
      <c r="AE1701" s="3"/>
      <c r="AF1701" s="3"/>
      <c r="AG1701" s="3"/>
    </row>
    <row r="1702">
      <c r="B1702" s="2"/>
      <c r="P1702" s="3"/>
      <c r="Q1702" s="3"/>
      <c r="R1702" s="3"/>
      <c r="S1702" s="3"/>
      <c r="T1702" s="3"/>
      <c r="U1702" s="3"/>
      <c r="V1702" s="3"/>
      <c r="W1702" s="3"/>
      <c r="X1702" s="3"/>
      <c r="Y1702" s="3"/>
      <c r="Z1702" s="3"/>
      <c r="AA1702" s="3"/>
      <c r="AB1702" s="3"/>
      <c r="AC1702" s="3"/>
      <c r="AD1702" s="3"/>
      <c r="AE1702" s="3"/>
      <c r="AF1702" s="3"/>
      <c r="AG1702" s="3"/>
    </row>
    <row r="1703">
      <c r="B1703" s="2"/>
      <c r="P1703" s="3"/>
      <c r="Q1703" s="3"/>
      <c r="R1703" s="3"/>
      <c r="S1703" s="3"/>
      <c r="T1703" s="3"/>
      <c r="U1703" s="3"/>
      <c r="V1703" s="3"/>
      <c r="W1703" s="3"/>
      <c r="X1703" s="3"/>
      <c r="Y1703" s="3"/>
      <c r="Z1703" s="3"/>
      <c r="AA1703" s="3"/>
      <c r="AB1703" s="3"/>
      <c r="AC1703" s="3"/>
      <c r="AD1703" s="3"/>
      <c r="AE1703" s="3"/>
      <c r="AF1703" s="3"/>
      <c r="AG1703" s="3"/>
    </row>
    <row r="1704">
      <c r="B1704" s="2"/>
      <c r="P1704" s="3"/>
      <c r="Q1704" s="3"/>
      <c r="R1704" s="3"/>
      <c r="S1704" s="3"/>
      <c r="T1704" s="3"/>
      <c r="U1704" s="3"/>
      <c r="V1704" s="3"/>
      <c r="W1704" s="3"/>
      <c r="X1704" s="3"/>
      <c r="Y1704" s="3"/>
      <c r="Z1704" s="3"/>
      <c r="AA1704" s="3"/>
      <c r="AB1704" s="3"/>
      <c r="AC1704" s="3"/>
      <c r="AD1704" s="3"/>
      <c r="AE1704" s="3"/>
      <c r="AF1704" s="3"/>
      <c r="AG1704" s="3"/>
    </row>
    <row r="1705">
      <c r="B1705" s="2"/>
      <c r="P1705" s="3"/>
      <c r="Q1705" s="3"/>
      <c r="R1705" s="3"/>
      <c r="S1705" s="3"/>
      <c r="T1705" s="3"/>
      <c r="U1705" s="3"/>
      <c r="V1705" s="3"/>
      <c r="W1705" s="3"/>
      <c r="X1705" s="3"/>
      <c r="Y1705" s="3"/>
      <c r="Z1705" s="3"/>
      <c r="AA1705" s="3"/>
      <c r="AB1705" s="3"/>
      <c r="AC1705" s="3"/>
      <c r="AD1705" s="3"/>
      <c r="AE1705" s="3"/>
      <c r="AF1705" s="3"/>
      <c r="AG1705" s="3"/>
    </row>
    <row r="1706">
      <c r="B1706" s="2"/>
      <c r="P1706" s="3"/>
      <c r="Q1706" s="3"/>
      <c r="R1706" s="3"/>
      <c r="S1706" s="3"/>
      <c r="T1706" s="3"/>
      <c r="U1706" s="3"/>
      <c r="V1706" s="3"/>
      <c r="W1706" s="3"/>
      <c r="X1706" s="3"/>
      <c r="Y1706" s="3"/>
      <c r="Z1706" s="3"/>
      <c r="AA1706" s="3"/>
      <c r="AB1706" s="3"/>
      <c r="AC1706" s="3"/>
      <c r="AD1706" s="3"/>
      <c r="AE1706" s="3"/>
      <c r="AF1706" s="3"/>
      <c r="AG1706" s="3"/>
    </row>
    <row r="1707">
      <c r="B1707" s="2"/>
      <c r="P1707" s="3"/>
      <c r="Q1707" s="3"/>
      <c r="R1707" s="3"/>
      <c r="S1707" s="3"/>
      <c r="T1707" s="3"/>
      <c r="U1707" s="3"/>
      <c r="V1707" s="3"/>
      <c r="W1707" s="3"/>
      <c r="X1707" s="3"/>
      <c r="Y1707" s="3"/>
      <c r="Z1707" s="3"/>
      <c r="AA1707" s="3"/>
      <c r="AB1707" s="3"/>
      <c r="AC1707" s="3"/>
      <c r="AD1707" s="3"/>
      <c r="AE1707" s="3"/>
      <c r="AF1707" s="3"/>
      <c r="AG1707" s="3"/>
    </row>
    <row r="1708">
      <c r="B1708" s="2"/>
      <c r="P1708" s="3"/>
      <c r="Q1708" s="3"/>
      <c r="R1708" s="3"/>
      <c r="S1708" s="3"/>
      <c r="T1708" s="3"/>
      <c r="U1708" s="3"/>
      <c r="V1708" s="3"/>
      <c r="W1708" s="3"/>
      <c r="X1708" s="3"/>
      <c r="Y1708" s="3"/>
      <c r="Z1708" s="3"/>
      <c r="AA1708" s="3"/>
      <c r="AB1708" s="3"/>
      <c r="AC1708" s="3"/>
      <c r="AD1708" s="3"/>
      <c r="AE1708" s="3"/>
      <c r="AF1708" s="3"/>
      <c r="AG1708" s="3"/>
    </row>
    <row r="1709">
      <c r="B1709" s="2"/>
      <c r="P1709" s="3"/>
      <c r="Q1709" s="3"/>
      <c r="R1709" s="3"/>
      <c r="S1709" s="3"/>
      <c r="T1709" s="3"/>
      <c r="U1709" s="3"/>
      <c r="V1709" s="3"/>
      <c r="W1709" s="3"/>
      <c r="X1709" s="3"/>
      <c r="Y1709" s="3"/>
      <c r="Z1709" s="3"/>
      <c r="AA1709" s="3"/>
      <c r="AB1709" s="3"/>
      <c r="AC1709" s="3"/>
      <c r="AD1709" s="3"/>
      <c r="AE1709" s="3"/>
      <c r="AF1709" s="3"/>
      <c r="AG1709" s="3"/>
    </row>
    <row r="1710">
      <c r="B1710" s="2"/>
      <c r="P1710" s="3"/>
      <c r="Q1710" s="3"/>
      <c r="R1710" s="3"/>
      <c r="S1710" s="3"/>
      <c r="T1710" s="3"/>
      <c r="U1710" s="3"/>
      <c r="V1710" s="3"/>
      <c r="W1710" s="3"/>
      <c r="X1710" s="3"/>
      <c r="Y1710" s="3"/>
      <c r="Z1710" s="3"/>
      <c r="AA1710" s="3"/>
      <c r="AB1710" s="3"/>
      <c r="AC1710" s="3"/>
      <c r="AD1710" s="3"/>
      <c r="AE1710" s="3"/>
      <c r="AF1710" s="3"/>
      <c r="AG1710" s="3"/>
    </row>
    <row r="1711">
      <c r="B1711" s="2"/>
      <c r="P1711" s="3"/>
      <c r="Q1711" s="3"/>
      <c r="R1711" s="3"/>
      <c r="S1711" s="3"/>
      <c r="T1711" s="3"/>
      <c r="U1711" s="3"/>
      <c r="V1711" s="3"/>
      <c r="W1711" s="3"/>
      <c r="X1711" s="3"/>
      <c r="Y1711" s="3"/>
      <c r="Z1711" s="3"/>
      <c r="AA1711" s="3"/>
      <c r="AB1711" s="3"/>
      <c r="AC1711" s="3"/>
      <c r="AD1711" s="3"/>
      <c r="AE1711" s="3"/>
      <c r="AF1711" s="3"/>
      <c r="AG1711" s="3"/>
    </row>
    <row r="1712">
      <c r="B1712" s="2"/>
      <c r="P1712" s="3"/>
      <c r="Q1712" s="3"/>
      <c r="R1712" s="3"/>
      <c r="S1712" s="3"/>
      <c r="T1712" s="3"/>
      <c r="U1712" s="3"/>
      <c r="V1712" s="3"/>
      <c r="W1712" s="3"/>
      <c r="X1712" s="3"/>
      <c r="Y1712" s="3"/>
      <c r="Z1712" s="3"/>
      <c r="AA1712" s="3"/>
      <c r="AB1712" s="3"/>
      <c r="AC1712" s="3"/>
      <c r="AD1712" s="3"/>
      <c r="AE1712" s="3"/>
      <c r="AF1712" s="3"/>
      <c r="AG1712" s="3"/>
    </row>
    <row r="1713">
      <c r="B1713" s="2"/>
      <c r="P1713" s="3"/>
      <c r="Q1713" s="3"/>
      <c r="R1713" s="3"/>
      <c r="S1713" s="3"/>
      <c r="T1713" s="3"/>
      <c r="U1713" s="3"/>
      <c r="V1713" s="3"/>
      <c r="W1713" s="3"/>
      <c r="X1713" s="3"/>
      <c r="Y1713" s="3"/>
      <c r="Z1713" s="3"/>
      <c r="AA1713" s="3"/>
      <c r="AB1713" s="3"/>
      <c r="AC1713" s="3"/>
      <c r="AD1713" s="3"/>
      <c r="AE1713" s="3"/>
      <c r="AF1713" s="3"/>
      <c r="AG1713" s="3"/>
    </row>
    <row r="1714">
      <c r="B1714" s="2"/>
      <c r="P1714" s="3"/>
      <c r="Q1714" s="3"/>
      <c r="R1714" s="3"/>
      <c r="S1714" s="3"/>
      <c r="T1714" s="3"/>
      <c r="U1714" s="3"/>
      <c r="V1714" s="3"/>
      <c r="W1714" s="3"/>
      <c r="X1714" s="3"/>
      <c r="Y1714" s="3"/>
      <c r="Z1714" s="3"/>
      <c r="AA1714" s="3"/>
      <c r="AB1714" s="3"/>
      <c r="AC1714" s="3"/>
      <c r="AD1714" s="3"/>
      <c r="AE1714" s="3"/>
      <c r="AF1714" s="3"/>
      <c r="AG1714" s="3"/>
    </row>
    <row r="1715">
      <c r="B1715" s="2"/>
      <c r="P1715" s="3"/>
      <c r="Q1715" s="3"/>
      <c r="R1715" s="3"/>
      <c r="S1715" s="3"/>
      <c r="T1715" s="3"/>
      <c r="U1715" s="3"/>
      <c r="V1715" s="3"/>
      <c r="W1715" s="3"/>
      <c r="X1715" s="3"/>
      <c r="Y1715" s="3"/>
      <c r="Z1715" s="3"/>
      <c r="AA1715" s="3"/>
      <c r="AB1715" s="3"/>
      <c r="AC1715" s="3"/>
      <c r="AD1715" s="3"/>
      <c r="AE1715" s="3"/>
      <c r="AF1715" s="3"/>
      <c r="AG1715" s="3"/>
    </row>
    <row r="1716">
      <c r="B1716" s="2"/>
      <c r="P1716" s="3"/>
      <c r="Q1716" s="3"/>
      <c r="R1716" s="3"/>
      <c r="S1716" s="3"/>
      <c r="T1716" s="3"/>
      <c r="U1716" s="3"/>
      <c r="V1716" s="3"/>
      <c r="W1716" s="3"/>
      <c r="X1716" s="3"/>
      <c r="Y1716" s="3"/>
      <c r="Z1716" s="3"/>
      <c r="AA1716" s="3"/>
      <c r="AB1716" s="3"/>
      <c r="AC1716" s="3"/>
      <c r="AD1716" s="3"/>
      <c r="AE1716" s="3"/>
      <c r="AF1716" s="3"/>
      <c r="AG1716" s="3"/>
    </row>
    <row r="1717">
      <c r="B1717" s="2"/>
      <c r="P1717" s="3"/>
      <c r="Q1717" s="3"/>
      <c r="R1717" s="3"/>
      <c r="S1717" s="3"/>
      <c r="T1717" s="3"/>
      <c r="U1717" s="3"/>
      <c r="V1717" s="3"/>
      <c r="W1717" s="3"/>
      <c r="X1717" s="3"/>
      <c r="Y1717" s="3"/>
      <c r="Z1717" s="3"/>
      <c r="AA1717" s="3"/>
      <c r="AB1717" s="3"/>
      <c r="AC1717" s="3"/>
      <c r="AD1717" s="3"/>
      <c r="AE1717" s="3"/>
      <c r="AF1717" s="3"/>
      <c r="AG1717" s="3"/>
    </row>
    <row r="1718">
      <c r="B1718" s="2"/>
      <c r="P1718" s="3"/>
      <c r="Q1718" s="3"/>
      <c r="R1718" s="3"/>
      <c r="S1718" s="3"/>
      <c r="T1718" s="3"/>
      <c r="U1718" s="3"/>
      <c r="V1718" s="3"/>
      <c r="W1718" s="3"/>
      <c r="X1718" s="3"/>
      <c r="Y1718" s="3"/>
      <c r="Z1718" s="3"/>
      <c r="AA1718" s="3"/>
      <c r="AB1718" s="3"/>
      <c r="AC1718" s="3"/>
      <c r="AD1718" s="3"/>
      <c r="AE1718" s="3"/>
      <c r="AF1718" s="3"/>
      <c r="AG1718" s="3"/>
    </row>
    <row r="1719">
      <c r="B1719" s="2"/>
      <c r="P1719" s="3"/>
      <c r="Q1719" s="3"/>
      <c r="R1719" s="3"/>
      <c r="S1719" s="3"/>
      <c r="T1719" s="3"/>
      <c r="U1719" s="3"/>
      <c r="V1719" s="3"/>
      <c r="W1719" s="3"/>
      <c r="X1719" s="3"/>
      <c r="Y1719" s="3"/>
      <c r="Z1719" s="3"/>
      <c r="AA1719" s="3"/>
      <c r="AB1719" s="3"/>
      <c r="AC1719" s="3"/>
      <c r="AD1719" s="3"/>
      <c r="AE1719" s="3"/>
      <c r="AF1719" s="3"/>
      <c r="AG1719" s="3"/>
    </row>
    <row r="1720">
      <c r="B1720" s="2"/>
      <c r="P1720" s="3"/>
      <c r="Q1720" s="3"/>
      <c r="R1720" s="3"/>
      <c r="S1720" s="3"/>
      <c r="T1720" s="3"/>
      <c r="U1720" s="3"/>
      <c r="V1720" s="3"/>
      <c r="W1720" s="3"/>
      <c r="X1720" s="3"/>
      <c r="Y1720" s="3"/>
      <c r="Z1720" s="3"/>
      <c r="AA1720" s="3"/>
      <c r="AB1720" s="3"/>
      <c r="AC1720" s="3"/>
      <c r="AD1720" s="3"/>
      <c r="AE1720" s="3"/>
      <c r="AF1720" s="3"/>
      <c r="AG1720" s="3"/>
    </row>
    <row r="1721">
      <c r="B1721" s="2"/>
      <c r="P1721" s="3"/>
      <c r="Q1721" s="3"/>
      <c r="R1721" s="3"/>
      <c r="S1721" s="3"/>
      <c r="T1721" s="3"/>
      <c r="U1721" s="3"/>
      <c r="V1721" s="3"/>
      <c r="W1721" s="3"/>
      <c r="X1721" s="3"/>
      <c r="Y1721" s="3"/>
      <c r="Z1721" s="3"/>
      <c r="AA1721" s="3"/>
      <c r="AB1721" s="3"/>
      <c r="AC1721" s="3"/>
      <c r="AD1721" s="3"/>
      <c r="AE1721" s="3"/>
      <c r="AF1721" s="3"/>
      <c r="AG1721" s="3"/>
    </row>
    <row r="1722">
      <c r="B1722" s="2"/>
      <c r="P1722" s="3"/>
      <c r="Q1722" s="3"/>
      <c r="R1722" s="3"/>
      <c r="S1722" s="3"/>
      <c r="T1722" s="3"/>
      <c r="U1722" s="3"/>
      <c r="V1722" s="3"/>
      <c r="W1722" s="3"/>
      <c r="X1722" s="3"/>
      <c r="Y1722" s="3"/>
      <c r="Z1722" s="3"/>
      <c r="AA1722" s="3"/>
      <c r="AB1722" s="3"/>
      <c r="AC1722" s="3"/>
      <c r="AD1722" s="3"/>
      <c r="AE1722" s="3"/>
      <c r="AF1722" s="3"/>
      <c r="AG1722" s="3"/>
    </row>
    <row r="1723">
      <c r="B1723" s="2"/>
      <c r="P1723" s="3"/>
      <c r="Q1723" s="3"/>
      <c r="R1723" s="3"/>
      <c r="S1723" s="3"/>
      <c r="T1723" s="3"/>
      <c r="U1723" s="3"/>
      <c r="V1723" s="3"/>
      <c r="W1723" s="3"/>
      <c r="X1723" s="3"/>
      <c r="Y1723" s="3"/>
      <c r="Z1723" s="3"/>
      <c r="AA1723" s="3"/>
      <c r="AB1723" s="3"/>
      <c r="AC1723" s="3"/>
      <c r="AD1723" s="3"/>
      <c r="AE1723" s="3"/>
      <c r="AF1723" s="3"/>
      <c r="AG1723" s="3"/>
    </row>
    <row r="1724">
      <c r="B1724" s="2"/>
      <c r="P1724" s="3"/>
      <c r="Q1724" s="3"/>
      <c r="R1724" s="3"/>
      <c r="S1724" s="3"/>
      <c r="T1724" s="3"/>
      <c r="U1724" s="3"/>
      <c r="V1724" s="3"/>
      <c r="W1724" s="3"/>
      <c r="X1724" s="3"/>
      <c r="Y1724" s="3"/>
      <c r="Z1724" s="3"/>
      <c r="AA1724" s="3"/>
      <c r="AB1724" s="3"/>
      <c r="AC1724" s="3"/>
      <c r="AD1724" s="3"/>
      <c r="AE1724" s="3"/>
      <c r="AF1724" s="3"/>
      <c r="AG1724" s="3"/>
    </row>
    <row r="1725">
      <c r="B1725" s="2"/>
      <c r="P1725" s="3"/>
      <c r="Q1725" s="3"/>
      <c r="R1725" s="3"/>
      <c r="S1725" s="3"/>
      <c r="T1725" s="3"/>
      <c r="U1725" s="3"/>
      <c r="V1725" s="3"/>
      <c r="W1725" s="3"/>
      <c r="X1725" s="3"/>
      <c r="Y1725" s="3"/>
      <c r="Z1725" s="3"/>
      <c r="AA1725" s="3"/>
      <c r="AB1725" s="3"/>
      <c r="AC1725" s="3"/>
      <c r="AD1725" s="3"/>
      <c r="AE1725" s="3"/>
      <c r="AF1725" s="3"/>
      <c r="AG1725" s="3"/>
    </row>
    <row r="1726">
      <c r="B1726" s="2"/>
      <c r="P1726" s="3"/>
      <c r="Q1726" s="3"/>
      <c r="R1726" s="3"/>
      <c r="S1726" s="3"/>
      <c r="T1726" s="3"/>
      <c r="U1726" s="3"/>
      <c r="V1726" s="3"/>
      <c r="W1726" s="3"/>
      <c r="X1726" s="3"/>
      <c r="Y1726" s="3"/>
      <c r="Z1726" s="3"/>
      <c r="AA1726" s="3"/>
      <c r="AB1726" s="3"/>
      <c r="AC1726" s="3"/>
      <c r="AD1726" s="3"/>
      <c r="AE1726" s="3"/>
      <c r="AF1726" s="3"/>
      <c r="AG1726" s="3"/>
    </row>
    <row r="1727">
      <c r="B1727" s="2"/>
      <c r="P1727" s="3"/>
      <c r="Q1727" s="3"/>
      <c r="R1727" s="3"/>
      <c r="S1727" s="3"/>
      <c r="T1727" s="3"/>
      <c r="U1727" s="3"/>
      <c r="V1727" s="3"/>
      <c r="W1727" s="3"/>
      <c r="X1727" s="3"/>
      <c r="Y1727" s="3"/>
      <c r="Z1727" s="3"/>
      <c r="AA1727" s="3"/>
      <c r="AB1727" s="3"/>
      <c r="AC1727" s="3"/>
      <c r="AD1727" s="3"/>
      <c r="AE1727" s="3"/>
      <c r="AF1727" s="3"/>
      <c r="AG1727" s="3"/>
    </row>
    <row r="1728">
      <c r="B1728" s="2"/>
      <c r="P1728" s="3"/>
      <c r="Q1728" s="3"/>
      <c r="R1728" s="3"/>
      <c r="S1728" s="3"/>
      <c r="T1728" s="3"/>
      <c r="U1728" s="3"/>
      <c r="V1728" s="3"/>
      <c r="W1728" s="3"/>
      <c r="X1728" s="3"/>
      <c r="Y1728" s="3"/>
      <c r="Z1728" s="3"/>
      <c r="AA1728" s="3"/>
      <c r="AB1728" s="3"/>
      <c r="AC1728" s="3"/>
      <c r="AD1728" s="3"/>
      <c r="AE1728" s="3"/>
      <c r="AF1728" s="3"/>
      <c r="AG1728" s="3"/>
    </row>
    <row r="1729">
      <c r="B1729" s="2"/>
      <c r="P1729" s="3"/>
      <c r="Q1729" s="3"/>
      <c r="R1729" s="3"/>
      <c r="S1729" s="3"/>
      <c r="T1729" s="3"/>
      <c r="U1729" s="3"/>
      <c r="V1729" s="3"/>
      <c r="W1729" s="3"/>
      <c r="X1729" s="3"/>
      <c r="Y1729" s="3"/>
      <c r="Z1729" s="3"/>
      <c r="AA1729" s="3"/>
      <c r="AB1729" s="3"/>
      <c r="AC1729" s="3"/>
      <c r="AD1729" s="3"/>
      <c r="AE1729" s="3"/>
      <c r="AF1729" s="3"/>
      <c r="AG1729" s="3"/>
    </row>
    <row r="1730">
      <c r="B1730" s="2"/>
      <c r="P1730" s="3"/>
      <c r="Q1730" s="3"/>
      <c r="R1730" s="3"/>
      <c r="S1730" s="3"/>
      <c r="T1730" s="3"/>
      <c r="U1730" s="3"/>
      <c r="V1730" s="3"/>
      <c r="W1730" s="3"/>
      <c r="X1730" s="3"/>
      <c r="Y1730" s="3"/>
      <c r="Z1730" s="3"/>
      <c r="AA1730" s="3"/>
      <c r="AB1730" s="3"/>
      <c r="AC1730" s="3"/>
      <c r="AD1730" s="3"/>
      <c r="AE1730" s="3"/>
      <c r="AF1730" s="3"/>
      <c r="AG1730" s="3"/>
    </row>
    <row r="1731">
      <c r="B1731" s="2"/>
      <c r="P1731" s="3"/>
      <c r="Q1731" s="3"/>
      <c r="R1731" s="3"/>
      <c r="S1731" s="3"/>
      <c r="T1731" s="3"/>
      <c r="U1731" s="3"/>
      <c r="V1731" s="3"/>
      <c r="W1731" s="3"/>
      <c r="X1731" s="3"/>
      <c r="Y1731" s="3"/>
      <c r="Z1731" s="3"/>
      <c r="AA1731" s="3"/>
      <c r="AB1731" s="3"/>
      <c r="AC1731" s="3"/>
      <c r="AD1731" s="3"/>
      <c r="AE1731" s="3"/>
      <c r="AF1731" s="3"/>
      <c r="AG1731" s="3"/>
    </row>
    <row r="1732">
      <c r="B1732" s="2"/>
      <c r="P1732" s="3"/>
      <c r="Q1732" s="3"/>
      <c r="R1732" s="3"/>
      <c r="S1732" s="3"/>
      <c r="T1732" s="3"/>
      <c r="U1732" s="3"/>
      <c r="V1732" s="3"/>
      <c r="W1732" s="3"/>
      <c r="X1732" s="3"/>
      <c r="Y1732" s="3"/>
      <c r="Z1732" s="3"/>
      <c r="AA1732" s="3"/>
      <c r="AB1732" s="3"/>
      <c r="AC1732" s="3"/>
      <c r="AD1732" s="3"/>
      <c r="AE1732" s="3"/>
      <c r="AF1732" s="3"/>
      <c r="AG1732" s="3"/>
    </row>
    <row r="1733">
      <c r="B1733" s="2"/>
      <c r="P1733" s="3"/>
      <c r="Q1733" s="3"/>
      <c r="R1733" s="3"/>
      <c r="S1733" s="3"/>
      <c r="T1733" s="3"/>
      <c r="U1733" s="3"/>
      <c r="V1733" s="3"/>
      <c r="W1733" s="3"/>
      <c r="X1733" s="3"/>
      <c r="Y1733" s="3"/>
      <c r="Z1733" s="3"/>
      <c r="AA1733" s="3"/>
      <c r="AB1733" s="3"/>
      <c r="AC1733" s="3"/>
      <c r="AD1733" s="3"/>
      <c r="AE1733" s="3"/>
      <c r="AF1733" s="3"/>
      <c r="AG1733" s="3"/>
    </row>
    <row r="1734">
      <c r="B1734" s="2"/>
      <c r="P1734" s="3"/>
      <c r="Q1734" s="3"/>
      <c r="R1734" s="3"/>
      <c r="S1734" s="3"/>
      <c r="T1734" s="3"/>
      <c r="U1734" s="3"/>
      <c r="V1734" s="3"/>
      <c r="W1734" s="3"/>
      <c r="X1734" s="3"/>
      <c r="Y1734" s="3"/>
      <c r="Z1734" s="3"/>
      <c r="AA1734" s="3"/>
      <c r="AB1734" s="3"/>
      <c r="AC1734" s="3"/>
      <c r="AD1734" s="3"/>
      <c r="AE1734" s="3"/>
      <c r="AF1734" s="3"/>
      <c r="AG1734" s="3"/>
    </row>
    <row r="1735">
      <c r="B1735" s="2"/>
      <c r="P1735" s="3"/>
      <c r="Q1735" s="3"/>
      <c r="R1735" s="3"/>
      <c r="S1735" s="3"/>
      <c r="T1735" s="3"/>
      <c r="U1735" s="3"/>
      <c r="V1735" s="3"/>
      <c r="W1735" s="3"/>
      <c r="X1735" s="3"/>
      <c r="Y1735" s="3"/>
      <c r="Z1735" s="3"/>
      <c r="AA1735" s="3"/>
      <c r="AB1735" s="3"/>
      <c r="AC1735" s="3"/>
      <c r="AD1735" s="3"/>
      <c r="AE1735" s="3"/>
      <c r="AF1735" s="3"/>
      <c r="AG1735" s="3"/>
    </row>
    <row r="1736">
      <c r="B1736" s="2"/>
      <c r="P1736" s="3"/>
      <c r="Q1736" s="3"/>
      <c r="R1736" s="3"/>
      <c r="S1736" s="3"/>
      <c r="T1736" s="3"/>
      <c r="U1736" s="3"/>
      <c r="V1736" s="3"/>
      <c r="W1736" s="3"/>
      <c r="X1736" s="3"/>
      <c r="Y1736" s="3"/>
      <c r="Z1736" s="3"/>
      <c r="AA1736" s="3"/>
      <c r="AB1736" s="3"/>
      <c r="AC1736" s="3"/>
      <c r="AD1736" s="3"/>
      <c r="AE1736" s="3"/>
      <c r="AF1736" s="3"/>
      <c r="AG1736" s="3"/>
    </row>
    <row r="1737">
      <c r="B1737" s="2"/>
      <c r="P1737" s="3"/>
      <c r="Q1737" s="3"/>
      <c r="R1737" s="3"/>
      <c r="S1737" s="3"/>
      <c r="T1737" s="3"/>
      <c r="U1737" s="3"/>
      <c r="V1737" s="3"/>
      <c r="W1737" s="3"/>
      <c r="X1737" s="3"/>
      <c r="Y1737" s="3"/>
      <c r="Z1737" s="3"/>
      <c r="AA1737" s="3"/>
      <c r="AB1737" s="3"/>
      <c r="AC1737" s="3"/>
      <c r="AD1737" s="3"/>
      <c r="AE1737" s="3"/>
      <c r="AF1737" s="3"/>
      <c r="AG1737" s="3"/>
    </row>
    <row r="1738">
      <c r="B1738" s="2"/>
      <c r="P1738" s="3"/>
      <c r="Q1738" s="3"/>
      <c r="R1738" s="3"/>
      <c r="S1738" s="3"/>
      <c r="T1738" s="3"/>
      <c r="U1738" s="3"/>
      <c r="V1738" s="3"/>
      <c r="W1738" s="3"/>
      <c r="X1738" s="3"/>
      <c r="Y1738" s="3"/>
      <c r="Z1738" s="3"/>
      <c r="AA1738" s="3"/>
      <c r="AB1738" s="3"/>
      <c r="AC1738" s="3"/>
      <c r="AD1738" s="3"/>
      <c r="AE1738" s="3"/>
      <c r="AF1738" s="3"/>
      <c r="AG1738" s="3"/>
    </row>
    <row r="1739">
      <c r="B1739" s="2"/>
      <c r="P1739" s="3"/>
      <c r="Q1739" s="3"/>
      <c r="R1739" s="3"/>
      <c r="S1739" s="3"/>
      <c r="T1739" s="3"/>
      <c r="U1739" s="3"/>
      <c r="V1739" s="3"/>
      <c r="W1739" s="3"/>
      <c r="X1739" s="3"/>
      <c r="Y1739" s="3"/>
      <c r="Z1739" s="3"/>
      <c r="AA1739" s="3"/>
      <c r="AB1739" s="3"/>
      <c r="AC1739" s="3"/>
      <c r="AD1739" s="3"/>
      <c r="AE1739" s="3"/>
      <c r="AF1739" s="3"/>
      <c r="AG1739" s="3"/>
    </row>
    <row r="1740">
      <c r="B1740" s="2"/>
      <c r="P1740" s="3"/>
      <c r="Q1740" s="3"/>
      <c r="R1740" s="3"/>
      <c r="S1740" s="3"/>
      <c r="T1740" s="3"/>
      <c r="U1740" s="3"/>
      <c r="V1740" s="3"/>
      <c r="W1740" s="3"/>
      <c r="X1740" s="3"/>
      <c r="Y1740" s="3"/>
      <c r="Z1740" s="3"/>
      <c r="AA1740" s="3"/>
      <c r="AB1740" s="3"/>
      <c r="AC1740" s="3"/>
      <c r="AD1740" s="3"/>
      <c r="AE1740" s="3"/>
      <c r="AF1740" s="3"/>
      <c r="AG1740" s="3"/>
    </row>
    <row r="1741">
      <c r="B1741" s="2"/>
      <c r="P1741" s="3"/>
      <c r="Q1741" s="3"/>
      <c r="R1741" s="3"/>
      <c r="S1741" s="3"/>
      <c r="T1741" s="3"/>
      <c r="U1741" s="3"/>
      <c r="V1741" s="3"/>
      <c r="W1741" s="3"/>
      <c r="X1741" s="3"/>
      <c r="Y1741" s="3"/>
      <c r="Z1741" s="3"/>
      <c r="AA1741" s="3"/>
      <c r="AB1741" s="3"/>
      <c r="AC1741" s="3"/>
      <c r="AD1741" s="3"/>
      <c r="AE1741" s="3"/>
      <c r="AF1741" s="3"/>
      <c r="AG1741" s="3"/>
    </row>
    <row r="1742">
      <c r="B1742" s="2"/>
      <c r="P1742" s="3"/>
      <c r="Q1742" s="3"/>
      <c r="R1742" s="3"/>
      <c r="S1742" s="3"/>
      <c r="T1742" s="3"/>
      <c r="U1742" s="3"/>
      <c r="V1742" s="3"/>
      <c r="W1742" s="3"/>
      <c r="X1742" s="3"/>
      <c r="Y1742" s="3"/>
      <c r="Z1742" s="3"/>
      <c r="AA1742" s="3"/>
      <c r="AB1742" s="3"/>
      <c r="AC1742" s="3"/>
      <c r="AD1742" s="3"/>
      <c r="AE1742" s="3"/>
      <c r="AF1742" s="3"/>
      <c r="AG1742" s="3"/>
    </row>
    <row r="1743">
      <c r="B1743" s="2"/>
      <c r="P1743" s="3"/>
      <c r="Q1743" s="3"/>
      <c r="R1743" s="3"/>
      <c r="S1743" s="3"/>
      <c r="T1743" s="3"/>
      <c r="U1743" s="3"/>
      <c r="V1743" s="3"/>
      <c r="W1743" s="3"/>
      <c r="X1743" s="3"/>
      <c r="Y1743" s="3"/>
      <c r="Z1743" s="3"/>
      <c r="AA1743" s="3"/>
      <c r="AB1743" s="3"/>
      <c r="AC1743" s="3"/>
      <c r="AD1743" s="3"/>
      <c r="AE1743" s="3"/>
      <c r="AF1743" s="3"/>
      <c r="AG1743" s="3"/>
    </row>
    <row r="1744">
      <c r="B1744" s="2"/>
      <c r="P1744" s="3"/>
      <c r="Q1744" s="3"/>
      <c r="R1744" s="3"/>
      <c r="S1744" s="3"/>
      <c r="T1744" s="3"/>
      <c r="U1744" s="3"/>
      <c r="V1744" s="3"/>
      <c r="W1744" s="3"/>
      <c r="X1744" s="3"/>
      <c r="Y1744" s="3"/>
      <c r="Z1744" s="3"/>
      <c r="AA1744" s="3"/>
      <c r="AB1744" s="3"/>
      <c r="AC1744" s="3"/>
      <c r="AD1744" s="3"/>
      <c r="AE1744" s="3"/>
      <c r="AF1744" s="3"/>
      <c r="AG1744" s="3"/>
    </row>
    <row r="1745">
      <c r="B1745" s="2"/>
      <c r="P1745" s="3"/>
      <c r="Q1745" s="3"/>
      <c r="R1745" s="3"/>
      <c r="S1745" s="3"/>
      <c r="T1745" s="3"/>
      <c r="U1745" s="3"/>
      <c r="V1745" s="3"/>
      <c r="W1745" s="3"/>
      <c r="X1745" s="3"/>
      <c r="Y1745" s="3"/>
      <c r="Z1745" s="3"/>
      <c r="AA1745" s="3"/>
      <c r="AB1745" s="3"/>
      <c r="AC1745" s="3"/>
      <c r="AD1745" s="3"/>
      <c r="AE1745" s="3"/>
      <c r="AF1745" s="3"/>
      <c r="AG1745" s="3"/>
    </row>
    <row r="1746">
      <c r="B1746" s="2"/>
      <c r="P1746" s="3"/>
      <c r="Q1746" s="3"/>
      <c r="R1746" s="3"/>
      <c r="S1746" s="3"/>
      <c r="T1746" s="3"/>
      <c r="U1746" s="3"/>
      <c r="V1746" s="3"/>
      <c r="W1746" s="3"/>
      <c r="X1746" s="3"/>
      <c r="Y1746" s="3"/>
      <c r="Z1746" s="3"/>
      <c r="AA1746" s="3"/>
      <c r="AB1746" s="3"/>
      <c r="AC1746" s="3"/>
      <c r="AD1746" s="3"/>
      <c r="AE1746" s="3"/>
      <c r="AF1746" s="3"/>
      <c r="AG1746" s="3"/>
    </row>
    <row r="1747">
      <c r="B1747" s="2"/>
      <c r="P1747" s="3"/>
      <c r="Q1747" s="3"/>
      <c r="R1747" s="3"/>
      <c r="S1747" s="3"/>
      <c r="T1747" s="3"/>
      <c r="U1747" s="3"/>
      <c r="V1747" s="3"/>
      <c r="W1747" s="3"/>
      <c r="X1747" s="3"/>
      <c r="Y1747" s="3"/>
      <c r="Z1747" s="3"/>
      <c r="AA1747" s="3"/>
      <c r="AB1747" s="3"/>
      <c r="AC1747" s="3"/>
      <c r="AD1747" s="3"/>
      <c r="AE1747" s="3"/>
      <c r="AF1747" s="3"/>
      <c r="AG1747" s="3"/>
    </row>
    <row r="1748">
      <c r="B1748" s="2"/>
      <c r="P1748" s="3"/>
      <c r="Q1748" s="3"/>
      <c r="R1748" s="3"/>
      <c r="S1748" s="3"/>
      <c r="T1748" s="3"/>
      <c r="U1748" s="3"/>
      <c r="V1748" s="3"/>
      <c r="W1748" s="3"/>
      <c r="X1748" s="3"/>
      <c r="Y1748" s="3"/>
      <c r="Z1748" s="3"/>
      <c r="AA1748" s="3"/>
      <c r="AB1748" s="3"/>
      <c r="AC1748" s="3"/>
      <c r="AD1748" s="3"/>
      <c r="AE1748" s="3"/>
      <c r="AF1748" s="3"/>
      <c r="AG1748" s="3"/>
    </row>
    <row r="1749">
      <c r="B1749" s="2"/>
      <c r="P1749" s="3"/>
      <c r="Q1749" s="3"/>
      <c r="R1749" s="3"/>
      <c r="S1749" s="3"/>
      <c r="T1749" s="3"/>
      <c r="U1749" s="3"/>
      <c r="V1749" s="3"/>
      <c r="W1749" s="3"/>
      <c r="X1749" s="3"/>
      <c r="Y1749" s="3"/>
      <c r="Z1749" s="3"/>
      <c r="AA1749" s="3"/>
      <c r="AB1749" s="3"/>
      <c r="AC1749" s="3"/>
      <c r="AD1749" s="3"/>
      <c r="AE1749" s="3"/>
      <c r="AF1749" s="3"/>
      <c r="AG1749" s="3"/>
    </row>
    <row r="1750">
      <c r="B1750" s="2"/>
      <c r="P1750" s="3"/>
      <c r="Q1750" s="3"/>
      <c r="R1750" s="3"/>
      <c r="S1750" s="3"/>
      <c r="T1750" s="3"/>
      <c r="U1750" s="3"/>
      <c r="V1750" s="3"/>
      <c r="W1750" s="3"/>
      <c r="X1750" s="3"/>
      <c r="Y1750" s="3"/>
      <c r="Z1750" s="3"/>
      <c r="AA1750" s="3"/>
      <c r="AB1750" s="3"/>
      <c r="AC1750" s="3"/>
      <c r="AD1750" s="3"/>
      <c r="AE1750" s="3"/>
      <c r="AF1750" s="3"/>
      <c r="AG1750" s="3"/>
    </row>
    <row r="1751">
      <c r="B1751" s="2"/>
      <c r="P1751" s="3"/>
      <c r="Q1751" s="3"/>
      <c r="R1751" s="3"/>
      <c r="S1751" s="3"/>
      <c r="T1751" s="3"/>
      <c r="U1751" s="3"/>
      <c r="V1751" s="3"/>
      <c r="W1751" s="3"/>
      <c r="X1751" s="3"/>
      <c r="Y1751" s="3"/>
      <c r="Z1751" s="3"/>
      <c r="AA1751" s="3"/>
      <c r="AB1751" s="3"/>
      <c r="AC1751" s="3"/>
      <c r="AD1751" s="3"/>
      <c r="AE1751" s="3"/>
      <c r="AF1751" s="3"/>
      <c r="AG1751" s="3"/>
    </row>
    <row r="1752">
      <c r="B1752" s="2"/>
      <c r="P1752" s="3"/>
      <c r="Q1752" s="3"/>
      <c r="R1752" s="3"/>
      <c r="S1752" s="3"/>
      <c r="T1752" s="3"/>
      <c r="U1752" s="3"/>
      <c r="V1752" s="3"/>
      <c r="W1752" s="3"/>
      <c r="X1752" s="3"/>
      <c r="Y1752" s="3"/>
      <c r="Z1752" s="3"/>
      <c r="AA1752" s="3"/>
      <c r="AB1752" s="3"/>
      <c r="AC1752" s="3"/>
      <c r="AD1752" s="3"/>
      <c r="AE1752" s="3"/>
      <c r="AF1752" s="3"/>
      <c r="AG1752" s="3"/>
    </row>
    <row r="1753">
      <c r="B1753" s="2"/>
      <c r="P1753" s="3"/>
      <c r="Q1753" s="3"/>
      <c r="R1753" s="3"/>
      <c r="S1753" s="3"/>
      <c r="T1753" s="3"/>
      <c r="U1753" s="3"/>
      <c r="V1753" s="3"/>
      <c r="W1753" s="3"/>
      <c r="X1753" s="3"/>
      <c r="Y1753" s="3"/>
      <c r="Z1753" s="3"/>
      <c r="AA1753" s="3"/>
      <c r="AB1753" s="3"/>
      <c r="AC1753" s="3"/>
      <c r="AD1753" s="3"/>
      <c r="AE1753" s="3"/>
      <c r="AF1753" s="3"/>
      <c r="AG1753" s="3"/>
    </row>
    <row r="1754">
      <c r="B1754" s="2"/>
      <c r="P1754" s="3"/>
      <c r="Q1754" s="3"/>
      <c r="R1754" s="3"/>
      <c r="S1754" s="3"/>
      <c r="T1754" s="3"/>
      <c r="U1754" s="3"/>
      <c r="V1754" s="3"/>
      <c r="W1754" s="3"/>
      <c r="X1754" s="3"/>
      <c r="Y1754" s="3"/>
      <c r="Z1754" s="3"/>
      <c r="AA1754" s="3"/>
      <c r="AB1754" s="3"/>
      <c r="AC1754" s="3"/>
      <c r="AD1754" s="3"/>
      <c r="AE1754" s="3"/>
      <c r="AF1754" s="3"/>
      <c r="AG1754" s="3"/>
    </row>
    <row r="1755">
      <c r="B1755" s="2"/>
      <c r="P1755" s="3"/>
      <c r="Q1755" s="3"/>
      <c r="R1755" s="3"/>
      <c r="S1755" s="3"/>
      <c r="T1755" s="3"/>
      <c r="U1755" s="3"/>
      <c r="V1755" s="3"/>
      <c r="W1755" s="3"/>
      <c r="X1755" s="3"/>
      <c r="Y1755" s="3"/>
      <c r="Z1755" s="3"/>
      <c r="AA1755" s="3"/>
      <c r="AB1755" s="3"/>
      <c r="AC1755" s="3"/>
      <c r="AD1755" s="3"/>
      <c r="AE1755" s="3"/>
      <c r="AF1755" s="3"/>
      <c r="AG1755" s="3"/>
    </row>
    <row r="1756">
      <c r="B1756" s="2"/>
      <c r="P1756" s="3"/>
      <c r="Q1756" s="3"/>
      <c r="R1756" s="3"/>
      <c r="S1756" s="3"/>
      <c r="T1756" s="3"/>
      <c r="U1756" s="3"/>
      <c r="V1756" s="3"/>
      <c r="W1756" s="3"/>
      <c r="X1756" s="3"/>
      <c r="Y1756" s="3"/>
      <c r="Z1756" s="3"/>
      <c r="AA1756" s="3"/>
      <c r="AB1756" s="3"/>
      <c r="AC1756" s="3"/>
      <c r="AD1756" s="3"/>
      <c r="AE1756" s="3"/>
      <c r="AF1756" s="3"/>
      <c r="AG1756" s="3"/>
    </row>
    <row r="1757">
      <c r="B1757" s="2"/>
      <c r="P1757" s="3"/>
      <c r="Q1757" s="3"/>
      <c r="R1757" s="3"/>
      <c r="S1757" s="3"/>
      <c r="T1757" s="3"/>
      <c r="U1757" s="3"/>
      <c r="V1757" s="3"/>
      <c r="W1757" s="3"/>
      <c r="X1757" s="3"/>
      <c r="Y1757" s="3"/>
      <c r="Z1757" s="3"/>
      <c r="AA1757" s="3"/>
      <c r="AB1757" s="3"/>
      <c r="AC1757" s="3"/>
      <c r="AD1757" s="3"/>
      <c r="AE1757" s="3"/>
      <c r="AF1757" s="3"/>
      <c r="AG1757" s="3"/>
    </row>
    <row r="1758">
      <c r="B1758" s="2"/>
      <c r="P1758" s="3"/>
      <c r="Q1758" s="3"/>
      <c r="R1758" s="3"/>
      <c r="S1758" s="3"/>
      <c r="T1758" s="3"/>
      <c r="U1758" s="3"/>
      <c r="V1758" s="3"/>
      <c r="W1758" s="3"/>
      <c r="X1758" s="3"/>
      <c r="Y1758" s="3"/>
      <c r="Z1758" s="3"/>
      <c r="AA1758" s="3"/>
      <c r="AB1758" s="3"/>
      <c r="AC1758" s="3"/>
      <c r="AD1758" s="3"/>
      <c r="AE1758" s="3"/>
      <c r="AF1758" s="3"/>
      <c r="AG1758" s="3"/>
    </row>
    <row r="1759">
      <c r="B1759" s="2"/>
      <c r="P1759" s="3"/>
      <c r="Q1759" s="3"/>
      <c r="R1759" s="3"/>
      <c r="S1759" s="3"/>
      <c r="T1759" s="3"/>
      <c r="U1759" s="3"/>
      <c r="V1759" s="3"/>
      <c r="W1759" s="3"/>
      <c r="X1759" s="3"/>
      <c r="Y1759" s="3"/>
      <c r="Z1759" s="3"/>
      <c r="AA1759" s="3"/>
      <c r="AB1759" s="3"/>
      <c r="AC1759" s="3"/>
      <c r="AD1759" s="3"/>
      <c r="AE1759" s="3"/>
      <c r="AF1759" s="3"/>
      <c r="AG1759" s="3"/>
    </row>
    <row r="1760">
      <c r="B1760" s="2"/>
      <c r="P1760" s="3"/>
      <c r="Q1760" s="3"/>
      <c r="R1760" s="3"/>
      <c r="S1760" s="3"/>
      <c r="T1760" s="3"/>
      <c r="U1760" s="3"/>
      <c r="V1760" s="3"/>
      <c r="W1760" s="3"/>
      <c r="X1760" s="3"/>
      <c r="Y1760" s="3"/>
      <c r="Z1760" s="3"/>
      <c r="AA1760" s="3"/>
      <c r="AB1760" s="3"/>
      <c r="AC1760" s="3"/>
      <c r="AD1760" s="3"/>
      <c r="AE1760" s="3"/>
      <c r="AF1760" s="3"/>
      <c r="AG1760" s="3"/>
    </row>
    <row r="1761">
      <c r="B1761" s="2"/>
      <c r="P1761" s="3"/>
      <c r="Q1761" s="3"/>
      <c r="R1761" s="3"/>
      <c r="S1761" s="3"/>
      <c r="T1761" s="3"/>
      <c r="U1761" s="3"/>
      <c r="V1761" s="3"/>
      <c r="W1761" s="3"/>
      <c r="X1761" s="3"/>
      <c r="Y1761" s="3"/>
      <c r="Z1761" s="3"/>
      <c r="AA1761" s="3"/>
      <c r="AB1761" s="3"/>
      <c r="AC1761" s="3"/>
      <c r="AD1761" s="3"/>
      <c r="AE1761" s="3"/>
      <c r="AF1761" s="3"/>
      <c r="AG1761" s="3"/>
    </row>
    <row r="1762">
      <c r="B1762" s="2"/>
      <c r="P1762" s="3"/>
      <c r="Q1762" s="3"/>
      <c r="R1762" s="3"/>
      <c r="S1762" s="3"/>
      <c r="T1762" s="3"/>
      <c r="U1762" s="3"/>
      <c r="V1762" s="3"/>
      <c r="W1762" s="3"/>
      <c r="X1762" s="3"/>
      <c r="Y1762" s="3"/>
      <c r="Z1762" s="3"/>
      <c r="AA1762" s="3"/>
      <c r="AB1762" s="3"/>
      <c r="AC1762" s="3"/>
      <c r="AD1762" s="3"/>
      <c r="AE1762" s="3"/>
      <c r="AF1762" s="3"/>
      <c r="AG1762" s="3"/>
    </row>
    <row r="1763">
      <c r="B1763" s="2"/>
      <c r="P1763" s="3"/>
      <c r="Q1763" s="3"/>
      <c r="R1763" s="3"/>
      <c r="S1763" s="3"/>
      <c r="T1763" s="3"/>
      <c r="U1763" s="3"/>
      <c r="V1763" s="3"/>
      <c r="W1763" s="3"/>
      <c r="X1763" s="3"/>
      <c r="Y1763" s="3"/>
      <c r="Z1763" s="3"/>
      <c r="AA1763" s="3"/>
      <c r="AB1763" s="3"/>
      <c r="AC1763" s="3"/>
      <c r="AD1763" s="3"/>
      <c r="AE1763" s="3"/>
      <c r="AF1763" s="3"/>
      <c r="AG1763" s="3"/>
    </row>
    <row r="1764">
      <c r="B1764" s="2"/>
      <c r="P1764" s="3"/>
      <c r="Q1764" s="3"/>
      <c r="R1764" s="3"/>
      <c r="S1764" s="3"/>
      <c r="T1764" s="3"/>
      <c r="U1764" s="3"/>
      <c r="V1764" s="3"/>
      <c r="W1764" s="3"/>
      <c r="X1764" s="3"/>
      <c r="Y1764" s="3"/>
      <c r="Z1764" s="3"/>
      <c r="AA1764" s="3"/>
      <c r="AB1764" s="3"/>
      <c r="AC1764" s="3"/>
      <c r="AD1764" s="3"/>
      <c r="AE1764" s="3"/>
      <c r="AF1764" s="3"/>
      <c r="AG1764" s="3"/>
    </row>
    <row r="1765">
      <c r="B1765" s="2"/>
      <c r="P1765" s="3"/>
      <c r="Q1765" s="3"/>
      <c r="R1765" s="3"/>
      <c r="S1765" s="3"/>
      <c r="T1765" s="3"/>
      <c r="U1765" s="3"/>
      <c r="V1765" s="3"/>
      <c r="W1765" s="3"/>
      <c r="X1765" s="3"/>
      <c r="Y1765" s="3"/>
      <c r="Z1765" s="3"/>
      <c r="AA1765" s="3"/>
      <c r="AB1765" s="3"/>
      <c r="AC1765" s="3"/>
      <c r="AD1765" s="3"/>
      <c r="AE1765" s="3"/>
      <c r="AF1765" s="3"/>
      <c r="AG1765" s="3"/>
    </row>
    <row r="1766">
      <c r="B1766" s="2"/>
      <c r="P1766" s="3"/>
      <c r="Q1766" s="3"/>
      <c r="R1766" s="3"/>
      <c r="S1766" s="3"/>
      <c r="T1766" s="3"/>
      <c r="U1766" s="3"/>
      <c r="V1766" s="3"/>
      <c r="W1766" s="3"/>
      <c r="X1766" s="3"/>
      <c r="Y1766" s="3"/>
      <c r="Z1766" s="3"/>
      <c r="AA1766" s="3"/>
      <c r="AB1766" s="3"/>
      <c r="AC1766" s="3"/>
      <c r="AD1766" s="3"/>
      <c r="AE1766" s="3"/>
      <c r="AF1766" s="3"/>
      <c r="AG1766" s="3"/>
    </row>
    <row r="1767">
      <c r="B1767" s="2"/>
      <c r="P1767" s="3"/>
      <c r="Q1767" s="3"/>
      <c r="R1767" s="3"/>
      <c r="S1767" s="3"/>
      <c r="T1767" s="3"/>
      <c r="U1767" s="3"/>
      <c r="V1767" s="3"/>
      <c r="W1767" s="3"/>
      <c r="X1767" s="3"/>
      <c r="Y1767" s="3"/>
      <c r="Z1767" s="3"/>
      <c r="AA1767" s="3"/>
      <c r="AB1767" s="3"/>
      <c r="AC1767" s="3"/>
      <c r="AD1767" s="3"/>
      <c r="AE1767" s="3"/>
      <c r="AF1767" s="3"/>
      <c r="AG1767" s="3"/>
    </row>
    <row r="1768">
      <c r="B1768" s="2"/>
      <c r="P1768" s="3"/>
      <c r="Q1768" s="3"/>
      <c r="R1768" s="3"/>
      <c r="S1768" s="3"/>
      <c r="T1768" s="3"/>
      <c r="U1768" s="3"/>
      <c r="V1768" s="3"/>
      <c r="W1768" s="3"/>
      <c r="X1768" s="3"/>
      <c r="Y1768" s="3"/>
      <c r="Z1768" s="3"/>
      <c r="AA1768" s="3"/>
      <c r="AB1768" s="3"/>
      <c r="AC1768" s="3"/>
      <c r="AD1768" s="3"/>
      <c r="AE1768" s="3"/>
      <c r="AF1768" s="3"/>
      <c r="AG1768" s="3"/>
    </row>
    <row r="1769">
      <c r="B1769" s="2"/>
      <c r="P1769" s="3"/>
      <c r="Q1769" s="3"/>
      <c r="R1769" s="3"/>
      <c r="S1769" s="3"/>
      <c r="T1769" s="3"/>
      <c r="U1769" s="3"/>
      <c r="V1769" s="3"/>
      <c r="W1769" s="3"/>
      <c r="X1769" s="3"/>
      <c r="Y1769" s="3"/>
      <c r="Z1769" s="3"/>
      <c r="AA1769" s="3"/>
      <c r="AB1769" s="3"/>
      <c r="AC1769" s="3"/>
      <c r="AD1769" s="3"/>
      <c r="AE1769" s="3"/>
      <c r="AF1769" s="3"/>
      <c r="AG1769" s="3"/>
    </row>
    <row r="1770">
      <c r="B1770" s="2"/>
      <c r="P1770" s="3"/>
      <c r="Q1770" s="3"/>
      <c r="R1770" s="3"/>
      <c r="S1770" s="3"/>
      <c r="T1770" s="3"/>
      <c r="U1770" s="3"/>
      <c r="V1770" s="3"/>
      <c r="W1770" s="3"/>
      <c r="X1770" s="3"/>
      <c r="Y1770" s="3"/>
      <c r="Z1770" s="3"/>
      <c r="AA1770" s="3"/>
      <c r="AB1770" s="3"/>
      <c r="AC1770" s="3"/>
      <c r="AD1770" s="3"/>
      <c r="AE1770" s="3"/>
      <c r="AF1770" s="3"/>
      <c r="AG1770" s="3"/>
    </row>
    <row r="1771">
      <c r="B1771" s="2"/>
      <c r="P1771" s="3"/>
      <c r="Q1771" s="3"/>
      <c r="R1771" s="3"/>
      <c r="S1771" s="3"/>
      <c r="T1771" s="3"/>
      <c r="U1771" s="3"/>
      <c r="V1771" s="3"/>
      <c r="W1771" s="3"/>
      <c r="X1771" s="3"/>
      <c r="Y1771" s="3"/>
      <c r="Z1771" s="3"/>
      <c r="AA1771" s="3"/>
      <c r="AB1771" s="3"/>
      <c r="AC1771" s="3"/>
      <c r="AD1771" s="3"/>
      <c r="AE1771" s="3"/>
      <c r="AF1771" s="3"/>
      <c r="AG1771" s="3"/>
    </row>
    <row r="1772">
      <c r="B1772" s="2"/>
      <c r="P1772" s="3"/>
      <c r="Q1772" s="3"/>
      <c r="R1772" s="3"/>
      <c r="S1772" s="3"/>
      <c r="T1772" s="3"/>
      <c r="U1772" s="3"/>
      <c r="V1772" s="3"/>
      <c r="W1772" s="3"/>
      <c r="X1772" s="3"/>
      <c r="Y1772" s="3"/>
      <c r="Z1772" s="3"/>
      <c r="AA1772" s="3"/>
      <c r="AB1772" s="3"/>
      <c r="AC1772" s="3"/>
      <c r="AD1772" s="3"/>
      <c r="AE1772" s="3"/>
      <c r="AF1772" s="3"/>
      <c r="AG1772" s="3"/>
    </row>
    <row r="1773">
      <c r="B1773" s="2"/>
      <c r="P1773" s="3"/>
      <c r="Q1773" s="3"/>
      <c r="R1773" s="3"/>
      <c r="S1773" s="3"/>
      <c r="T1773" s="3"/>
      <c r="U1773" s="3"/>
      <c r="V1773" s="3"/>
      <c r="W1773" s="3"/>
      <c r="X1773" s="3"/>
      <c r="Y1773" s="3"/>
      <c r="Z1773" s="3"/>
      <c r="AA1773" s="3"/>
      <c r="AB1773" s="3"/>
      <c r="AC1773" s="3"/>
      <c r="AD1773" s="3"/>
      <c r="AE1773" s="3"/>
      <c r="AF1773" s="3"/>
      <c r="AG1773" s="3"/>
    </row>
    <row r="1774">
      <c r="B1774" s="2"/>
      <c r="P1774" s="3"/>
      <c r="Q1774" s="3"/>
      <c r="R1774" s="3"/>
      <c r="S1774" s="3"/>
      <c r="T1774" s="3"/>
      <c r="U1774" s="3"/>
      <c r="V1774" s="3"/>
      <c r="W1774" s="3"/>
      <c r="X1774" s="3"/>
      <c r="Y1774" s="3"/>
      <c r="Z1774" s="3"/>
      <c r="AA1774" s="3"/>
      <c r="AB1774" s="3"/>
      <c r="AC1774" s="3"/>
      <c r="AD1774" s="3"/>
      <c r="AE1774" s="3"/>
      <c r="AF1774" s="3"/>
      <c r="AG1774" s="3"/>
    </row>
    <row r="1775">
      <c r="B1775" s="2"/>
      <c r="P1775" s="3"/>
      <c r="Q1775" s="3"/>
      <c r="R1775" s="3"/>
      <c r="S1775" s="3"/>
      <c r="T1775" s="3"/>
      <c r="U1775" s="3"/>
      <c r="V1775" s="3"/>
      <c r="W1775" s="3"/>
      <c r="X1775" s="3"/>
      <c r="Y1775" s="3"/>
      <c r="Z1775" s="3"/>
      <c r="AA1775" s="3"/>
      <c r="AB1775" s="3"/>
      <c r="AC1775" s="3"/>
      <c r="AD1775" s="3"/>
      <c r="AE1775" s="3"/>
      <c r="AF1775" s="3"/>
      <c r="AG1775" s="3"/>
    </row>
    <row r="1776">
      <c r="B1776" s="2"/>
      <c r="P1776" s="3"/>
      <c r="Q1776" s="3"/>
      <c r="R1776" s="3"/>
      <c r="S1776" s="3"/>
      <c r="T1776" s="3"/>
      <c r="U1776" s="3"/>
      <c r="V1776" s="3"/>
      <c r="W1776" s="3"/>
      <c r="X1776" s="3"/>
      <c r="Y1776" s="3"/>
      <c r="Z1776" s="3"/>
      <c r="AA1776" s="3"/>
      <c r="AB1776" s="3"/>
      <c r="AC1776" s="3"/>
      <c r="AD1776" s="3"/>
      <c r="AE1776" s="3"/>
      <c r="AF1776" s="3"/>
      <c r="AG1776" s="3"/>
    </row>
    <row r="1777">
      <c r="B1777" s="2"/>
      <c r="P1777" s="3"/>
      <c r="Q1777" s="3"/>
      <c r="R1777" s="3"/>
      <c r="S1777" s="3"/>
      <c r="T1777" s="3"/>
      <c r="U1777" s="3"/>
      <c r="V1777" s="3"/>
      <c r="W1777" s="3"/>
      <c r="X1777" s="3"/>
      <c r="Y1777" s="3"/>
      <c r="Z1777" s="3"/>
      <c r="AA1777" s="3"/>
      <c r="AB1777" s="3"/>
      <c r="AC1777" s="3"/>
      <c r="AD1777" s="3"/>
      <c r="AE1777" s="3"/>
      <c r="AF1777" s="3"/>
      <c r="AG1777" s="3"/>
    </row>
    <row r="1778">
      <c r="B1778" s="2"/>
      <c r="P1778" s="3"/>
      <c r="Q1778" s="3"/>
      <c r="R1778" s="3"/>
      <c r="S1778" s="3"/>
      <c r="T1778" s="3"/>
      <c r="U1778" s="3"/>
      <c r="V1778" s="3"/>
      <c r="W1778" s="3"/>
      <c r="X1778" s="3"/>
      <c r="Y1778" s="3"/>
      <c r="Z1778" s="3"/>
      <c r="AA1778" s="3"/>
      <c r="AB1778" s="3"/>
      <c r="AC1778" s="3"/>
      <c r="AD1778" s="3"/>
      <c r="AE1778" s="3"/>
      <c r="AF1778" s="3"/>
      <c r="AG1778" s="3"/>
    </row>
    <row r="1779">
      <c r="B1779" s="2"/>
      <c r="P1779" s="3"/>
      <c r="Q1779" s="3"/>
      <c r="R1779" s="3"/>
      <c r="S1779" s="3"/>
      <c r="T1779" s="3"/>
      <c r="U1779" s="3"/>
      <c r="V1779" s="3"/>
      <c r="W1779" s="3"/>
      <c r="X1779" s="3"/>
      <c r="Y1779" s="3"/>
      <c r="Z1779" s="3"/>
      <c r="AA1779" s="3"/>
      <c r="AB1779" s="3"/>
      <c r="AC1779" s="3"/>
      <c r="AD1779" s="3"/>
      <c r="AE1779" s="3"/>
      <c r="AF1779" s="3"/>
      <c r="AG1779" s="3"/>
    </row>
    <row r="1780">
      <c r="B1780" s="2"/>
      <c r="P1780" s="3"/>
      <c r="Q1780" s="3"/>
      <c r="R1780" s="3"/>
      <c r="S1780" s="3"/>
      <c r="T1780" s="3"/>
      <c r="U1780" s="3"/>
      <c r="V1780" s="3"/>
      <c r="W1780" s="3"/>
      <c r="X1780" s="3"/>
      <c r="Y1780" s="3"/>
      <c r="Z1780" s="3"/>
      <c r="AA1780" s="3"/>
      <c r="AB1780" s="3"/>
      <c r="AC1780" s="3"/>
      <c r="AD1780" s="3"/>
      <c r="AE1780" s="3"/>
      <c r="AF1780" s="3"/>
      <c r="AG1780" s="3"/>
    </row>
    <row r="1781">
      <c r="B1781" s="2"/>
      <c r="P1781" s="3"/>
      <c r="Q1781" s="3"/>
      <c r="R1781" s="3"/>
      <c r="S1781" s="3"/>
      <c r="T1781" s="3"/>
      <c r="U1781" s="3"/>
      <c r="V1781" s="3"/>
      <c r="W1781" s="3"/>
      <c r="X1781" s="3"/>
      <c r="Y1781" s="3"/>
      <c r="Z1781" s="3"/>
      <c r="AA1781" s="3"/>
      <c r="AB1781" s="3"/>
      <c r="AC1781" s="3"/>
      <c r="AD1781" s="3"/>
      <c r="AE1781" s="3"/>
      <c r="AF1781" s="3"/>
      <c r="AG1781" s="3"/>
    </row>
    <row r="1782">
      <c r="B1782" s="2"/>
      <c r="P1782" s="3"/>
      <c r="Q1782" s="3"/>
      <c r="R1782" s="3"/>
      <c r="S1782" s="3"/>
      <c r="T1782" s="3"/>
      <c r="U1782" s="3"/>
      <c r="V1782" s="3"/>
      <c r="W1782" s="3"/>
      <c r="X1782" s="3"/>
      <c r="Y1782" s="3"/>
      <c r="Z1782" s="3"/>
      <c r="AA1782" s="3"/>
      <c r="AB1782" s="3"/>
      <c r="AC1782" s="3"/>
      <c r="AD1782" s="3"/>
      <c r="AE1782" s="3"/>
      <c r="AF1782" s="3"/>
      <c r="AG1782" s="3"/>
    </row>
    <row r="1783">
      <c r="B1783" s="2"/>
      <c r="P1783" s="3"/>
      <c r="Q1783" s="3"/>
      <c r="R1783" s="3"/>
      <c r="S1783" s="3"/>
      <c r="T1783" s="3"/>
      <c r="U1783" s="3"/>
      <c r="V1783" s="3"/>
      <c r="W1783" s="3"/>
      <c r="X1783" s="3"/>
      <c r="Y1783" s="3"/>
      <c r="Z1783" s="3"/>
      <c r="AA1783" s="3"/>
      <c r="AB1783" s="3"/>
      <c r="AC1783" s="3"/>
      <c r="AD1783" s="3"/>
      <c r="AE1783" s="3"/>
      <c r="AF1783" s="3"/>
      <c r="AG1783" s="3"/>
    </row>
    <row r="1784">
      <c r="B1784" s="2"/>
      <c r="P1784" s="3"/>
      <c r="Q1784" s="3"/>
      <c r="R1784" s="3"/>
      <c r="S1784" s="3"/>
      <c r="T1784" s="3"/>
      <c r="U1784" s="3"/>
      <c r="V1784" s="3"/>
      <c r="W1784" s="3"/>
      <c r="X1784" s="3"/>
      <c r="Y1784" s="3"/>
      <c r="Z1784" s="3"/>
      <c r="AA1784" s="3"/>
      <c r="AB1784" s="3"/>
      <c r="AC1784" s="3"/>
      <c r="AD1784" s="3"/>
      <c r="AE1784" s="3"/>
      <c r="AF1784" s="3"/>
      <c r="AG1784" s="3"/>
    </row>
    <row r="1785">
      <c r="B1785" s="2"/>
      <c r="P1785" s="3"/>
      <c r="Q1785" s="3"/>
      <c r="R1785" s="3"/>
      <c r="S1785" s="3"/>
      <c r="T1785" s="3"/>
      <c r="U1785" s="3"/>
      <c r="V1785" s="3"/>
      <c r="W1785" s="3"/>
      <c r="X1785" s="3"/>
      <c r="Y1785" s="3"/>
      <c r="Z1785" s="3"/>
      <c r="AA1785" s="3"/>
      <c r="AB1785" s="3"/>
      <c r="AC1785" s="3"/>
      <c r="AD1785" s="3"/>
      <c r="AE1785" s="3"/>
      <c r="AF1785" s="3"/>
      <c r="AG1785" s="3"/>
    </row>
    <row r="1786">
      <c r="B1786" s="2"/>
      <c r="P1786" s="3"/>
      <c r="Q1786" s="3"/>
      <c r="R1786" s="3"/>
      <c r="S1786" s="3"/>
      <c r="T1786" s="3"/>
      <c r="U1786" s="3"/>
      <c r="V1786" s="3"/>
      <c r="W1786" s="3"/>
      <c r="X1786" s="3"/>
      <c r="Y1786" s="3"/>
      <c r="Z1786" s="3"/>
      <c r="AA1786" s="3"/>
      <c r="AB1786" s="3"/>
      <c r="AC1786" s="3"/>
      <c r="AD1786" s="3"/>
      <c r="AE1786" s="3"/>
      <c r="AF1786" s="3"/>
      <c r="AG1786" s="3"/>
    </row>
    <row r="1787">
      <c r="B1787" s="2"/>
      <c r="P1787" s="3"/>
      <c r="Q1787" s="3"/>
      <c r="R1787" s="3"/>
      <c r="S1787" s="3"/>
      <c r="T1787" s="3"/>
      <c r="U1787" s="3"/>
      <c r="V1787" s="3"/>
      <c r="W1787" s="3"/>
      <c r="X1787" s="3"/>
      <c r="Y1787" s="3"/>
      <c r="Z1787" s="3"/>
      <c r="AA1787" s="3"/>
      <c r="AB1787" s="3"/>
      <c r="AC1787" s="3"/>
      <c r="AD1787" s="3"/>
      <c r="AE1787" s="3"/>
      <c r="AF1787" s="3"/>
      <c r="AG1787" s="3"/>
    </row>
    <row r="1788">
      <c r="B1788" s="2"/>
      <c r="P1788" s="3"/>
      <c r="Q1788" s="3"/>
      <c r="R1788" s="3"/>
      <c r="S1788" s="3"/>
      <c r="T1788" s="3"/>
      <c r="U1788" s="3"/>
      <c r="V1788" s="3"/>
      <c r="W1788" s="3"/>
      <c r="X1788" s="3"/>
      <c r="Y1788" s="3"/>
      <c r="Z1788" s="3"/>
      <c r="AA1788" s="3"/>
      <c r="AB1788" s="3"/>
      <c r="AC1788" s="3"/>
      <c r="AD1788" s="3"/>
      <c r="AE1788" s="3"/>
      <c r="AF1788" s="3"/>
      <c r="AG1788" s="3"/>
    </row>
    <row r="1789">
      <c r="B1789" s="2"/>
      <c r="P1789" s="3"/>
      <c r="Q1789" s="3"/>
      <c r="R1789" s="3"/>
      <c r="S1789" s="3"/>
      <c r="T1789" s="3"/>
      <c r="U1789" s="3"/>
      <c r="V1789" s="3"/>
      <c r="W1789" s="3"/>
      <c r="X1789" s="3"/>
      <c r="Y1789" s="3"/>
      <c r="Z1789" s="3"/>
      <c r="AA1789" s="3"/>
      <c r="AB1789" s="3"/>
      <c r="AC1789" s="3"/>
      <c r="AD1789" s="3"/>
      <c r="AE1789" s="3"/>
      <c r="AF1789" s="3"/>
      <c r="AG1789" s="3"/>
    </row>
    <row r="1790">
      <c r="B1790" s="2"/>
      <c r="P1790" s="3"/>
      <c r="Q1790" s="3"/>
      <c r="R1790" s="3"/>
      <c r="S1790" s="3"/>
      <c r="T1790" s="3"/>
      <c r="U1790" s="3"/>
      <c r="V1790" s="3"/>
      <c r="W1790" s="3"/>
      <c r="X1790" s="3"/>
      <c r="Y1790" s="3"/>
      <c r="Z1790" s="3"/>
      <c r="AA1790" s="3"/>
      <c r="AB1790" s="3"/>
      <c r="AC1790" s="3"/>
      <c r="AD1790" s="3"/>
      <c r="AE1790" s="3"/>
      <c r="AF1790" s="3"/>
      <c r="AG1790" s="3"/>
    </row>
    <row r="1791">
      <c r="B1791" s="2"/>
      <c r="P1791" s="3"/>
      <c r="Q1791" s="3"/>
      <c r="R1791" s="3"/>
      <c r="S1791" s="3"/>
      <c r="T1791" s="3"/>
      <c r="U1791" s="3"/>
      <c r="V1791" s="3"/>
      <c r="W1791" s="3"/>
      <c r="X1791" s="3"/>
      <c r="Y1791" s="3"/>
      <c r="Z1791" s="3"/>
      <c r="AA1791" s="3"/>
      <c r="AB1791" s="3"/>
      <c r="AC1791" s="3"/>
      <c r="AD1791" s="3"/>
      <c r="AE1791" s="3"/>
      <c r="AF1791" s="3"/>
      <c r="AG1791" s="3"/>
    </row>
    <row r="1792">
      <c r="B1792" s="2"/>
      <c r="P1792" s="3"/>
      <c r="Q1792" s="3"/>
      <c r="R1792" s="3"/>
      <c r="S1792" s="3"/>
      <c r="T1792" s="3"/>
      <c r="U1792" s="3"/>
      <c r="V1792" s="3"/>
      <c r="W1792" s="3"/>
      <c r="X1792" s="3"/>
      <c r="Y1792" s="3"/>
      <c r="Z1792" s="3"/>
      <c r="AA1792" s="3"/>
      <c r="AB1792" s="3"/>
      <c r="AC1792" s="3"/>
      <c r="AD1792" s="3"/>
      <c r="AE1792" s="3"/>
      <c r="AF1792" s="3"/>
      <c r="AG1792" s="3"/>
    </row>
    <row r="1793">
      <c r="B1793" s="2"/>
      <c r="P1793" s="3"/>
      <c r="Q1793" s="3"/>
      <c r="R1793" s="3"/>
      <c r="S1793" s="3"/>
      <c r="T1793" s="3"/>
      <c r="U1793" s="3"/>
      <c r="V1793" s="3"/>
      <c r="W1793" s="3"/>
      <c r="X1793" s="3"/>
      <c r="Y1793" s="3"/>
      <c r="Z1793" s="3"/>
      <c r="AA1793" s="3"/>
      <c r="AB1793" s="3"/>
      <c r="AC1793" s="3"/>
      <c r="AD1793" s="3"/>
      <c r="AE1793" s="3"/>
      <c r="AF1793" s="3"/>
      <c r="AG1793" s="3"/>
    </row>
    <row r="1794">
      <c r="B1794" s="2"/>
      <c r="P1794" s="3"/>
      <c r="Q1794" s="3"/>
      <c r="R1794" s="3"/>
      <c r="S1794" s="3"/>
      <c r="T1794" s="3"/>
      <c r="U1794" s="3"/>
      <c r="V1794" s="3"/>
      <c r="W1794" s="3"/>
      <c r="X1794" s="3"/>
      <c r="Y1794" s="3"/>
      <c r="Z1794" s="3"/>
      <c r="AA1794" s="3"/>
      <c r="AB1794" s="3"/>
      <c r="AC1794" s="3"/>
      <c r="AD1794" s="3"/>
      <c r="AE1794" s="3"/>
      <c r="AF1794" s="3"/>
      <c r="AG1794" s="3"/>
    </row>
    <row r="1795">
      <c r="B1795" s="2"/>
      <c r="P1795" s="3"/>
      <c r="Q1795" s="3"/>
      <c r="R1795" s="3"/>
      <c r="S1795" s="3"/>
      <c r="T1795" s="3"/>
      <c r="U1795" s="3"/>
      <c r="V1795" s="3"/>
      <c r="W1795" s="3"/>
      <c r="X1795" s="3"/>
      <c r="Y1795" s="3"/>
      <c r="Z1795" s="3"/>
      <c r="AA1795" s="3"/>
      <c r="AB1795" s="3"/>
      <c r="AC1795" s="3"/>
      <c r="AD1795" s="3"/>
      <c r="AE1795" s="3"/>
      <c r="AF1795" s="3"/>
      <c r="AG1795" s="3"/>
    </row>
    <row r="1796">
      <c r="B1796" s="2"/>
      <c r="P1796" s="3"/>
      <c r="Q1796" s="3"/>
      <c r="R1796" s="3"/>
      <c r="S1796" s="3"/>
      <c r="T1796" s="3"/>
      <c r="U1796" s="3"/>
      <c r="V1796" s="3"/>
      <c r="W1796" s="3"/>
      <c r="X1796" s="3"/>
      <c r="Y1796" s="3"/>
      <c r="Z1796" s="3"/>
      <c r="AA1796" s="3"/>
      <c r="AB1796" s="3"/>
      <c r="AC1796" s="3"/>
      <c r="AD1796" s="3"/>
      <c r="AE1796" s="3"/>
      <c r="AF1796" s="3"/>
      <c r="AG1796" s="3"/>
    </row>
    <row r="1797">
      <c r="B1797" s="2"/>
      <c r="P1797" s="3"/>
      <c r="Q1797" s="3"/>
      <c r="R1797" s="3"/>
      <c r="S1797" s="3"/>
      <c r="T1797" s="3"/>
      <c r="U1797" s="3"/>
      <c r="V1797" s="3"/>
      <c r="W1797" s="3"/>
      <c r="X1797" s="3"/>
      <c r="Y1797" s="3"/>
      <c r="Z1797" s="3"/>
      <c r="AA1797" s="3"/>
      <c r="AB1797" s="3"/>
      <c r="AC1797" s="3"/>
      <c r="AD1797" s="3"/>
      <c r="AE1797" s="3"/>
      <c r="AF1797" s="3"/>
      <c r="AG1797" s="3"/>
    </row>
    <row r="1798">
      <c r="B1798" s="2"/>
      <c r="P1798" s="3"/>
      <c r="Q1798" s="3"/>
      <c r="R1798" s="3"/>
      <c r="S1798" s="3"/>
      <c r="T1798" s="3"/>
      <c r="U1798" s="3"/>
      <c r="V1798" s="3"/>
      <c r="W1798" s="3"/>
      <c r="X1798" s="3"/>
      <c r="Y1798" s="3"/>
      <c r="Z1798" s="3"/>
      <c r="AA1798" s="3"/>
      <c r="AB1798" s="3"/>
      <c r="AC1798" s="3"/>
      <c r="AD1798" s="3"/>
      <c r="AE1798" s="3"/>
      <c r="AF1798" s="3"/>
      <c r="AG1798" s="3"/>
    </row>
    <row r="1799">
      <c r="B1799" s="2"/>
      <c r="P1799" s="3"/>
      <c r="Q1799" s="3"/>
      <c r="R1799" s="3"/>
      <c r="S1799" s="3"/>
      <c r="T1799" s="3"/>
      <c r="U1799" s="3"/>
      <c r="V1799" s="3"/>
      <c r="W1799" s="3"/>
      <c r="X1799" s="3"/>
      <c r="Y1799" s="3"/>
      <c r="Z1799" s="3"/>
      <c r="AA1799" s="3"/>
      <c r="AB1799" s="3"/>
      <c r="AC1799" s="3"/>
      <c r="AD1799" s="3"/>
      <c r="AE1799" s="3"/>
      <c r="AF1799" s="3"/>
      <c r="AG1799" s="3"/>
    </row>
    <row r="1800">
      <c r="B1800" s="2"/>
      <c r="P1800" s="3"/>
      <c r="Q1800" s="3"/>
      <c r="R1800" s="3"/>
      <c r="S1800" s="3"/>
      <c r="T1800" s="3"/>
      <c r="U1800" s="3"/>
      <c r="V1800" s="3"/>
      <c r="W1800" s="3"/>
      <c r="X1800" s="3"/>
      <c r="Y1800" s="3"/>
      <c r="Z1800" s="3"/>
      <c r="AA1800" s="3"/>
      <c r="AB1800" s="3"/>
      <c r="AC1800" s="3"/>
      <c r="AD1800" s="3"/>
      <c r="AE1800" s="3"/>
      <c r="AF1800" s="3"/>
      <c r="AG1800" s="3"/>
    </row>
    <row r="1801">
      <c r="B1801" s="2"/>
      <c r="P1801" s="3"/>
      <c r="Q1801" s="3"/>
      <c r="R1801" s="3"/>
      <c r="S1801" s="3"/>
      <c r="T1801" s="3"/>
      <c r="U1801" s="3"/>
      <c r="V1801" s="3"/>
      <c r="W1801" s="3"/>
      <c r="X1801" s="3"/>
      <c r="Y1801" s="3"/>
      <c r="Z1801" s="3"/>
      <c r="AA1801" s="3"/>
      <c r="AB1801" s="3"/>
      <c r="AC1801" s="3"/>
      <c r="AD1801" s="3"/>
      <c r="AE1801" s="3"/>
      <c r="AF1801" s="3"/>
      <c r="AG1801" s="3"/>
    </row>
    <row r="1802">
      <c r="B1802" s="2"/>
      <c r="P1802" s="3"/>
      <c r="Q1802" s="3"/>
      <c r="R1802" s="3"/>
      <c r="S1802" s="3"/>
      <c r="T1802" s="3"/>
      <c r="U1802" s="3"/>
      <c r="V1802" s="3"/>
      <c r="W1802" s="3"/>
      <c r="X1802" s="3"/>
      <c r="Y1802" s="3"/>
      <c r="Z1802" s="3"/>
      <c r="AA1802" s="3"/>
      <c r="AB1802" s="3"/>
      <c r="AC1802" s="3"/>
      <c r="AD1802" s="3"/>
      <c r="AE1802" s="3"/>
      <c r="AF1802" s="3"/>
      <c r="AG1802" s="3"/>
    </row>
    <row r="1803">
      <c r="B1803" s="2"/>
      <c r="P1803" s="3"/>
      <c r="Q1803" s="3"/>
      <c r="R1803" s="3"/>
      <c r="S1803" s="3"/>
      <c r="T1803" s="3"/>
      <c r="U1803" s="3"/>
      <c r="V1803" s="3"/>
      <c r="W1803" s="3"/>
      <c r="X1803" s="3"/>
      <c r="Y1803" s="3"/>
      <c r="Z1803" s="3"/>
      <c r="AA1803" s="3"/>
      <c r="AB1803" s="3"/>
      <c r="AC1803" s="3"/>
      <c r="AD1803" s="3"/>
      <c r="AE1803" s="3"/>
      <c r="AF1803" s="3"/>
      <c r="AG1803" s="3"/>
    </row>
    <row r="1804">
      <c r="B1804" s="2"/>
      <c r="P1804" s="3"/>
      <c r="Q1804" s="3"/>
      <c r="R1804" s="3"/>
      <c r="S1804" s="3"/>
      <c r="T1804" s="3"/>
      <c r="U1804" s="3"/>
      <c r="V1804" s="3"/>
      <c r="W1804" s="3"/>
      <c r="X1804" s="3"/>
      <c r="Y1804" s="3"/>
      <c r="Z1804" s="3"/>
      <c r="AA1804" s="3"/>
      <c r="AB1804" s="3"/>
      <c r="AC1804" s="3"/>
      <c r="AD1804" s="3"/>
      <c r="AE1804" s="3"/>
      <c r="AF1804" s="3"/>
      <c r="AG1804" s="3"/>
    </row>
    <row r="1805">
      <c r="B1805" s="2"/>
      <c r="P1805" s="3"/>
      <c r="Q1805" s="3"/>
      <c r="R1805" s="3"/>
      <c r="S1805" s="3"/>
      <c r="T1805" s="3"/>
      <c r="U1805" s="3"/>
      <c r="V1805" s="3"/>
      <c r="W1805" s="3"/>
      <c r="X1805" s="3"/>
      <c r="Y1805" s="3"/>
      <c r="Z1805" s="3"/>
      <c r="AA1805" s="3"/>
      <c r="AB1805" s="3"/>
      <c r="AC1805" s="3"/>
      <c r="AD1805" s="3"/>
      <c r="AE1805" s="3"/>
      <c r="AF1805" s="3"/>
      <c r="AG1805" s="3"/>
    </row>
    <row r="1806">
      <c r="B1806" s="2"/>
      <c r="P1806" s="3"/>
      <c r="Q1806" s="3"/>
      <c r="R1806" s="3"/>
      <c r="S1806" s="3"/>
      <c r="T1806" s="3"/>
      <c r="U1806" s="3"/>
      <c r="V1806" s="3"/>
      <c r="W1806" s="3"/>
      <c r="X1806" s="3"/>
      <c r="Y1806" s="3"/>
      <c r="Z1806" s="3"/>
      <c r="AA1806" s="3"/>
      <c r="AB1806" s="3"/>
      <c r="AC1806" s="3"/>
      <c r="AD1806" s="3"/>
      <c r="AE1806" s="3"/>
      <c r="AF1806" s="3"/>
      <c r="AG1806" s="3"/>
    </row>
    <row r="1807">
      <c r="B1807" s="2"/>
      <c r="P1807" s="3"/>
      <c r="Q1807" s="3"/>
      <c r="R1807" s="3"/>
      <c r="S1807" s="3"/>
      <c r="T1807" s="3"/>
      <c r="U1807" s="3"/>
      <c r="V1807" s="3"/>
      <c r="W1807" s="3"/>
      <c r="X1807" s="3"/>
      <c r="Y1807" s="3"/>
      <c r="Z1807" s="3"/>
      <c r="AA1807" s="3"/>
      <c r="AB1807" s="3"/>
      <c r="AC1807" s="3"/>
      <c r="AD1807" s="3"/>
      <c r="AE1807" s="3"/>
      <c r="AF1807" s="3"/>
      <c r="AG1807" s="3"/>
    </row>
    <row r="1808">
      <c r="B1808" s="2"/>
      <c r="P1808" s="3"/>
      <c r="Q1808" s="3"/>
      <c r="R1808" s="3"/>
      <c r="S1808" s="3"/>
      <c r="T1808" s="3"/>
      <c r="U1808" s="3"/>
      <c r="V1808" s="3"/>
      <c r="W1808" s="3"/>
      <c r="X1808" s="3"/>
      <c r="Y1808" s="3"/>
      <c r="Z1808" s="3"/>
      <c r="AA1808" s="3"/>
      <c r="AB1808" s="3"/>
      <c r="AC1808" s="3"/>
      <c r="AD1808" s="3"/>
      <c r="AE1808" s="3"/>
      <c r="AF1808" s="3"/>
      <c r="AG1808" s="3"/>
    </row>
    <row r="1809">
      <c r="B1809" s="2"/>
      <c r="P1809" s="3"/>
      <c r="Q1809" s="3"/>
      <c r="R1809" s="3"/>
      <c r="S1809" s="3"/>
      <c r="T1809" s="3"/>
      <c r="U1809" s="3"/>
      <c r="V1809" s="3"/>
      <c r="W1809" s="3"/>
      <c r="X1809" s="3"/>
      <c r="Y1809" s="3"/>
      <c r="Z1809" s="3"/>
      <c r="AA1809" s="3"/>
      <c r="AB1809" s="3"/>
      <c r="AC1809" s="3"/>
      <c r="AD1809" s="3"/>
      <c r="AE1809" s="3"/>
      <c r="AF1809" s="3"/>
      <c r="AG1809" s="3"/>
    </row>
    <row r="1810">
      <c r="B1810" s="2"/>
      <c r="P1810" s="3"/>
      <c r="Q1810" s="3"/>
      <c r="R1810" s="3"/>
      <c r="S1810" s="3"/>
      <c r="T1810" s="3"/>
      <c r="U1810" s="3"/>
      <c r="V1810" s="3"/>
      <c r="W1810" s="3"/>
      <c r="X1810" s="3"/>
      <c r="Y1810" s="3"/>
      <c r="Z1810" s="3"/>
      <c r="AA1810" s="3"/>
      <c r="AB1810" s="3"/>
      <c r="AC1810" s="3"/>
      <c r="AD1810" s="3"/>
      <c r="AE1810" s="3"/>
      <c r="AF1810" s="3"/>
      <c r="AG1810" s="3"/>
    </row>
    <row r="1811">
      <c r="B1811" s="2"/>
      <c r="P1811" s="3"/>
      <c r="Q1811" s="3"/>
      <c r="R1811" s="3"/>
      <c r="S1811" s="3"/>
      <c r="T1811" s="3"/>
      <c r="U1811" s="3"/>
      <c r="V1811" s="3"/>
      <c r="W1811" s="3"/>
      <c r="X1811" s="3"/>
      <c r="Y1811" s="3"/>
      <c r="Z1811" s="3"/>
      <c r="AA1811" s="3"/>
      <c r="AB1811" s="3"/>
      <c r="AC1811" s="3"/>
      <c r="AD1811" s="3"/>
      <c r="AE1811" s="3"/>
      <c r="AF1811" s="3"/>
      <c r="AG1811" s="3"/>
    </row>
    <row r="1812">
      <c r="B1812" s="2"/>
      <c r="P1812" s="3"/>
      <c r="Q1812" s="3"/>
      <c r="R1812" s="3"/>
      <c r="S1812" s="3"/>
      <c r="T1812" s="3"/>
      <c r="U1812" s="3"/>
      <c r="V1812" s="3"/>
      <c r="W1812" s="3"/>
      <c r="X1812" s="3"/>
      <c r="Y1812" s="3"/>
      <c r="Z1812" s="3"/>
      <c r="AA1812" s="3"/>
      <c r="AB1812" s="3"/>
      <c r="AC1812" s="3"/>
      <c r="AD1812" s="3"/>
      <c r="AE1812" s="3"/>
      <c r="AF1812" s="3"/>
      <c r="AG1812" s="3"/>
    </row>
    <row r="1813">
      <c r="B1813" s="2"/>
      <c r="P1813" s="3"/>
      <c r="Q1813" s="3"/>
      <c r="R1813" s="3"/>
      <c r="S1813" s="3"/>
      <c r="T1813" s="3"/>
      <c r="U1813" s="3"/>
      <c r="V1813" s="3"/>
      <c r="W1813" s="3"/>
      <c r="X1813" s="3"/>
      <c r="Y1813" s="3"/>
      <c r="Z1813" s="3"/>
      <c r="AA1813" s="3"/>
      <c r="AB1813" s="3"/>
      <c r="AC1813" s="3"/>
      <c r="AD1813" s="3"/>
      <c r="AE1813" s="3"/>
      <c r="AF1813" s="3"/>
      <c r="AG1813" s="3"/>
    </row>
    <row r="1814">
      <c r="B1814" s="2"/>
      <c r="P1814" s="3"/>
      <c r="Q1814" s="3"/>
      <c r="R1814" s="3"/>
      <c r="S1814" s="3"/>
      <c r="T1814" s="3"/>
      <c r="U1814" s="3"/>
      <c r="V1814" s="3"/>
      <c r="W1814" s="3"/>
      <c r="X1814" s="3"/>
      <c r="Y1814" s="3"/>
      <c r="Z1814" s="3"/>
      <c r="AA1814" s="3"/>
      <c r="AB1814" s="3"/>
      <c r="AC1814" s="3"/>
      <c r="AD1814" s="3"/>
      <c r="AE1814" s="3"/>
      <c r="AF1814" s="3"/>
      <c r="AG1814" s="3"/>
    </row>
    <row r="1815">
      <c r="B1815" s="2"/>
      <c r="P1815" s="3"/>
      <c r="Q1815" s="3"/>
      <c r="R1815" s="3"/>
      <c r="S1815" s="3"/>
      <c r="T1815" s="3"/>
      <c r="U1815" s="3"/>
      <c r="V1815" s="3"/>
      <c r="W1815" s="3"/>
      <c r="X1815" s="3"/>
      <c r="Y1815" s="3"/>
      <c r="Z1815" s="3"/>
      <c r="AA1815" s="3"/>
      <c r="AB1815" s="3"/>
      <c r="AC1815" s="3"/>
      <c r="AD1815" s="3"/>
      <c r="AE1815" s="3"/>
      <c r="AF1815" s="3"/>
      <c r="AG1815" s="3"/>
    </row>
    <row r="1816">
      <c r="B1816" s="2"/>
      <c r="P1816" s="3"/>
      <c r="Q1816" s="3"/>
      <c r="R1816" s="3"/>
      <c r="S1816" s="3"/>
      <c r="T1816" s="3"/>
      <c r="U1816" s="3"/>
      <c r="V1816" s="3"/>
      <c r="W1816" s="3"/>
      <c r="X1816" s="3"/>
      <c r="Y1816" s="3"/>
      <c r="Z1816" s="3"/>
      <c r="AA1816" s="3"/>
      <c r="AB1816" s="3"/>
      <c r="AC1816" s="3"/>
      <c r="AD1816" s="3"/>
      <c r="AE1816" s="3"/>
      <c r="AF1816" s="3"/>
      <c r="AG1816" s="3"/>
    </row>
    <row r="1817">
      <c r="B1817" s="2"/>
      <c r="P1817" s="3"/>
      <c r="Q1817" s="3"/>
      <c r="R1817" s="3"/>
      <c r="S1817" s="3"/>
      <c r="T1817" s="3"/>
      <c r="U1817" s="3"/>
      <c r="V1817" s="3"/>
      <c r="W1817" s="3"/>
      <c r="X1817" s="3"/>
      <c r="Y1817" s="3"/>
      <c r="Z1817" s="3"/>
      <c r="AA1817" s="3"/>
      <c r="AB1817" s="3"/>
      <c r="AC1817" s="3"/>
      <c r="AD1817" s="3"/>
      <c r="AE1817" s="3"/>
      <c r="AF1817" s="3"/>
      <c r="AG1817" s="3"/>
    </row>
    <row r="1818">
      <c r="B1818" s="2"/>
      <c r="P1818" s="3"/>
      <c r="Q1818" s="3"/>
      <c r="R1818" s="3"/>
      <c r="S1818" s="3"/>
      <c r="T1818" s="3"/>
      <c r="U1818" s="3"/>
      <c r="V1818" s="3"/>
      <c r="W1818" s="3"/>
      <c r="X1818" s="3"/>
      <c r="Y1818" s="3"/>
      <c r="Z1818" s="3"/>
      <c r="AA1818" s="3"/>
      <c r="AB1818" s="3"/>
      <c r="AC1818" s="3"/>
      <c r="AD1818" s="3"/>
      <c r="AE1818" s="3"/>
      <c r="AF1818" s="3"/>
      <c r="AG1818" s="3"/>
    </row>
    <row r="1819">
      <c r="B1819" s="2"/>
      <c r="P1819" s="3"/>
      <c r="Q1819" s="3"/>
      <c r="R1819" s="3"/>
      <c r="S1819" s="3"/>
      <c r="T1819" s="3"/>
      <c r="U1819" s="3"/>
      <c r="V1819" s="3"/>
      <c r="W1819" s="3"/>
      <c r="X1819" s="3"/>
      <c r="Y1819" s="3"/>
      <c r="Z1819" s="3"/>
      <c r="AA1819" s="3"/>
      <c r="AB1819" s="3"/>
      <c r="AC1819" s="3"/>
      <c r="AD1819" s="3"/>
      <c r="AE1819" s="3"/>
      <c r="AF1819" s="3"/>
      <c r="AG1819" s="3"/>
    </row>
    <row r="1820">
      <c r="B1820" s="2"/>
      <c r="P1820" s="3"/>
      <c r="Q1820" s="3"/>
      <c r="R1820" s="3"/>
      <c r="S1820" s="3"/>
      <c r="T1820" s="3"/>
      <c r="U1820" s="3"/>
      <c r="V1820" s="3"/>
      <c r="W1820" s="3"/>
      <c r="X1820" s="3"/>
      <c r="Y1820" s="3"/>
      <c r="Z1820" s="3"/>
      <c r="AA1820" s="3"/>
      <c r="AB1820" s="3"/>
      <c r="AC1820" s="3"/>
      <c r="AD1820" s="3"/>
      <c r="AE1820" s="3"/>
      <c r="AF1820" s="3"/>
      <c r="AG1820" s="3"/>
    </row>
    <row r="1821">
      <c r="B1821" s="2"/>
      <c r="P1821" s="3"/>
      <c r="Q1821" s="3"/>
      <c r="R1821" s="3"/>
      <c r="S1821" s="3"/>
      <c r="T1821" s="3"/>
      <c r="U1821" s="3"/>
      <c r="V1821" s="3"/>
      <c r="W1821" s="3"/>
      <c r="X1821" s="3"/>
      <c r="Y1821" s="3"/>
      <c r="Z1821" s="3"/>
      <c r="AA1821" s="3"/>
      <c r="AB1821" s="3"/>
      <c r="AC1821" s="3"/>
      <c r="AD1821" s="3"/>
      <c r="AE1821" s="3"/>
      <c r="AF1821" s="3"/>
      <c r="AG1821" s="3"/>
    </row>
    <row r="1822">
      <c r="B1822" s="2"/>
      <c r="P1822" s="3"/>
      <c r="Q1822" s="3"/>
      <c r="R1822" s="3"/>
      <c r="S1822" s="3"/>
      <c r="T1822" s="3"/>
      <c r="U1822" s="3"/>
      <c r="V1822" s="3"/>
      <c r="W1822" s="3"/>
      <c r="X1822" s="3"/>
      <c r="Y1822" s="3"/>
      <c r="Z1822" s="3"/>
      <c r="AA1822" s="3"/>
      <c r="AB1822" s="3"/>
      <c r="AC1822" s="3"/>
      <c r="AD1822" s="3"/>
      <c r="AE1822" s="3"/>
      <c r="AF1822" s="3"/>
      <c r="AG1822" s="3"/>
    </row>
    <row r="1823">
      <c r="B1823" s="2"/>
      <c r="P1823" s="3"/>
      <c r="Q1823" s="3"/>
      <c r="R1823" s="3"/>
      <c r="S1823" s="3"/>
      <c r="T1823" s="3"/>
      <c r="U1823" s="3"/>
      <c r="V1823" s="3"/>
      <c r="W1823" s="3"/>
      <c r="X1823" s="3"/>
      <c r="Y1823" s="3"/>
      <c r="Z1823" s="3"/>
      <c r="AA1823" s="3"/>
      <c r="AB1823" s="3"/>
      <c r="AC1823" s="3"/>
      <c r="AD1823" s="3"/>
      <c r="AE1823" s="3"/>
      <c r="AF1823" s="3"/>
      <c r="AG1823" s="3"/>
    </row>
    <row r="1824">
      <c r="B1824" s="2"/>
      <c r="P1824" s="3"/>
      <c r="Q1824" s="3"/>
      <c r="R1824" s="3"/>
      <c r="S1824" s="3"/>
      <c r="T1824" s="3"/>
      <c r="U1824" s="3"/>
      <c r="V1824" s="3"/>
      <c r="W1824" s="3"/>
      <c r="X1824" s="3"/>
      <c r="Y1824" s="3"/>
      <c r="Z1824" s="3"/>
      <c r="AA1824" s="3"/>
      <c r="AB1824" s="3"/>
      <c r="AC1824" s="3"/>
      <c r="AD1824" s="3"/>
      <c r="AE1824" s="3"/>
      <c r="AF1824" s="3"/>
      <c r="AG1824" s="3"/>
    </row>
    <row r="1825">
      <c r="B1825" s="2"/>
      <c r="P1825" s="3"/>
      <c r="Q1825" s="3"/>
      <c r="R1825" s="3"/>
      <c r="S1825" s="3"/>
      <c r="T1825" s="3"/>
      <c r="U1825" s="3"/>
      <c r="V1825" s="3"/>
      <c r="W1825" s="3"/>
      <c r="X1825" s="3"/>
      <c r="Y1825" s="3"/>
      <c r="Z1825" s="3"/>
      <c r="AA1825" s="3"/>
      <c r="AB1825" s="3"/>
      <c r="AC1825" s="3"/>
      <c r="AD1825" s="3"/>
      <c r="AE1825" s="3"/>
      <c r="AF1825" s="3"/>
      <c r="AG1825" s="3"/>
    </row>
    <row r="1826">
      <c r="B1826" s="2"/>
      <c r="P1826" s="3"/>
      <c r="Q1826" s="3"/>
      <c r="R1826" s="3"/>
      <c r="S1826" s="3"/>
      <c r="T1826" s="3"/>
      <c r="U1826" s="3"/>
      <c r="V1826" s="3"/>
      <c r="W1826" s="3"/>
      <c r="X1826" s="3"/>
      <c r="Y1826" s="3"/>
      <c r="Z1826" s="3"/>
      <c r="AA1826" s="3"/>
      <c r="AB1826" s="3"/>
      <c r="AC1826" s="3"/>
      <c r="AD1826" s="3"/>
      <c r="AE1826" s="3"/>
      <c r="AF1826" s="3"/>
      <c r="AG1826" s="3"/>
    </row>
    <row r="1827">
      <c r="B1827" s="2"/>
      <c r="P1827" s="3"/>
      <c r="Q1827" s="3"/>
      <c r="R1827" s="3"/>
      <c r="S1827" s="3"/>
      <c r="T1827" s="3"/>
      <c r="U1827" s="3"/>
      <c r="V1827" s="3"/>
      <c r="W1827" s="3"/>
      <c r="X1827" s="3"/>
      <c r="Y1827" s="3"/>
      <c r="Z1827" s="3"/>
      <c r="AA1827" s="3"/>
      <c r="AB1827" s="3"/>
      <c r="AC1827" s="3"/>
      <c r="AD1827" s="3"/>
      <c r="AE1827" s="3"/>
      <c r="AF1827" s="3"/>
      <c r="AG1827" s="3"/>
    </row>
    <row r="1828">
      <c r="B1828" s="2"/>
      <c r="P1828" s="3"/>
      <c r="Q1828" s="3"/>
      <c r="R1828" s="3"/>
      <c r="S1828" s="3"/>
      <c r="T1828" s="3"/>
      <c r="U1828" s="3"/>
      <c r="V1828" s="3"/>
      <c r="W1828" s="3"/>
      <c r="X1828" s="3"/>
      <c r="Y1828" s="3"/>
      <c r="Z1828" s="3"/>
      <c r="AA1828" s="3"/>
      <c r="AB1828" s="3"/>
      <c r="AC1828" s="3"/>
      <c r="AD1828" s="3"/>
      <c r="AE1828" s="3"/>
      <c r="AF1828" s="3"/>
      <c r="AG1828" s="3"/>
    </row>
    <row r="1829">
      <c r="B1829" s="2"/>
      <c r="P1829" s="3"/>
      <c r="Q1829" s="3"/>
      <c r="R1829" s="3"/>
      <c r="S1829" s="3"/>
      <c r="T1829" s="3"/>
      <c r="U1829" s="3"/>
      <c r="V1829" s="3"/>
      <c r="W1829" s="3"/>
      <c r="X1829" s="3"/>
      <c r="Y1829" s="3"/>
      <c r="Z1829" s="3"/>
      <c r="AA1829" s="3"/>
      <c r="AB1829" s="3"/>
      <c r="AC1829" s="3"/>
      <c r="AD1829" s="3"/>
      <c r="AE1829" s="3"/>
      <c r="AF1829" s="3"/>
      <c r="AG1829" s="3"/>
    </row>
    <row r="1830">
      <c r="B1830" s="2"/>
      <c r="P1830" s="3"/>
      <c r="Q1830" s="3"/>
      <c r="R1830" s="3"/>
      <c r="S1830" s="3"/>
      <c r="T1830" s="3"/>
      <c r="U1830" s="3"/>
      <c r="V1830" s="3"/>
      <c r="W1830" s="3"/>
      <c r="X1830" s="3"/>
      <c r="Y1830" s="3"/>
      <c r="Z1830" s="3"/>
      <c r="AA1830" s="3"/>
      <c r="AB1830" s="3"/>
      <c r="AC1830" s="3"/>
      <c r="AD1830" s="3"/>
      <c r="AE1830" s="3"/>
      <c r="AF1830" s="3"/>
      <c r="AG1830" s="3"/>
    </row>
    <row r="1831">
      <c r="B1831" s="2"/>
      <c r="P1831" s="3"/>
      <c r="Q1831" s="3"/>
      <c r="R1831" s="3"/>
      <c r="S1831" s="3"/>
      <c r="T1831" s="3"/>
      <c r="U1831" s="3"/>
      <c r="V1831" s="3"/>
      <c r="W1831" s="3"/>
      <c r="X1831" s="3"/>
      <c r="Y1831" s="3"/>
      <c r="Z1831" s="3"/>
      <c r="AA1831" s="3"/>
      <c r="AB1831" s="3"/>
      <c r="AC1831" s="3"/>
      <c r="AD1831" s="3"/>
      <c r="AE1831" s="3"/>
      <c r="AF1831" s="3"/>
      <c r="AG1831" s="3"/>
    </row>
    <row r="1832">
      <c r="B1832" s="2"/>
      <c r="P1832" s="3"/>
      <c r="Q1832" s="3"/>
      <c r="R1832" s="3"/>
      <c r="S1832" s="3"/>
      <c r="T1832" s="3"/>
      <c r="U1832" s="3"/>
      <c r="V1832" s="3"/>
      <c r="W1832" s="3"/>
      <c r="X1832" s="3"/>
      <c r="Y1832" s="3"/>
      <c r="Z1832" s="3"/>
      <c r="AA1832" s="3"/>
      <c r="AB1832" s="3"/>
      <c r="AC1832" s="3"/>
      <c r="AD1832" s="3"/>
      <c r="AE1832" s="3"/>
      <c r="AF1832" s="3"/>
      <c r="AG1832" s="3"/>
    </row>
    <row r="1833">
      <c r="B1833" s="2"/>
      <c r="P1833" s="3"/>
      <c r="Q1833" s="3"/>
      <c r="R1833" s="3"/>
      <c r="S1833" s="3"/>
      <c r="T1833" s="3"/>
      <c r="U1833" s="3"/>
      <c r="V1833" s="3"/>
      <c r="W1833" s="3"/>
      <c r="X1833" s="3"/>
      <c r="Y1833" s="3"/>
      <c r="Z1833" s="3"/>
      <c r="AA1833" s="3"/>
      <c r="AB1833" s="3"/>
      <c r="AC1833" s="3"/>
      <c r="AD1833" s="3"/>
      <c r="AE1833" s="3"/>
      <c r="AF1833" s="3"/>
      <c r="AG1833" s="3"/>
    </row>
    <row r="1834">
      <c r="B1834" s="2"/>
      <c r="P1834" s="3"/>
      <c r="Q1834" s="3"/>
      <c r="R1834" s="3"/>
      <c r="S1834" s="3"/>
      <c r="T1834" s="3"/>
      <c r="U1834" s="3"/>
      <c r="V1834" s="3"/>
      <c r="W1834" s="3"/>
      <c r="X1834" s="3"/>
      <c r="Y1834" s="3"/>
      <c r="Z1834" s="3"/>
      <c r="AA1834" s="3"/>
      <c r="AB1834" s="3"/>
      <c r="AC1834" s="3"/>
      <c r="AD1834" s="3"/>
      <c r="AE1834" s="3"/>
      <c r="AF1834" s="3"/>
      <c r="AG1834" s="3"/>
    </row>
    <row r="1835">
      <c r="B1835" s="2"/>
      <c r="P1835" s="3"/>
      <c r="Q1835" s="3"/>
      <c r="R1835" s="3"/>
      <c r="S1835" s="3"/>
      <c r="T1835" s="3"/>
      <c r="U1835" s="3"/>
      <c r="V1835" s="3"/>
      <c r="W1835" s="3"/>
      <c r="X1835" s="3"/>
      <c r="Y1835" s="3"/>
      <c r="Z1835" s="3"/>
      <c r="AA1835" s="3"/>
      <c r="AB1835" s="3"/>
      <c r="AC1835" s="3"/>
      <c r="AD1835" s="3"/>
      <c r="AE1835" s="3"/>
      <c r="AF1835" s="3"/>
      <c r="AG1835" s="3"/>
    </row>
    <row r="1836">
      <c r="B1836" s="2"/>
      <c r="P1836" s="3"/>
      <c r="Q1836" s="3"/>
      <c r="R1836" s="3"/>
      <c r="S1836" s="3"/>
      <c r="T1836" s="3"/>
      <c r="U1836" s="3"/>
      <c r="V1836" s="3"/>
      <c r="W1836" s="3"/>
      <c r="X1836" s="3"/>
      <c r="Y1836" s="3"/>
      <c r="Z1836" s="3"/>
      <c r="AA1836" s="3"/>
      <c r="AB1836" s="3"/>
      <c r="AC1836" s="3"/>
      <c r="AD1836" s="3"/>
      <c r="AE1836" s="3"/>
      <c r="AF1836" s="3"/>
      <c r="AG1836"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63"/>
  </cols>
  <sheetData>
    <row r="1">
      <c r="A1" s="2" t="s">
        <v>0</v>
      </c>
      <c r="B1" s="1" t="s">
        <v>4</v>
      </c>
      <c r="C1" s="2" t="s">
        <v>6</v>
      </c>
      <c r="D1" s="2" t="s">
        <v>8</v>
      </c>
      <c r="E1" s="1" t="s">
        <v>9</v>
      </c>
      <c r="F1" s="2" t="s">
        <v>11</v>
      </c>
      <c r="G1" s="2" t="s">
        <v>13</v>
      </c>
      <c r="H1" s="2" t="s">
        <v>15</v>
      </c>
      <c r="I1" s="2" t="s">
        <v>17</v>
      </c>
      <c r="J1" s="2" t="s">
        <v>18</v>
      </c>
      <c r="K1" s="2" t="s">
        <v>21</v>
      </c>
    </row>
    <row r="2">
      <c r="A2" s="2">
        <v>2019.0</v>
      </c>
      <c r="B2" s="1" t="s">
        <v>26</v>
      </c>
      <c r="C2" s="2" t="s">
        <v>28</v>
      </c>
      <c r="D2" s="2" t="s">
        <v>28</v>
      </c>
      <c r="E2" s="2"/>
      <c r="F2" s="2">
        <v>492104.0</v>
      </c>
      <c r="G2" s="2">
        <v>1382620.0</v>
      </c>
      <c r="H2" s="2">
        <v>18868.0</v>
      </c>
      <c r="I2" s="2">
        <v>1893592.0</v>
      </c>
      <c r="J2" s="2">
        <v>1108642.0</v>
      </c>
      <c r="K2" s="2">
        <v>784950.0</v>
      </c>
    </row>
    <row r="3">
      <c r="A3" s="2">
        <v>2019.0</v>
      </c>
      <c r="B3" s="1" t="s">
        <v>26</v>
      </c>
      <c r="C3" s="2"/>
      <c r="D3" s="2" t="s">
        <v>36</v>
      </c>
      <c r="E3" s="2"/>
      <c r="F3" s="2" t="s">
        <v>37</v>
      </c>
      <c r="G3" s="2" t="s">
        <v>39</v>
      </c>
      <c r="H3" s="2">
        <v>5061.0</v>
      </c>
      <c r="I3" s="2" t="s">
        <v>42</v>
      </c>
      <c r="J3" s="2" t="s">
        <v>43</v>
      </c>
      <c r="K3" s="2" t="s">
        <v>45</v>
      </c>
    </row>
    <row r="4">
      <c r="A4" s="2">
        <v>2019.0</v>
      </c>
      <c r="B4" s="1" t="s">
        <v>26</v>
      </c>
      <c r="C4" s="2"/>
      <c r="D4" s="2" t="s">
        <v>48</v>
      </c>
      <c r="E4" s="2"/>
      <c r="F4" s="2">
        <v>840315.0</v>
      </c>
      <c r="G4" s="2">
        <v>1793202.0</v>
      </c>
      <c r="H4" s="2">
        <v>28594.0</v>
      </c>
      <c r="I4" s="2" t="s">
        <v>52</v>
      </c>
      <c r="J4" s="2" t="s">
        <v>53</v>
      </c>
      <c r="K4" s="2">
        <v>899338.0</v>
      </c>
    </row>
    <row r="5">
      <c r="A5" s="2">
        <v>2019.0</v>
      </c>
      <c r="B5" s="1" t="s">
        <v>26</v>
      </c>
      <c r="C5" s="2"/>
      <c r="D5" s="2" t="s">
        <v>57</v>
      </c>
      <c r="E5" s="2"/>
      <c r="F5" s="2">
        <v>6589.0</v>
      </c>
      <c r="G5" s="2">
        <v>760985.0</v>
      </c>
      <c r="H5" s="2">
        <v>216.0</v>
      </c>
      <c r="I5" s="2" t="s">
        <v>58</v>
      </c>
      <c r="J5" s="2" t="s">
        <v>59</v>
      </c>
      <c r="K5" s="2">
        <v>310754.0</v>
      </c>
    </row>
    <row r="6">
      <c r="A6" s="2">
        <v>2019.0</v>
      </c>
      <c r="B6" s="1" t="s">
        <v>26</v>
      </c>
      <c r="C6" s="2" t="s">
        <v>63</v>
      </c>
      <c r="D6" s="2" t="s">
        <v>64</v>
      </c>
      <c r="E6" s="2"/>
      <c r="F6" s="2">
        <v>255166.0</v>
      </c>
      <c r="G6" s="2">
        <v>1268755.0</v>
      </c>
      <c r="H6" s="2">
        <v>16951.0</v>
      </c>
      <c r="I6" s="2" t="s">
        <v>65</v>
      </c>
      <c r="J6" s="2" t="s">
        <v>66</v>
      </c>
      <c r="K6" s="2">
        <v>620124.0</v>
      </c>
    </row>
    <row r="7">
      <c r="A7" s="2">
        <v>2019.0</v>
      </c>
      <c r="B7" s="1" t="s">
        <v>26</v>
      </c>
      <c r="C7" s="2"/>
      <c r="D7" s="2" t="s">
        <v>68</v>
      </c>
      <c r="E7" s="2"/>
      <c r="F7" s="2">
        <v>187188.0</v>
      </c>
      <c r="G7" s="2">
        <v>1116110.0</v>
      </c>
      <c r="H7" s="2">
        <v>5987.0</v>
      </c>
      <c r="I7" s="2" t="s">
        <v>70</v>
      </c>
      <c r="J7" s="2" t="s">
        <v>71</v>
      </c>
      <c r="K7" s="2">
        <v>57793.0</v>
      </c>
    </row>
    <row r="8">
      <c r="A8" s="2">
        <v>2019.0</v>
      </c>
      <c r="B8" s="1" t="s">
        <v>26</v>
      </c>
      <c r="C8" s="2"/>
      <c r="D8" s="2" t="s">
        <v>73</v>
      </c>
      <c r="E8" s="2"/>
      <c r="F8" s="2">
        <v>427333.0</v>
      </c>
      <c r="G8" s="2">
        <v>2009526.0</v>
      </c>
      <c r="H8" s="2">
        <v>26175.0</v>
      </c>
      <c r="I8" s="2" t="s">
        <v>74</v>
      </c>
      <c r="J8" s="2" t="s">
        <v>75</v>
      </c>
      <c r="K8" s="2">
        <v>1531964.0</v>
      </c>
    </row>
    <row r="9">
      <c r="A9" s="2">
        <v>2019.0</v>
      </c>
      <c r="B9" s="1" t="s">
        <v>26</v>
      </c>
      <c r="C9" s="2"/>
      <c r="D9" s="2" t="s">
        <v>77</v>
      </c>
      <c r="E9" s="2"/>
      <c r="F9" s="2">
        <v>383184.0</v>
      </c>
      <c r="G9" s="2">
        <v>827820.0</v>
      </c>
      <c r="H9" s="2">
        <v>7764.0</v>
      </c>
      <c r="I9" s="2" t="s">
        <v>80</v>
      </c>
      <c r="J9" s="2" t="s">
        <v>81</v>
      </c>
      <c r="K9" s="2">
        <v>374186.0</v>
      </c>
    </row>
    <row r="10">
      <c r="A10" s="2">
        <v>2019.0</v>
      </c>
      <c r="B10" s="1" t="s">
        <v>26</v>
      </c>
      <c r="C10" s="2"/>
      <c r="D10" s="2" t="s">
        <v>84</v>
      </c>
      <c r="E10" s="2"/>
      <c r="F10" s="2">
        <v>375446.0</v>
      </c>
      <c r="G10" s="2">
        <v>1106450.0</v>
      </c>
      <c r="H10" s="2">
        <v>14037.0</v>
      </c>
      <c r="I10" s="2" t="s">
        <v>85</v>
      </c>
      <c r="J10" s="2" t="s">
        <v>86</v>
      </c>
      <c r="K10" s="2">
        <v>413991.0</v>
      </c>
    </row>
    <row r="11">
      <c r="A11" s="2">
        <v>2019.0</v>
      </c>
      <c r="B11" s="1" t="s">
        <v>26</v>
      </c>
      <c r="C11" s="2"/>
      <c r="D11" s="2" t="s">
        <v>89</v>
      </c>
      <c r="E11" s="2"/>
      <c r="F11" s="2" t="s">
        <v>90</v>
      </c>
      <c r="G11" s="2" t="s">
        <v>91</v>
      </c>
      <c r="H11" s="4">
        <v>6951.0</v>
      </c>
      <c r="I11" s="2" t="s">
        <v>96</v>
      </c>
      <c r="J11" s="2" t="s">
        <v>98</v>
      </c>
      <c r="K11" s="2" t="s">
        <v>99</v>
      </c>
    </row>
    <row r="12">
      <c r="A12" s="2">
        <v>2019.0</v>
      </c>
      <c r="B12" s="1" t="s">
        <v>26</v>
      </c>
      <c r="C12" s="2"/>
      <c r="D12" s="2" t="s">
        <v>101</v>
      </c>
      <c r="E12" s="2"/>
      <c r="F12" s="2">
        <v>369466.0</v>
      </c>
      <c r="G12" s="2">
        <v>865369.0</v>
      </c>
      <c r="H12" s="2">
        <v>3691.0</v>
      </c>
      <c r="I12" s="2" t="s">
        <v>102</v>
      </c>
      <c r="J12" s="2" t="s">
        <v>103</v>
      </c>
      <c r="K12" s="2">
        <v>303384.0</v>
      </c>
    </row>
    <row r="13">
      <c r="A13" s="2">
        <v>2019.0</v>
      </c>
      <c r="B13" s="1" t="s">
        <v>26</v>
      </c>
      <c r="C13" s="2" t="s">
        <v>106</v>
      </c>
      <c r="D13" s="2" t="s">
        <v>107</v>
      </c>
      <c r="E13" s="2"/>
      <c r="F13" s="2">
        <v>540122.0</v>
      </c>
      <c r="G13" s="2">
        <v>1546593.0</v>
      </c>
      <c r="H13" s="2">
        <v>20634.0</v>
      </c>
      <c r="I13" s="2" t="s">
        <v>108</v>
      </c>
      <c r="J13" s="2" t="s">
        <v>110</v>
      </c>
      <c r="K13" s="2">
        <v>1134619.0</v>
      </c>
    </row>
    <row r="14">
      <c r="A14" s="2">
        <v>2019.0</v>
      </c>
      <c r="B14" s="1" t="s">
        <v>26</v>
      </c>
      <c r="C14" s="2"/>
      <c r="D14" s="2" t="s">
        <v>111</v>
      </c>
      <c r="E14" s="2"/>
      <c r="F14" s="2">
        <v>339656.0</v>
      </c>
      <c r="G14" s="2">
        <v>1227726.0</v>
      </c>
      <c r="H14" s="2">
        <v>24020.0</v>
      </c>
      <c r="I14" s="2" t="s">
        <v>113</v>
      </c>
      <c r="J14" s="2" t="s">
        <v>115</v>
      </c>
      <c r="K14" s="2">
        <v>983366.0</v>
      </c>
    </row>
    <row r="15">
      <c r="A15" s="2">
        <v>2019.0</v>
      </c>
      <c r="B15" s="1" t="s">
        <v>26</v>
      </c>
      <c r="C15" s="2"/>
      <c r="D15" s="2" t="s">
        <v>116</v>
      </c>
      <c r="E15" s="2"/>
      <c r="F15" s="2">
        <v>191338.0</v>
      </c>
      <c r="G15" s="2">
        <v>107015.0</v>
      </c>
      <c r="H15" s="2">
        <v>2551.0</v>
      </c>
      <c r="I15" s="2" t="s">
        <v>117</v>
      </c>
      <c r="J15" s="2" t="s">
        <v>118</v>
      </c>
      <c r="K15" s="2">
        <v>5880.0</v>
      </c>
    </row>
    <row r="16">
      <c r="A16" s="2">
        <v>2019.0</v>
      </c>
      <c r="B16" s="1" t="s">
        <v>26</v>
      </c>
      <c r="C16" s="2" t="s">
        <v>120</v>
      </c>
      <c r="D16" s="2" t="s">
        <v>121</v>
      </c>
      <c r="E16" s="2"/>
      <c r="F16" s="2">
        <v>481556.0</v>
      </c>
      <c r="G16" s="2">
        <v>1329636.0</v>
      </c>
      <c r="H16" s="2">
        <v>18502.0</v>
      </c>
      <c r="I16" s="2">
        <v>1829694.0</v>
      </c>
      <c r="J16" s="2">
        <v>1083820.0</v>
      </c>
      <c r="K16" s="2">
        <v>745874.0</v>
      </c>
    </row>
    <row r="17">
      <c r="A17" s="2">
        <v>2019.0</v>
      </c>
      <c r="B17" s="1" t="s">
        <v>26</v>
      </c>
      <c r="C17" s="2"/>
      <c r="D17" s="2" t="s">
        <v>123</v>
      </c>
      <c r="E17" s="2"/>
      <c r="F17" s="2">
        <v>413593.0</v>
      </c>
      <c r="G17" s="2">
        <v>538645.0</v>
      </c>
      <c r="H17" s="2">
        <v>8365.0</v>
      </c>
      <c r="I17" s="2">
        <v>960603.0</v>
      </c>
      <c r="J17" s="2">
        <v>879010.0</v>
      </c>
      <c r="K17" s="2">
        <v>81593.0</v>
      </c>
    </row>
    <row r="18">
      <c r="A18" s="2">
        <v>2019.0</v>
      </c>
      <c r="B18" s="1" t="s">
        <v>26</v>
      </c>
      <c r="C18" s="2"/>
      <c r="D18" s="2" t="s">
        <v>125</v>
      </c>
      <c r="E18" s="2"/>
      <c r="F18" s="2">
        <v>617957.0</v>
      </c>
      <c r="G18" s="2">
        <v>808520.0</v>
      </c>
      <c r="H18" s="2">
        <v>21970.0</v>
      </c>
      <c r="I18" s="2">
        <v>1448447.0</v>
      </c>
      <c r="J18" s="2">
        <v>797869.0</v>
      </c>
      <c r="K18" s="2">
        <v>650578.0</v>
      </c>
    </row>
    <row r="19">
      <c r="A19" s="2">
        <v>2019.0</v>
      </c>
      <c r="B19" s="1" t="s">
        <v>26</v>
      </c>
      <c r="C19" s="2" t="s">
        <v>128</v>
      </c>
      <c r="D19" s="2" t="s">
        <v>130</v>
      </c>
      <c r="E19" s="2"/>
      <c r="F19" s="2">
        <v>732936.0</v>
      </c>
      <c r="G19" s="2">
        <v>676087.0</v>
      </c>
      <c r="H19" s="2">
        <v>22557.0</v>
      </c>
      <c r="I19" s="2">
        <v>1431580.0</v>
      </c>
      <c r="J19" s="2">
        <v>960649.0</v>
      </c>
      <c r="K19" s="2">
        <v>470931.0</v>
      </c>
    </row>
    <row r="20">
      <c r="A20" s="2">
        <v>2019.0</v>
      </c>
      <c r="B20" s="1" t="s">
        <v>26</v>
      </c>
      <c r="C20" s="2"/>
      <c r="D20" s="2" t="s">
        <v>131</v>
      </c>
      <c r="E20" s="2"/>
      <c r="F20" s="2">
        <v>1112953.0</v>
      </c>
      <c r="G20" s="2">
        <v>963800.0</v>
      </c>
      <c r="H20" s="2">
        <v>42335.0</v>
      </c>
      <c r="I20" s="2">
        <v>2119088.0</v>
      </c>
      <c r="J20" s="2">
        <v>768828.0</v>
      </c>
      <c r="K20" s="2">
        <v>1350260.0</v>
      </c>
    </row>
    <row r="21">
      <c r="A21" s="2">
        <v>2019.0</v>
      </c>
      <c r="B21" s="1" t="s">
        <v>26</v>
      </c>
      <c r="C21" s="2"/>
      <c r="D21" s="2" t="s">
        <v>132</v>
      </c>
      <c r="E21" s="2"/>
      <c r="F21" s="2">
        <v>453338.0</v>
      </c>
      <c r="G21" s="2">
        <v>1225200.0</v>
      </c>
      <c r="H21" s="2">
        <v>14943.0</v>
      </c>
      <c r="I21" s="2">
        <v>1693481.0</v>
      </c>
      <c r="J21" s="2">
        <v>1184588.0</v>
      </c>
      <c r="K21" s="2">
        <v>508893.0</v>
      </c>
    </row>
    <row r="22">
      <c r="A22" s="2">
        <v>2019.0</v>
      </c>
      <c r="B22" s="1" t="s">
        <v>26</v>
      </c>
      <c r="C22" s="2" t="s">
        <v>133</v>
      </c>
      <c r="D22" s="2" t="s">
        <v>135</v>
      </c>
      <c r="E22" s="2"/>
      <c r="F22" s="2">
        <v>1000870.0</v>
      </c>
      <c r="G22" s="2">
        <v>1153342.0</v>
      </c>
      <c r="H22" s="2">
        <v>43546.0</v>
      </c>
      <c r="I22" s="2">
        <v>2197758.0</v>
      </c>
      <c r="J22" s="2">
        <v>945309.0</v>
      </c>
      <c r="K22" s="2">
        <v>1252449.0</v>
      </c>
    </row>
    <row r="23">
      <c r="A23" s="2">
        <v>2019.0</v>
      </c>
      <c r="B23" s="1" t="s">
        <v>26</v>
      </c>
      <c r="C23" s="2"/>
      <c r="D23" s="2" t="s">
        <v>136</v>
      </c>
      <c r="E23" s="2"/>
      <c r="F23" s="2">
        <v>615819.0</v>
      </c>
      <c r="G23" s="2">
        <v>1237637.0</v>
      </c>
      <c r="H23" s="2">
        <v>23489.0</v>
      </c>
      <c r="I23" s="2">
        <v>1876945.0</v>
      </c>
      <c r="J23" s="2">
        <v>1213307.0</v>
      </c>
      <c r="K23" s="2">
        <v>663638.0</v>
      </c>
    </row>
    <row r="24">
      <c r="A24" s="2">
        <v>2019.0</v>
      </c>
      <c r="B24" s="1" t="s">
        <v>26</v>
      </c>
      <c r="C24" s="2"/>
      <c r="D24" s="2" t="s">
        <v>137</v>
      </c>
      <c r="E24" s="2"/>
      <c r="F24" s="2">
        <v>409330.0</v>
      </c>
      <c r="G24" s="2">
        <v>966261.0</v>
      </c>
      <c r="H24" s="2">
        <v>16676.0</v>
      </c>
      <c r="I24" s="2">
        <v>1392267.0</v>
      </c>
      <c r="J24" s="2">
        <v>968468.0</v>
      </c>
      <c r="K24" s="2">
        <v>423799.0</v>
      </c>
    </row>
    <row r="25">
      <c r="A25" s="2">
        <v>2019.0</v>
      </c>
      <c r="B25" s="1" t="s">
        <v>26</v>
      </c>
      <c r="C25" s="2"/>
      <c r="D25" s="2" t="s">
        <v>139</v>
      </c>
      <c r="E25" s="2"/>
      <c r="F25" s="2">
        <v>739554.0</v>
      </c>
      <c r="G25" s="2">
        <v>901365.0</v>
      </c>
      <c r="H25" s="2">
        <v>27899.0</v>
      </c>
      <c r="I25" s="2">
        <v>1668818.0</v>
      </c>
      <c r="J25" s="2">
        <v>997184.0</v>
      </c>
      <c r="K25" s="2">
        <v>671634.0</v>
      </c>
    </row>
    <row r="26">
      <c r="A26" s="2">
        <v>2019.0</v>
      </c>
      <c r="B26" s="1" t="s">
        <v>26</v>
      </c>
      <c r="C26" s="2"/>
      <c r="D26" s="2" t="s">
        <v>141</v>
      </c>
      <c r="E26" s="2"/>
      <c r="F26" s="2">
        <v>420257.0</v>
      </c>
      <c r="G26" s="2">
        <v>1031445.0</v>
      </c>
      <c r="H26" s="2">
        <v>17040.0</v>
      </c>
      <c r="I26" s="2">
        <v>1468742.0</v>
      </c>
      <c r="J26" s="2">
        <v>938547.0</v>
      </c>
      <c r="K26" s="2">
        <v>530195.0</v>
      </c>
    </row>
    <row r="27">
      <c r="A27" s="2">
        <v>2019.0</v>
      </c>
      <c r="B27" s="1" t="s">
        <v>26</v>
      </c>
      <c r="C27" s="2"/>
      <c r="D27" s="2" t="s">
        <v>142</v>
      </c>
      <c r="E27" s="2"/>
      <c r="F27" s="2">
        <v>477623.0</v>
      </c>
      <c r="G27" s="2">
        <v>1045620.0</v>
      </c>
      <c r="H27" s="2">
        <v>42079.0</v>
      </c>
      <c r="I27" s="2">
        <v>1565322.0</v>
      </c>
      <c r="J27" s="2">
        <v>1225932.0</v>
      </c>
      <c r="K27" s="2">
        <v>339390.0</v>
      </c>
    </row>
    <row r="28">
      <c r="A28" s="2">
        <v>2019.0</v>
      </c>
      <c r="B28" s="1" t="s">
        <v>26</v>
      </c>
      <c r="C28" s="2" t="s">
        <v>143</v>
      </c>
      <c r="D28" s="2" t="s">
        <v>144</v>
      </c>
      <c r="E28" s="2"/>
      <c r="F28" s="2">
        <v>281393.0</v>
      </c>
      <c r="G28" s="2">
        <v>956134.0</v>
      </c>
      <c r="H28" s="2">
        <v>5530.0</v>
      </c>
      <c r="I28" s="2">
        <v>1243057.0</v>
      </c>
      <c r="J28" s="2">
        <v>1204151.0</v>
      </c>
      <c r="K28" s="2">
        <v>38906.0</v>
      </c>
    </row>
    <row r="29">
      <c r="A29" s="2">
        <v>2019.0</v>
      </c>
      <c r="B29" s="1" t="s">
        <v>26</v>
      </c>
      <c r="C29" s="2"/>
      <c r="D29" s="2" t="s">
        <v>146</v>
      </c>
      <c r="E29" s="2"/>
      <c r="F29" s="2">
        <v>521312.0</v>
      </c>
      <c r="G29" s="2">
        <v>1366745.0</v>
      </c>
      <c r="H29" s="2">
        <v>26115.0</v>
      </c>
      <c r="I29" s="2">
        <v>1914172.0</v>
      </c>
      <c r="J29" s="2">
        <v>858274.0</v>
      </c>
      <c r="K29" s="2">
        <v>1055898.0</v>
      </c>
    </row>
    <row r="30">
      <c r="A30" s="2">
        <v>2019.0</v>
      </c>
      <c r="B30" s="1" t="s">
        <v>26</v>
      </c>
      <c r="C30" s="2"/>
      <c r="D30" s="2" t="s">
        <v>148</v>
      </c>
      <c r="E30" s="2"/>
      <c r="F30" s="2">
        <v>322887.0</v>
      </c>
      <c r="G30" s="2">
        <v>1925497.0</v>
      </c>
      <c r="H30" s="2">
        <v>23472.0</v>
      </c>
      <c r="I30" s="2">
        <v>2271856.0</v>
      </c>
      <c r="J30" s="2">
        <v>1983762.0</v>
      </c>
      <c r="K30" s="2">
        <v>288094.0</v>
      </c>
    </row>
    <row r="31">
      <c r="A31" s="2">
        <v>2019.0</v>
      </c>
      <c r="B31" s="1" t="s">
        <v>26</v>
      </c>
      <c r="C31" s="2"/>
      <c r="D31" s="2" t="s">
        <v>151</v>
      </c>
      <c r="E31" s="2"/>
      <c r="F31" s="2">
        <v>770524.0</v>
      </c>
      <c r="G31" s="2">
        <v>1289466.0</v>
      </c>
      <c r="H31" s="2">
        <v>16549.0</v>
      </c>
      <c r="I31" s="2">
        <v>2076539.0</v>
      </c>
      <c r="J31" s="2">
        <v>1640252.0</v>
      </c>
      <c r="K31" s="2">
        <v>436287.0</v>
      </c>
    </row>
    <row r="32">
      <c r="A32" s="2">
        <v>2019.0</v>
      </c>
      <c r="B32" s="1" t="s">
        <v>26</v>
      </c>
      <c r="C32" s="2"/>
      <c r="D32" s="2" t="s">
        <v>143</v>
      </c>
      <c r="E32" s="2"/>
      <c r="F32" s="2">
        <v>409572.0</v>
      </c>
      <c r="G32" s="2">
        <v>1144384.0</v>
      </c>
      <c r="H32" s="2">
        <v>12571.0</v>
      </c>
      <c r="I32" s="2">
        <v>1566527.0</v>
      </c>
      <c r="J32" s="2">
        <v>1227407.0</v>
      </c>
      <c r="K32" s="2">
        <v>339120.0</v>
      </c>
    </row>
    <row r="33">
      <c r="A33" s="2">
        <v>2019.0</v>
      </c>
      <c r="B33" s="1" t="s">
        <v>26</v>
      </c>
      <c r="C33" s="2"/>
      <c r="D33" s="2" t="s">
        <v>153</v>
      </c>
      <c r="E33" s="2"/>
      <c r="F33" s="2">
        <v>174668.0</v>
      </c>
      <c r="G33" s="2">
        <v>1257181.0</v>
      </c>
      <c r="H33" s="2">
        <v>11003.0</v>
      </c>
      <c r="I33" s="2">
        <v>1442852.0</v>
      </c>
      <c r="J33" s="2">
        <v>729855.0</v>
      </c>
      <c r="K33" s="2">
        <v>712997.0</v>
      </c>
    </row>
    <row r="34">
      <c r="A34" s="2">
        <v>2019.0</v>
      </c>
      <c r="B34" s="1" t="s">
        <v>26</v>
      </c>
      <c r="C34" s="2"/>
      <c r="D34" s="2" t="s">
        <v>155</v>
      </c>
      <c r="E34" s="2"/>
      <c r="F34" s="2" t="s">
        <v>156</v>
      </c>
      <c r="G34" s="2"/>
      <c r="H34" s="2"/>
      <c r="I34" s="2"/>
      <c r="J34" s="2"/>
      <c r="K34" s="2"/>
    </row>
    <row r="35">
      <c r="A35" s="2">
        <v>2019.0</v>
      </c>
      <c r="B35" s="1" t="s">
        <v>26</v>
      </c>
      <c r="C35" s="2" t="s">
        <v>157</v>
      </c>
      <c r="D35" s="2" t="s">
        <v>159</v>
      </c>
      <c r="E35" s="2"/>
      <c r="F35" s="2">
        <v>842390.0</v>
      </c>
      <c r="G35" s="2">
        <v>1093554.0</v>
      </c>
      <c r="H35" s="2">
        <v>15570.0</v>
      </c>
      <c r="I35" s="2">
        <v>1951514.0</v>
      </c>
      <c r="J35" s="2">
        <v>1536547.0</v>
      </c>
      <c r="K35" s="2">
        <v>414967.0</v>
      </c>
    </row>
    <row r="36">
      <c r="A36" s="2">
        <v>2019.0</v>
      </c>
      <c r="B36" s="1" t="s">
        <v>26</v>
      </c>
      <c r="C36" s="2"/>
      <c r="D36" s="2" t="s">
        <v>161</v>
      </c>
      <c r="E36" s="2"/>
      <c r="F36" s="2">
        <v>205326.0</v>
      </c>
      <c r="G36" s="2">
        <v>1257627.0</v>
      </c>
      <c r="H36" s="2">
        <v>17881.0</v>
      </c>
      <c r="I36" s="2">
        <v>1480834.0</v>
      </c>
      <c r="J36" s="2">
        <v>678272.0</v>
      </c>
      <c r="K36" s="2">
        <v>802562.0</v>
      </c>
    </row>
    <row r="37">
      <c r="A37" s="2">
        <v>2019.0</v>
      </c>
      <c r="B37" s="1" t="s">
        <v>26</v>
      </c>
      <c r="C37" s="2"/>
      <c r="D37" s="2" t="s">
        <v>163</v>
      </c>
      <c r="E37" s="2"/>
      <c r="F37" s="2">
        <v>673870.0</v>
      </c>
      <c r="G37" s="2">
        <v>1304706.0</v>
      </c>
      <c r="H37" s="2">
        <v>19120.0</v>
      </c>
      <c r="I37" s="2">
        <v>1997696.0</v>
      </c>
      <c r="J37" s="2">
        <v>1798737.0</v>
      </c>
      <c r="K37" s="2">
        <v>198959.0</v>
      </c>
    </row>
    <row r="38">
      <c r="A38" s="2">
        <v>2019.0</v>
      </c>
      <c r="B38" s="1" t="s">
        <v>26</v>
      </c>
      <c r="C38" s="2" t="s">
        <v>165</v>
      </c>
      <c r="D38" s="2" t="s">
        <v>167</v>
      </c>
      <c r="E38" s="2"/>
      <c r="F38" s="2">
        <v>1204299.0</v>
      </c>
      <c r="G38" s="2">
        <v>1325775.0</v>
      </c>
      <c r="H38" s="2">
        <v>31675.0</v>
      </c>
      <c r="I38" s="2">
        <v>2561749.0</v>
      </c>
      <c r="J38" s="2">
        <v>1931629.0</v>
      </c>
      <c r="K38" s="2">
        <v>630120.0</v>
      </c>
    </row>
    <row r="39">
      <c r="A39" s="2">
        <v>2019.0</v>
      </c>
      <c r="B39" s="1" t="s">
        <v>26</v>
      </c>
      <c r="C39" s="2"/>
      <c r="D39" s="2" t="s">
        <v>168</v>
      </c>
      <c r="E39" s="2"/>
      <c r="F39" s="2">
        <v>441555.0</v>
      </c>
      <c r="G39" s="2">
        <v>1119077.0</v>
      </c>
      <c r="H39" s="2">
        <v>12801.0</v>
      </c>
      <c r="I39" s="2">
        <v>1573433.0</v>
      </c>
      <c r="J39" s="2">
        <v>1160338.0</v>
      </c>
      <c r="K39" s="2">
        <v>413095.0</v>
      </c>
    </row>
    <row r="40">
      <c r="A40" s="2">
        <v>2019.0</v>
      </c>
      <c r="B40" s="1" t="s">
        <v>26</v>
      </c>
      <c r="C40" s="2"/>
      <c r="D40" s="2" t="s">
        <v>171</v>
      </c>
      <c r="E40" s="2"/>
      <c r="F40" s="2">
        <v>837393.0</v>
      </c>
      <c r="G40" s="2">
        <v>1278606.0</v>
      </c>
      <c r="H40" s="2">
        <v>40264.0</v>
      </c>
      <c r="I40" s="2">
        <v>2156263.0</v>
      </c>
      <c r="J40" s="2">
        <v>934332.0</v>
      </c>
      <c r="K40" s="2">
        <v>1221931.0</v>
      </c>
    </row>
    <row r="41">
      <c r="A41" s="2">
        <v>2019.0</v>
      </c>
      <c r="B41" s="1" t="s">
        <v>26</v>
      </c>
      <c r="C41" s="2"/>
      <c r="D41" s="2" t="s">
        <v>175</v>
      </c>
      <c r="E41" s="2"/>
      <c r="F41" s="2">
        <v>2223968.0</v>
      </c>
      <c r="G41" s="2">
        <v>969589.0</v>
      </c>
      <c r="H41" s="2">
        <v>84638.0</v>
      </c>
      <c r="I41" s="2">
        <v>3278195.0</v>
      </c>
      <c r="J41" s="2">
        <v>1032118.0</v>
      </c>
      <c r="K41" s="2">
        <v>2246077.0</v>
      </c>
    </row>
    <row r="42">
      <c r="A42" s="2">
        <v>2019.0</v>
      </c>
      <c r="B42" s="1" t="s">
        <v>26</v>
      </c>
      <c r="C42" s="2" t="s">
        <v>176</v>
      </c>
      <c r="D42" s="2" t="s">
        <v>177</v>
      </c>
      <c r="E42" s="2"/>
      <c r="F42" s="2">
        <v>345236.0</v>
      </c>
      <c r="G42" s="2">
        <v>1031667.0</v>
      </c>
      <c r="H42" s="2">
        <v>6271.0</v>
      </c>
      <c r="I42" s="2">
        <v>1383174.0</v>
      </c>
      <c r="J42" s="2">
        <v>1235934.0</v>
      </c>
      <c r="K42" s="2">
        <v>147240.0</v>
      </c>
    </row>
    <row r="43">
      <c r="A43" s="2">
        <v>2019.0</v>
      </c>
      <c r="B43" s="1" t="s">
        <v>26</v>
      </c>
      <c r="C43" s="2"/>
      <c r="D43" s="2" t="s">
        <v>176</v>
      </c>
      <c r="E43" s="2"/>
      <c r="F43" s="2">
        <v>520323.0</v>
      </c>
      <c r="G43" s="2">
        <v>927437.0</v>
      </c>
      <c r="H43" s="2">
        <v>12840.0</v>
      </c>
      <c r="I43" s="2">
        <v>1460600.0</v>
      </c>
      <c r="J43" s="2">
        <v>1327515.0</v>
      </c>
      <c r="K43" s="2">
        <v>133085.0</v>
      </c>
    </row>
    <row r="44">
      <c r="A44" s="2">
        <v>2019.0</v>
      </c>
      <c r="B44" s="1" t="s">
        <v>26</v>
      </c>
      <c r="C44" s="2"/>
      <c r="D44" s="2" t="s">
        <v>184</v>
      </c>
      <c r="E44" s="2"/>
      <c r="F44" s="2">
        <v>420842.0</v>
      </c>
      <c r="G44" s="2">
        <v>854039.0</v>
      </c>
      <c r="H44" s="2">
        <v>9656.0</v>
      </c>
      <c r="I44" s="2">
        <v>1284537.0</v>
      </c>
      <c r="J44" s="2">
        <v>1172193.0</v>
      </c>
      <c r="K44" s="2">
        <v>112344.0</v>
      </c>
    </row>
    <row r="45">
      <c r="A45" s="2">
        <v>2019.0</v>
      </c>
      <c r="B45" s="1" t="s">
        <v>26</v>
      </c>
      <c r="C45" s="2"/>
      <c r="D45" s="2" t="s">
        <v>187</v>
      </c>
      <c r="E45" s="2"/>
      <c r="F45" s="2">
        <v>675877.0</v>
      </c>
      <c r="G45" s="2">
        <v>1180720.0</v>
      </c>
      <c r="H45" s="2">
        <v>24953.0</v>
      </c>
      <c r="I45" s="2">
        <v>1881550.0</v>
      </c>
      <c r="J45" s="2">
        <v>1206714.0</v>
      </c>
      <c r="K45" s="2">
        <v>674836.0</v>
      </c>
    </row>
    <row r="46">
      <c r="A46" s="2">
        <v>2019.0</v>
      </c>
      <c r="B46" s="1" t="s">
        <v>26</v>
      </c>
      <c r="C46" s="2"/>
      <c r="D46" s="2" t="s">
        <v>193</v>
      </c>
      <c r="E46" s="2"/>
      <c r="F46" s="2">
        <v>377042.0</v>
      </c>
      <c r="G46" s="2">
        <v>1497635.0</v>
      </c>
      <c r="H46" s="2">
        <v>13861.0</v>
      </c>
      <c r="I46" s="2">
        <v>1888538.0</v>
      </c>
      <c r="J46" s="2">
        <v>1209698.0</v>
      </c>
      <c r="K46" s="2">
        <v>678840.0</v>
      </c>
    </row>
    <row r="47">
      <c r="A47" s="2">
        <v>2019.0</v>
      </c>
      <c r="B47" s="1" t="s">
        <v>26</v>
      </c>
      <c r="C47" s="2" t="s">
        <v>198</v>
      </c>
      <c r="D47" s="2" t="s">
        <v>199</v>
      </c>
      <c r="E47" s="2"/>
      <c r="F47" s="2">
        <v>470519.0</v>
      </c>
      <c r="G47" s="2">
        <v>1163479.0</v>
      </c>
      <c r="I47" s="2">
        <v>1633998.0</v>
      </c>
      <c r="J47" s="2">
        <v>1098773.0</v>
      </c>
      <c r="K47" s="2">
        <v>535225.0</v>
      </c>
    </row>
    <row r="48">
      <c r="A48" s="2">
        <v>2019.0</v>
      </c>
      <c r="B48" s="1" t="s">
        <v>26</v>
      </c>
      <c r="C48" s="2"/>
      <c r="D48" s="2" t="s">
        <v>202</v>
      </c>
      <c r="E48" s="2"/>
      <c r="F48" s="2">
        <v>1165187.0</v>
      </c>
      <c r="G48" s="2">
        <v>1185782.0</v>
      </c>
      <c r="I48" s="2">
        <v>2350969.0</v>
      </c>
      <c r="J48" s="2">
        <v>1328094.0</v>
      </c>
      <c r="K48" s="2">
        <v>1022875.0</v>
      </c>
    </row>
    <row r="49">
      <c r="A49" s="2">
        <v>2019.0</v>
      </c>
      <c r="B49" s="1" t="s">
        <v>26</v>
      </c>
      <c r="C49" s="2"/>
      <c r="D49" s="2" t="s">
        <v>208</v>
      </c>
      <c r="E49" s="2"/>
      <c r="F49" s="2">
        <v>782252.0</v>
      </c>
      <c r="G49" s="2">
        <v>1343196.0</v>
      </c>
      <c r="I49" s="2">
        <v>2125448.0</v>
      </c>
      <c r="J49" s="2">
        <v>1152459.0</v>
      </c>
      <c r="K49" s="2">
        <v>972989.0</v>
      </c>
    </row>
    <row r="50">
      <c r="A50" s="2">
        <v>2019.0</v>
      </c>
      <c r="B50" s="1" t="s">
        <v>213</v>
      </c>
      <c r="C50" s="2" t="s">
        <v>28</v>
      </c>
      <c r="D50" s="2" t="s">
        <v>28</v>
      </c>
      <c r="E50" s="2"/>
      <c r="F50" s="2">
        <v>784950.0</v>
      </c>
      <c r="G50" s="2">
        <v>1906000.0</v>
      </c>
      <c r="H50" s="2">
        <v>25176.0</v>
      </c>
      <c r="I50" s="2">
        <v>2716126.0</v>
      </c>
      <c r="J50" s="2">
        <v>2330785.0</v>
      </c>
      <c r="K50" s="2">
        <v>385341.0</v>
      </c>
    </row>
    <row r="51">
      <c r="A51" s="2">
        <v>2019.0</v>
      </c>
      <c r="B51" s="1" t="s">
        <v>213</v>
      </c>
      <c r="C51" s="2"/>
      <c r="D51" s="2" t="s">
        <v>36</v>
      </c>
      <c r="E51" s="2"/>
      <c r="F51" s="2" t="s">
        <v>215</v>
      </c>
      <c r="G51" s="2" t="s">
        <v>217</v>
      </c>
      <c r="H51" s="2">
        <v>23423.0</v>
      </c>
      <c r="I51" s="2" t="s">
        <v>218</v>
      </c>
      <c r="J51" s="2" t="s">
        <v>219</v>
      </c>
      <c r="K51" s="2" t="s">
        <v>220</v>
      </c>
    </row>
    <row r="52">
      <c r="A52" s="2">
        <v>2019.0</v>
      </c>
      <c r="B52" s="1" t="s">
        <v>213</v>
      </c>
      <c r="C52" s="2"/>
      <c r="D52" s="2" t="s">
        <v>48</v>
      </c>
      <c r="E52" s="2"/>
      <c r="F52" s="2">
        <v>897159.0</v>
      </c>
      <c r="G52" s="2">
        <v>1621099.0</v>
      </c>
      <c r="H52" s="2">
        <v>57651.0</v>
      </c>
      <c r="I52" s="2" t="s">
        <v>221</v>
      </c>
      <c r="J52" s="2" t="s">
        <v>222</v>
      </c>
      <c r="K52" s="2">
        <v>1676945.0</v>
      </c>
    </row>
    <row r="53">
      <c r="A53" s="2">
        <v>2019.0</v>
      </c>
      <c r="B53" s="1" t="s">
        <v>213</v>
      </c>
      <c r="C53" s="2"/>
      <c r="D53" s="2" t="s">
        <v>57</v>
      </c>
      <c r="E53" s="2"/>
      <c r="F53" s="2">
        <v>310754.0</v>
      </c>
      <c r="G53" s="2">
        <v>1950472.0</v>
      </c>
      <c r="H53" s="2">
        <v>11609.0</v>
      </c>
      <c r="I53" s="2" t="s">
        <v>225</v>
      </c>
      <c r="J53" s="2" t="s">
        <v>226</v>
      </c>
      <c r="K53" s="2">
        <v>92334.0</v>
      </c>
    </row>
    <row r="54">
      <c r="A54" s="2">
        <v>2019.0</v>
      </c>
      <c r="B54" s="1" t="s">
        <v>213</v>
      </c>
      <c r="C54" s="2" t="s">
        <v>63</v>
      </c>
      <c r="D54" s="2" t="s">
        <v>64</v>
      </c>
      <c r="E54" s="2"/>
      <c r="F54" s="2">
        <v>620624.0</v>
      </c>
      <c r="G54" s="2">
        <v>1863421.0</v>
      </c>
      <c r="H54" s="2">
        <v>24686.0</v>
      </c>
      <c r="I54" s="2" t="s">
        <v>229</v>
      </c>
      <c r="J54" s="2" t="s">
        <v>231</v>
      </c>
      <c r="K54" s="2">
        <v>711067.0</v>
      </c>
    </row>
    <row r="55">
      <c r="A55" s="2">
        <v>2019.0</v>
      </c>
      <c r="B55" s="1" t="s">
        <v>213</v>
      </c>
      <c r="C55" s="2"/>
      <c r="D55" s="2" t="s">
        <v>68</v>
      </c>
      <c r="E55" s="2"/>
      <c r="F55" s="2">
        <v>57793.0</v>
      </c>
      <c r="G55" s="2">
        <v>1485985.0</v>
      </c>
      <c r="H55" s="2">
        <v>11386.0</v>
      </c>
      <c r="I55" s="2" t="s">
        <v>233</v>
      </c>
      <c r="J55" s="2" t="s">
        <v>235</v>
      </c>
      <c r="K55" s="2">
        <v>480483.0</v>
      </c>
    </row>
    <row r="56">
      <c r="A56" s="2">
        <v>2019.0</v>
      </c>
      <c r="B56" s="1" t="s">
        <v>213</v>
      </c>
      <c r="C56" s="2"/>
      <c r="D56" s="2" t="s">
        <v>73</v>
      </c>
      <c r="E56" s="2"/>
      <c r="F56" s="2">
        <v>1315253.0</v>
      </c>
      <c r="G56" s="2">
        <v>1665740.0</v>
      </c>
      <c r="H56" s="2">
        <v>50237.0</v>
      </c>
      <c r="I56" s="2" t="s">
        <v>237</v>
      </c>
      <c r="J56" s="2" t="s">
        <v>238</v>
      </c>
      <c r="K56" s="2">
        <v>1279624.0</v>
      </c>
    </row>
    <row r="57">
      <c r="A57" s="2">
        <v>2019.0</v>
      </c>
      <c r="B57" s="1" t="s">
        <v>213</v>
      </c>
      <c r="C57" s="2"/>
      <c r="D57" s="2" t="s">
        <v>77</v>
      </c>
      <c r="E57" s="2"/>
      <c r="F57" s="2">
        <v>374186.0</v>
      </c>
      <c r="G57" s="2">
        <v>2050400.0</v>
      </c>
      <c r="H57" s="2">
        <v>17403.0</v>
      </c>
      <c r="I57" s="2" t="s">
        <v>239</v>
      </c>
      <c r="J57" s="2" t="s">
        <v>240</v>
      </c>
      <c r="K57" s="2">
        <v>160063.0</v>
      </c>
    </row>
    <row r="58">
      <c r="A58" s="2">
        <v>2019.0</v>
      </c>
      <c r="B58" s="1" t="s">
        <v>213</v>
      </c>
      <c r="C58" s="2"/>
      <c r="D58" s="2" t="s">
        <v>84</v>
      </c>
      <c r="E58" s="2"/>
      <c r="F58" s="2">
        <v>442250.0</v>
      </c>
      <c r="G58" s="2">
        <v>1301831.0</v>
      </c>
      <c r="H58" s="2">
        <v>22655.0</v>
      </c>
      <c r="I58" s="2" t="s">
        <v>242</v>
      </c>
      <c r="J58" s="2" t="s">
        <v>243</v>
      </c>
      <c r="K58" s="2">
        <v>485835.0</v>
      </c>
    </row>
    <row r="59">
      <c r="A59" s="2">
        <v>2019.0</v>
      </c>
      <c r="B59" s="1" t="s">
        <v>213</v>
      </c>
      <c r="C59" s="2"/>
      <c r="D59" s="2" t="s">
        <v>89</v>
      </c>
      <c r="E59" s="2"/>
      <c r="F59" s="2" t="s">
        <v>99</v>
      </c>
      <c r="G59" s="2" t="s">
        <v>244</v>
      </c>
      <c r="H59" s="2">
        <v>12133.0</v>
      </c>
      <c r="I59" s="2" t="s">
        <v>247</v>
      </c>
      <c r="J59" s="2" t="s">
        <v>248</v>
      </c>
      <c r="K59" s="2" t="s">
        <v>250</v>
      </c>
    </row>
    <row r="60">
      <c r="A60" s="2">
        <v>2019.0</v>
      </c>
      <c r="B60" s="1" t="s">
        <v>213</v>
      </c>
      <c r="C60" s="2"/>
      <c r="D60" s="2" t="s">
        <v>101</v>
      </c>
      <c r="E60" s="2"/>
      <c r="F60" s="2">
        <v>303384.0</v>
      </c>
      <c r="G60" s="2">
        <v>1912112.0</v>
      </c>
      <c r="H60" s="2">
        <v>9879.0</v>
      </c>
      <c r="I60" s="2" t="s">
        <v>251</v>
      </c>
      <c r="J60" s="2" t="s">
        <v>252</v>
      </c>
      <c r="K60" s="2">
        <v>376921.0</v>
      </c>
    </row>
    <row r="61">
      <c r="A61" s="2">
        <v>2019.0</v>
      </c>
      <c r="B61" s="1" t="s">
        <v>213</v>
      </c>
      <c r="C61" s="2" t="s">
        <v>106</v>
      </c>
      <c r="D61" s="2" t="s">
        <v>107</v>
      </c>
      <c r="E61" s="2"/>
      <c r="F61" s="2">
        <v>1130812.0</v>
      </c>
      <c r="G61" s="2">
        <v>459430.0</v>
      </c>
      <c r="H61" s="2">
        <v>35089.0</v>
      </c>
      <c r="I61" s="2" t="s">
        <v>255</v>
      </c>
      <c r="J61" s="2" t="s">
        <v>257</v>
      </c>
      <c r="K61" s="2">
        <v>725415.0</v>
      </c>
    </row>
    <row r="62">
      <c r="A62" s="2">
        <v>2019.0</v>
      </c>
      <c r="B62" s="1" t="s">
        <v>213</v>
      </c>
      <c r="C62" s="2"/>
      <c r="D62" s="2" t="s">
        <v>111</v>
      </c>
      <c r="E62" s="2"/>
      <c r="F62" s="2">
        <v>983366.0</v>
      </c>
      <c r="G62" s="2">
        <v>2472030.0</v>
      </c>
      <c r="H62" s="2">
        <v>52337.0</v>
      </c>
      <c r="I62" s="2" t="s">
        <v>259</v>
      </c>
      <c r="J62" s="2" t="s">
        <v>260</v>
      </c>
      <c r="K62" s="2">
        <v>2408801.0</v>
      </c>
    </row>
    <row r="63">
      <c r="A63" s="2">
        <v>2019.0</v>
      </c>
      <c r="B63" s="1" t="s">
        <v>213</v>
      </c>
      <c r="C63" s="2"/>
      <c r="D63" s="2" t="s">
        <v>116</v>
      </c>
      <c r="E63" s="2"/>
      <c r="F63" s="2">
        <v>5880.0</v>
      </c>
      <c r="G63" s="2">
        <v>2000663.0</v>
      </c>
      <c r="H63" s="2">
        <v>8610.0</v>
      </c>
      <c r="I63" s="2" t="s">
        <v>261</v>
      </c>
      <c r="J63" s="2" t="s">
        <v>262</v>
      </c>
      <c r="K63" s="2">
        <v>126230.0</v>
      </c>
    </row>
    <row r="64">
      <c r="A64" s="2">
        <v>2019.0</v>
      </c>
      <c r="B64" s="1" t="s">
        <v>213</v>
      </c>
      <c r="C64" s="2" t="s">
        <v>120</v>
      </c>
      <c r="D64" s="2" t="s">
        <v>121</v>
      </c>
      <c r="E64" s="2"/>
      <c r="F64" s="2">
        <v>745874.0</v>
      </c>
      <c r="G64" s="2">
        <v>2443645.0</v>
      </c>
      <c r="H64" s="2">
        <v>42083.0</v>
      </c>
      <c r="I64" s="2">
        <v>3231602.0</v>
      </c>
      <c r="J64" s="2">
        <v>1991546.0</v>
      </c>
      <c r="K64" s="2">
        <v>1240056.0</v>
      </c>
    </row>
    <row r="65">
      <c r="A65" s="2">
        <v>2019.0</v>
      </c>
      <c r="B65" s="1" t="s">
        <v>213</v>
      </c>
      <c r="C65" s="2"/>
      <c r="D65" s="2" t="s">
        <v>120</v>
      </c>
      <c r="E65" s="2"/>
      <c r="F65" s="2">
        <v>600649.0</v>
      </c>
      <c r="G65" s="2">
        <v>2428715.0</v>
      </c>
      <c r="H65" s="2">
        <v>33757.0</v>
      </c>
      <c r="I65" s="2">
        <v>3063121.0</v>
      </c>
      <c r="J65" s="2">
        <v>2033790.0</v>
      </c>
      <c r="K65" s="2">
        <v>1029331.0</v>
      </c>
    </row>
    <row r="66">
      <c r="A66" s="2">
        <v>2019.0</v>
      </c>
      <c r="B66" s="1" t="s">
        <v>213</v>
      </c>
      <c r="C66" s="2"/>
      <c r="D66" s="2" t="s">
        <v>266</v>
      </c>
      <c r="E66" s="2"/>
      <c r="F66" s="2">
        <v>81593.0</v>
      </c>
      <c r="G66" s="2">
        <v>2535795.0</v>
      </c>
      <c r="H66" s="2">
        <v>19884.0</v>
      </c>
      <c r="I66" s="2">
        <v>2637272.0</v>
      </c>
      <c r="J66" s="2">
        <v>2214109.0</v>
      </c>
      <c r="K66" s="2">
        <v>423163.0</v>
      </c>
    </row>
    <row r="67">
      <c r="A67" s="2">
        <v>2019.0</v>
      </c>
      <c r="B67" s="1" t="s">
        <v>213</v>
      </c>
      <c r="C67" s="2"/>
      <c r="D67" s="2" t="s">
        <v>125</v>
      </c>
      <c r="E67" s="2"/>
      <c r="F67" s="2">
        <v>650578.0</v>
      </c>
      <c r="G67" s="2">
        <v>1460000.0</v>
      </c>
      <c r="H67" s="2">
        <v>40067.0</v>
      </c>
      <c r="I67" s="2">
        <v>2150645.0</v>
      </c>
      <c r="J67" s="2">
        <v>888159.0</v>
      </c>
      <c r="K67" s="2">
        <v>1262486.0</v>
      </c>
    </row>
    <row r="68">
      <c r="A68" s="2">
        <v>2019.0</v>
      </c>
      <c r="B68" s="1" t="s">
        <v>213</v>
      </c>
      <c r="C68" s="2" t="s">
        <v>128</v>
      </c>
      <c r="D68" s="2" t="s">
        <v>269</v>
      </c>
      <c r="E68" s="2"/>
      <c r="F68" s="2">
        <v>470931.0</v>
      </c>
      <c r="G68" s="2">
        <v>1737915.0</v>
      </c>
      <c r="H68" s="2">
        <v>31611.0</v>
      </c>
      <c r="I68" s="2">
        <v>2240457.0</v>
      </c>
      <c r="J68" s="2">
        <v>1792678.0</v>
      </c>
      <c r="K68" s="2">
        <v>447779.0</v>
      </c>
    </row>
    <row r="69">
      <c r="A69" s="2">
        <v>2019.0</v>
      </c>
      <c r="B69" s="1" t="s">
        <v>213</v>
      </c>
      <c r="C69" s="2"/>
      <c r="D69" s="2" t="s">
        <v>270</v>
      </c>
      <c r="E69" s="2"/>
      <c r="F69" s="2">
        <v>1324460.0</v>
      </c>
      <c r="G69" s="2">
        <v>1767315.0</v>
      </c>
      <c r="H69" s="2">
        <v>93954.0</v>
      </c>
      <c r="I69" s="2">
        <v>3185729.0</v>
      </c>
      <c r="J69" s="2">
        <v>1789035.0</v>
      </c>
      <c r="K69" s="2">
        <v>1396694.0</v>
      </c>
    </row>
    <row r="70">
      <c r="A70" s="2">
        <v>2019.0</v>
      </c>
      <c r="B70" s="1" t="s">
        <v>213</v>
      </c>
      <c r="C70" s="2"/>
      <c r="D70" s="2" t="s">
        <v>273</v>
      </c>
      <c r="E70" s="2"/>
      <c r="F70" s="2">
        <v>508893.0</v>
      </c>
      <c r="G70" s="2">
        <v>2252464.0</v>
      </c>
      <c r="H70" s="2">
        <v>21086.0</v>
      </c>
      <c r="I70" s="2">
        <v>2782443.0</v>
      </c>
      <c r="J70" s="2">
        <v>1852429.0</v>
      </c>
      <c r="K70" s="2">
        <v>930014.0</v>
      </c>
    </row>
    <row r="71">
      <c r="A71" s="2">
        <v>2019.0</v>
      </c>
      <c r="B71" s="1" t="s">
        <v>213</v>
      </c>
      <c r="C71" s="2" t="s">
        <v>133</v>
      </c>
      <c r="D71" s="2" t="s">
        <v>135</v>
      </c>
      <c r="E71" s="2"/>
      <c r="F71" s="2">
        <v>1252449.0</v>
      </c>
      <c r="G71" s="2">
        <v>2058166.0</v>
      </c>
      <c r="H71" s="2">
        <v>47205.0</v>
      </c>
      <c r="I71" s="2">
        <v>3357820.0</v>
      </c>
      <c r="J71" s="2">
        <v>2836722.0</v>
      </c>
      <c r="K71" s="2">
        <v>521098.0</v>
      </c>
    </row>
    <row r="72">
      <c r="A72" s="2">
        <v>2019.0</v>
      </c>
      <c r="B72" s="1" t="s">
        <v>213</v>
      </c>
      <c r="C72" s="2"/>
      <c r="D72" s="2" t="s">
        <v>136</v>
      </c>
      <c r="E72" s="2"/>
      <c r="F72" s="2">
        <v>663638.0</v>
      </c>
      <c r="G72" s="2">
        <v>2255389.0</v>
      </c>
      <c r="H72" s="2">
        <v>30250.0</v>
      </c>
      <c r="I72" s="2">
        <v>2949277.0</v>
      </c>
      <c r="J72" s="2">
        <v>1345342.0</v>
      </c>
      <c r="K72" s="2">
        <v>1603935.0</v>
      </c>
    </row>
    <row r="73">
      <c r="A73" s="2">
        <v>2019.0</v>
      </c>
      <c r="B73" s="1" t="s">
        <v>213</v>
      </c>
      <c r="C73" s="2"/>
      <c r="D73" s="2" t="s">
        <v>275</v>
      </c>
      <c r="E73" s="2"/>
      <c r="F73" s="2">
        <v>423799.0</v>
      </c>
      <c r="G73" s="2">
        <v>2041783.0</v>
      </c>
      <c r="H73" s="2">
        <v>20032.0</v>
      </c>
      <c r="I73" s="2">
        <v>2485614.0</v>
      </c>
      <c r="J73" s="2">
        <v>2074015.0</v>
      </c>
      <c r="K73" s="2">
        <v>411599.0</v>
      </c>
    </row>
    <row r="74">
      <c r="A74" s="2">
        <v>2019.0</v>
      </c>
      <c r="B74" s="1" t="s">
        <v>213</v>
      </c>
      <c r="C74" s="2"/>
      <c r="D74" s="2" t="s">
        <v>277</v>
      </c>
      <c r="E74" s="2"/>
      <c r="F74" s="2">
        <v>1234634.0</v>
      </c>
      <c r="G74" s="2">
        <v>1614027.0</v>
      </c>
      <c r="H74" s="2">
        <v>38592.0</v>
      </c>
      <c r="I74" s="2">
        <v>2887253.0</v>
      </c>
      <c r="J74" s="2">
        <v>1347905.0</v>
      </c>
      <c r="K74" s="2">
        <v>1539348.0</v>
      </c>
    </row>
    <row r="75">
      <c r="A75" s="2">
        <v>2019.0</v>
      </c>
      <c r="B75" s="1" t="s">
        <v>213</v>
      </c>
      <c r="C75" s="2"/>
      <c r="D75" s="2" t="s">
        <v>141</v>
      </c>
      <c r="E75" s="2"/>
      <c r="F75" s="2">
        <v>530195.0</v>
      </c>
      <c r="G75" s="2">
        <v>1558041.0</v>
      </c>
      <c r="H75" s="2">
        <v>25340.0</v>
      </c>
      <c r="I75" s="2">
        <v>2113576.0</v>
      </c>
      <c r="J75" s="2">
        <v>1636659.0</v>
      </c>
      <c r="K75" s="2">
        <v>476917.0</v>
      </c>
    </row>
    <row r="76">
      <c r="A76" s="2">
        <v>2019.0</v>
      </c>
      <c r="B76" s="1" t="s">
        <v>213</v>
      </c>
      <c r="C76" s="2"/>
      <c r="D76" s="2" t="s">
        <v>142</v>
      </c>
      <c r="E76" s="2"/>
      <c r="F76" s="2">
        <v>642517.0</v>
      </c>
      <c r="G76" s="2">
        <v>2144920.0</v>
      </c>
      <c r="H76" s="2">
        <v>30024.0</v>
      </c>
      <c r="I76" s="2">
        <v>2817461.0</v>
      </c>
      <c r="J76" s="2">
        <v>1655231.0</v>
      </c>
      <c r="K76" s="2">
        <v>1162230.0</v>
      </c>
    </row>
    <row r="77">
      <c r="A77" s="2">
        <v>2019.0</v>
      </c>
      <c r="B77" s="1" t="s">
        <v>213</v>
      </c>
      <c r="C77" s="2" t="s">
        <v>143</v>
      </c>
      <c r="D77" s="2" t="s">
        <v>281</v>
      </c>
      <c r="E77" s="2"/>
      <c r="F77" s="2">
        <v>38906.0</v>
      </c>
      <c r="G77" s="2">
        <v>1557527.0</v>
      </c>
      <c r="H77" s="2">
        <v>5848.0</v>
      </c>
      <c r="I77" s="2">
        <v>1602281.0</v>
      </c>
      <c r="J77" s="2">
        <v>1322430.0</v>
      </c>
      <c r="K77" s="2">
        <v>279851.0</v>
      </c>
    </row>
    <row r="78">
      <c r="A78" s="2">
        <v>2019.0</v>
      </c>
      <c r="B78" s="1" t="s">
        <v>213</v>
      </c>
      <c r="C78" s="2"/>
      <c r="D78" s="2" t="s">
        <v>146</v>
      </c>
      <c r="E78" s="2"/>
      <c r="F78" s="2">
        <v>1055898.0</v>
      </c>
      <c r="G78" s="2">
        <v>2160910.0</v>
      </c>
      <c r="H78" s="2">
        <v>54050.0</v>
      </c>
      <c r="I78" s="2">
        <v>3270858.0</v>
      </c>
      <c r="J78" s="2">
        <v>1692209.0</v>
      </c>
      <c r="K78" s="2">
        <v>1578649.0</v>
      </c>
    </row>
    <row r="79">
      <c r="A79" s="2">
        <v>2019.0</v>
      </c>
      <c r="B79" s="1" t="s">
        <v>213</v>
      </c>
      <c r="C79" s="2"/>
      <c r="D79" s="2" t="s">
        <v>285</v>
      </c>
      <c r="E79" s="2"/>
      <c r="F79" s="2">
        <v>288094.0</v>
      </c>
      <c r="G79" s="2">
        <v>2005879.0</v>
      </c>
      <c r="H79" s="2">
        <v>30294.0</v>
      </c>
      <c r="I79" s="2">
        <v>2324267.0</v>
      </c>
      <c r="J79" s="2">
        <v>1555171.0</v>
      </c>
      <c r="K79" s="2">
        <v>769096.0</v>
      </c>
    </row>
    <row r="80">
      <c r="A80" s="2">
        <v>2019.0</v>
      </c>
      <c r="B80" s="1" t="s">
        <v>213</v>
      </c>
      <c r="C80" s="2"/>
      <c r="D80" s="2" t="s">
        <v>151</v>
      </c>
      <c r="E80" s="2"/>
      <c r="F80" s="2">
        <v>436287.0</v>
      </c>
      <c r="G80" s="2">
        <v>2469495.0</v>
      </c>
      <c r="H80" s="2">
        <v>29180.0</v>
      </c>
      <c r="I80" s="2">
        <v>2934962.0</v>
      </c>
      <c r="J80" s="2">
        <v>2076810.0</v>
      </c>
      <c r="K80" s="2">
        <v>858152.0</v>
      </c>
    </row>
    <row r="81">
      <c r="A81" s="2">
        <v>2019.0</v>
      </c>
      <c r="B81" s="1" t="s">
        <v>213</v>
      </c>
      <c r="C81" s="2"/>
      <c r="D81" s="2" t="s">
        <v>143</v>
      </c>
      <c r="E81" s="2"/>
      <c r="F81" s="2">
        <v>338774.0</v>
      </c>
      <c r="G81" s="2">
        <v>2321961.0</v>
      </c>
      <c r="H81" s="2">
        <v>21174.0</v>
      </c>
      <c r="I81" s="2">
        <v>2681909.0</v>
      </c>
      <c r="J81" s="2">
        <v>2305208.0</v>
      </c>
      <c r="K81" s="2">
        <v>376701.0</v>
      </c>
    </row>
    <row r="82">
      <c r="A82" s="2">
        <v>2019.0</v>
      </c>
      <c r="B82" s="1" t="s">
        <v>213</v>
      </c>
      <c r="C82" s="2"/>
      <c r="D82" s="2" t="s">
        <v>153</v>
      </c>
      <c r="E82" s="2"/>
      <c r="F82" s="2">
        <v>713997.0</v>
      </c>
      <c r="G82" s="2">
        <v>3378829.0</v>
      </c>
      <c r="H82" s="2">
        <v>28923.0</v>
      </c>
      <c r="I82" s="2">
        <v>4121749.0</v>
      </c>
      <c r="J82" s="2">
        <v>2768691.0</v>
      </c>
      <c r="K82" s="2">
        <v>1353058.0</v>
      </c>
    </row>
    <row r="83">
      <c r="A83" s="2">
        <v>2019.0</v>
      </c>
      <c r="B83" s="1" t="s">
        <v>213</v>
      </c>
      <c r="C83" s="2" t="s">
        <v>157</v>
      </c>
      <c r="D83" s="2" t="s">
        <v>289</v>
      </c>
      <c r="E83" s="2"/>
      <c r="F83" s="2">
        <v>636483.0</v>
      </c>
      <c r="G83" s="2">
        <v>2259155.0</v>
      </c>
      <c r="H83" s="2">
        <v>37478.0</v>
      </c>
      <c r="I83" s="2">
        <v>2933116.0</v>
      </c>
      <c r="J83" s="2">
        <v>2154131.0</v>
      </c>
      <c r="K83" s="2">
        <v>778985.0</v>
      </c>
    </row>
    <row r="84">
      <c r="A84" s="2">
        <v>2019.0</v>
      </c>
      <c r="B84" s="1" t="s">
        <v>213</v>
      </c>
      <c r="C84" s="2"/>
      <c r="D84" s="2" t="s">
        <v>159</v>
      </c>
      <c r="E84" s="2"/>
      <c r="F84" s="2">
        <v>414967.0</v>
      </c>
      <c r="G84" s="2">
        <v>2018104.0</v>
      </c>
      <c r="H84" s="2">
        <v>20091.0</v>
      </c>
      <c r="I84" s="2">
        <v>2453162.0</v>
      </c>
      <c r="J84" s="2">
        <v>2163654.0</v>
      </c>
      <c r="K84" s="2">
        <v>289508.0</v>
      </c>
    </row>
    <row r="85">
      <c r="A85" s="2">
        <v>2019.0</v>
      </c>
      <c r="B85" s="1" t="s">
        <v>213</v>
      </c>
      <c r="C85" s="2"/>
      <c r="D85" s="2" t="s">
        <v>161</v>
      </c>
      <c r="E85" s="2"/>
      <c r="F85" s="2">
        <v>802562.0</v>
      </c>
      <c r="G85" s="2">
        <v>1734527.0</v>
      </c>
      <c r="H85" s="2">
        <v>25088.0</v>
      </c>
      <c r="I85" s="2">
        <v>2562177.0</v>
      </c>
      <c r="J85" s="2">
        <v>2114165.0</v>
      </c>
      <c r="K85" s="2">
        <v>448012.0</v>
      </c>
    </row>
    <row r="86">
      <c r="A86" s="2">
        <v>2019.0</v>
      </c>
      <c r="B86" s="1" t="s">
        <v>213</v>
      </c>
      <c r="C86" s="2"/>
      <c r="D86" s="2" t="s">
        <v>163</v>
      </c>
      <c r="E86" s="2"/>
      <c r="F86" s="2">
        <v>198731.0</v>
      </c>
      <c r="G86" s="2">
        <v>2233527.0</v>
      </c>
      <c r="H86" s="2">
        <v>48466.0</v>
      </c>
      <c r="I86" s="2">
        <v>2480724.0</v>
      </c>
      <c r="J86" s="2">
        <v>1299112.0</v>
      </c>
      <c r="K86" s="2">
        <v>1181612.0</v>
      </c>
    </row>
    <row r="87">
      <c r="A87" s="2">
        <v>2019.0</v>
      </c>
      <c r="B87" s="1" t="s">
        <v>213</v>
      </c>
      <c r="C87" s="2" t="s">
        <v>165</v>
      </c>
      <c r="D87" s="2" t="s">
        <v>295</v>
      </c>
      <c r="E87" s="2"/>
      <c r="F87" s="2">
        <v>630120.0</v>
      </c>
      <c r="G87" s="2">
        <v>2326994.0</v>
      </c>
      <c r="H87" s="2">
        <v>18190.0</v>
      </c>
      <c r="I87" s="2">
        <v>2975304.0</v>
      </c>
      <c r="J87" s="2">
        <v>2378929.0</v>
      </c>
      <c r="K87" s="2">
        <v>596375.0</v>
      </c>
    </row>
    <row r="88">
      <c r="A88" s="2">
        <v>2019.0</v>
      </c>
      <c r="B88" s="1" t="s">
        <v>213</v>
      </c>
      <c r="C88" s="2"/>
      <c r="D88" s="2" t="s">
        <v>298</v>
      </c>
      <c r="E88" s="2"/>
      <c r="F88" s="2">
        <v>413095.0</v>
      </c>
      <c r="G88" s="2">
        <v>2376688.0</v>
      </c>
      <c r="H88" s="2">
        <v>32797.0</v>
      </c>
      <c r="I88" s="2">
        <v>2822580.0</v>
      </c>
      <c r="J88" s="2">
        <v>2525388.0</v>
      </c>
      <c r="K88" s="2">
        <v>297192.0</v>
      </c>
    </row>
    <row r="89">
      <c r="A89" s="2">
        <v>2019.0</v>
      </c>
      <c r="B89" s="1" t="s">
        <v>213</v>
      </c>
      <c r="C89" s="2"/>
      <c r="D89" s="2" t="s">
        <v>171</v>
      </c>
      <c r="E89" s="2"/>
      <c r="F89" s="2">
        <v>1223931.0</v>
      </c>
      <c r="G89" s="2">
        <v>2108919.0</v>
      </c>
      <c r="H89" s="2">
        <v>57734.0</v>
      </c>
      <c r="I89" s="2">
        <v>3390584.0</v>
      </c>
      <c r="J89" s="2">
        <v>2181612.0</v>
      </c>
      <c r="K89" s="2">
        <v>1208972.0</v>
      </c>
    </row>
    <row r="90">
      <c r="A90" s="2">
        <v>2019.0</v>
      </c>
      <c r="B90" s="1" t="s">
        <v>213</v>
      </c>
      <c r="C90" s="2"/>
      <c r="D90" s="2" t="s">
        <v>175</v>
      </c>
      <c r="E90" s="2"/>
      <c r="F90" s="2">
        <v>2246577.0</v>
      </c>
      <c r="G90" s="2">
        <v>1671963.0</v>
      </c>
      <c r="H90" s="2">
        <v>85920.0</v>
      </c>
      <c r="I90" s="2">
        <v>4004460.0</v>
      </c>
      <c r="J90" s="2">
        <v>1205695.0</v>
      </c>
      <c r="K90" s="2">
        <v>2798765.0</v>
      </c>
    </row>
    <row r="91">
      <c r="A91" s="2">
        <v>2019.0</v>
      </c>
      <c r="B91" s="1" t="s">
        <v>213</v>
      </c>
      <c r="C91" s="2" t="s">
        <v>176</v>
      </c>
      <c r="D91" s="2" t="s">
        <v>177</v>
      </c>
      <c r="E91" s="2"/>
      <c r="F91" s="2">
        <v>147240.0</v>
      </c>
      <c r="G91" s="2">
        <v>1708131.0</v>
      </c>
      <c r="H91" s="2">
        <v>13950.0</v>
      </c>
      <c r="I91" s="2">
        <v>1869321.0</v>
      </c>
      <c r="J91" s="2">
        <v>1217107.0</v>
      </c>
      <c r="K91" s="2">
        <v>652214.0</v>
      </c>
    </row>
    <row r="92">
      <c r="A92" s="2">
        <v>2019.0</v>
      </c>
      <c r="B92" s="1" t="s">
        <v>213</v>
      </c>
      <c r="C92" s="2"/>
      <c r="D92" s="2" t="s">
        <v>176</v>
      </c>
      <c r="E92" s="2"/>
      <c r="F92" s="2">
        <v>158085.0</v>
      </c>
      <c r="G92" s="2">
        <v>1656430.0</v>
      </c>
      <c r="H92" s="2">
        <v>20706.0</v>
      </c>
      <c r="I92" s="2">
        <v>1835221.0</v>
      </c>
      <c r="J92" s="2">
        <v>1333337.0</v>
      </c>
      <c r="K92" s="2">
        <v>501884.0</v>
      </c>
    </row>
    <row r="93">
      <c r="A93" s="2">
        <v>2019.0</v>
      </c>
      <c r="B93" s="1" t="s">
        <v>213</v>
      </c>
      <c r="C93" s="2"/>
      <c r="D93" s="2" t="s">
        <v>184</v>
      </c>
      <c r="E93" s="2"/>
      <c r="F93" s="2">
        <v>112344.0</v>
      </c>
      <c r="G93" s="2">
        <v>1346965.0</v>
      </c>
      <c r="H93" s="2">
        <v>9964.0</v>
      </c>
      <c r="I93" s="2">
        <v>1469273.0</v>
      </c>
      <c r="J93" s="2">
        <v>1412026.0</v>
      </c>
      <c r="K93" s="2">
        <v>57247.0</v>
      </c>
    </row>
    <row r="94">
      <c r="A94" s="2">
        <v>2019.0</v>
      </c>
      <c r="B94" s="1" t="s">
        <v>213</v>
      </c>
      <c r="C94" s="2"/>
      <c r="D94" s="2" t="s">
        <v>187</v>
      </c>
      <c r="E94" s="2"/>
      <c r="F94" s="2">
        <v>675839.0</v>
      </c>
      <c r="G94" s="2">
        <v>2023727.0</v>
      </c>
      <c r="H94" s="2">
        <v>23726.0</v>
      </c>
      <c r="I94" s="2">
        <v>2723292.0</v>
      </c>
      <c r="J94" s="2">
        <v>1948212.0</v>
      </c>
      <c r="K94" s="2">
        <v>775080.0</v>
      </c>
    </row>
    <row r="95">
      <c r="A95" s="2">
        <v>2019.0</v>
      </c>
      <c r="B95" s="1" t="s">
        <v>213</v>
      </c>
      <c r="C95" s="2"/>
      <c r="D95" s="2" t="s">
        <v>193</v>
      </c>
      <c r="E95" s="2"/>
      <c r="F95" s="2">
        <v>678840.0</v>
      </c>
      <c r="G95" s="2">
        <v>2305633.0</v>
      </c>
      <c r="H95" s="2">
        <v>26050.0</v>
      </c>
      <c r="I95" s="2">
        <v>3010523.0</v>
      </c>
      <c r="J95" s="2">
        <v>1952981.0</v>
      </c>
      <c r="K95" s="2">
        <v>1057542.0</v>
      </c>
    </row>
    <row r="96">
      <c r="A96" s="2">
        <v>2019.0</v>
      </c>
      <c r="B96" s="1" t="s">
        <v>213</v>
      </c>
      <c r="C96" s="2" t="s">
        <v>308</v>
      </c>
      <c r="D96" s="2" t="s">
        <v>309</v>
      </c>
      <c r="E96" s="2"/>
      <c r="F96" s="2">
        <v>74363.0</v>
      </c>
      <c r="G96" s="2">
        <v>1402882.0</v>
      </c>
      <c r="H96" s="2">
        <v>12340.0</v>
      </c>
      <c r="I96" s="2">
        <v>1489585.0</v>
      </c>
      <c r="J96" s="2">
        <v>1085198.0</v>
      </c>
      <c r="K96" s="2">
        <v>404387.0</v>
      </c>
    </row>
    <row r="97">
      <c r="A97" s="2">
        <v>2019.0</v>
      </c>
      <c r="B97" s="1" t="s">
        <v>213</v>
      </c>
      <c r="C97" s="2"/>
      <c r="D97" s="2" t="s">
        <v>312</v>
      </c>
      <c r="E97" s="2"/>
      <c r="F97" s="2">
        <v>71689.0</v>
      </c>
      <c r="G97" s="2">
        <v>800786.0</v>
      </c>
      <c r="H97" s="2">
        <v>5068.0</v>
      </c>
      <c r="I97" s="2">
        <v>877543.0</v>
      </c>
      <c r="J97" s="2">
        <v>736143.0</v>
      </c>
      <c r="K97" s="2">
        <v>141400.0</v>
      </c>
    </row>
    <row r="98">
      <c r="A98" s="2">
        <v>2019.0</v>
      </c>
      <c r="B98" s="1" t="s">
        <v>213</v>
      </c>
      <c r="C98" s="2"/>
      <c r="D98" s="2" t="s">
        <v>316</v>
      </c>
      <c r="E98" s="2"/>
      <c r="F98" s="2">
        <v>222363.0</v>
      </c>
      <c r="G98" s="2">
        <v>1198176.0</v>
      </c>
      <c r="H98" s="2">
        <v>21898.0</v>
      </c>
      <c r="I98" s="2">
        <v>1442437.0</v>
      </c>
      <c r="J98" s="2">
        <v>879573.0</v>
      </c>
      <c r="K98" s="2">
        <v>562864.0</v>
      </c>
    </row>
    <row r="99">
      <c r="A99" s="2">
        <v>2019.0</v>
      </c>
      <c r="B99" s="1" t="s">
        <v>213</v>
      </c>
      <c r="C99" s="2"/>
      <c r="D99" s="2" t="s">
        <v>319</v>
      </c>
      <c r="E99" s="2"/>
      <c r="F99" s="2">
        <v>74363.0</v>
      </c>
      <c r="G99" s="2">
        <v>1402882.0</v>
      </c>
      <c r="H99" s="2">
        <v>12340.0</v>
      </c>
      <c r="I99" s="2">
        <v>1489585.0</v>
      </c>
      <c r="J99" s="2">
        <v>1085198.0</v>
      </c>
      <c r="K99" s="2">
        <v>404387.0</v>
      </c>
    </row>
    <row r="100">
      <c r="A100" s="2">
        <v>2019.0</v>
      </c>
      <c r="B100" s="1" t="s">
        <v>213</v>
      </c>
      <c r="C100" s="2"/>
      <c r="D100" s="2" t="s">
        <v>321</v>
      </c>
      <c r="E100" s="2"/>
      <c r="F100" s="2">
        <v>1099672.0</v>
      </c>
      <c r="G100" s="2">
        <v>1485760.0</v>
      </c>
      <c r="H100" s="2">
        <v>41913.0</v>
      </c>
      <c r="I100" s="2">
        <v>2627345.0</v>
      </c>
      <c r="J100" s="2">
        <v>1926018.0</v>
      </c>
      <c r="K100" s="2">
        <v>701327.0</v>
      </c>
    </row>
    <row r="101">
      <c r="A101" s="2">
        <v>2019.0</v>
      </c>
      <c r="B101" s="1" t="s">
        <v>213</v>
      </c>
      <c r="C101" s="2"/>
      <c r="D101" s="2" t="s">
        <v>324</v>
      </c>
      <c r="E101" s="2"/>
      <c r="F101" s="2">
        <v>166260.0</v>
      </c>
      <c r="G101" s="2">
        <v>1251545.0</v>
      </c>
      <c r="H101" s="2">
        <v>14332.0</v>
      </c>
      <c r="I101" s="2">
        <v>1432137.0</v>
      </c>
      <c r="J101" s="2">
        <v>641529.0</v>
      </c>
      <c r="K101" s="2">
        <v>790608.0</v>
      </c>
    </row>
    <row r="102">
      <c r="A102" s="2">
        <v>2019.0</v>
      </c>
      <c r="B102" s="1" t="s">
        <v>213</v>
      </c>
      <c r="C102" s="2"/>
      <c r="D102" s="2" t="s">
        <v>326</v>
      </c>
      <c r="E102" s="2"/>
      <c r="F102" s="2">
        <v>116732.0</v>
      </c>
      <c r="G102" s="2">
        <v>1649870.0</v>
      </c>
      <c r="H102" s="2">
        <v>17064.0</v>
      </c>
      <c r="I102" s="2">
        <v>1783666.0</v>
      </c>
      <c r="J102" s="2">
        <v>996009.0</v>
      </c>
      <c r="K102" s="2">
        <v>787657.0</v>
      </c>
    </row>
    <row r="103">
      <c r="A103" s="2">
        <v>2019.0</v>
      </c>
      <c r="B103" s="1" t="s">
        <v>213</v>
      </c>
      <c r="C103" s="2" t="s">
        <v>198</v>
      </c>
      <c r="D103" s="2" t="s">
        <v>199</v>
      </c>
      <c r="E103" s="2"/>
      <c r="F103" s="2">
        <v>537225.0</v>
      </c>
      <c r="G103" s="2">
        <v>1201893.0</v>
      </c>
      <c r="I103" s="2">
        <v>1739118.0</v>
      </c>
      <c r="J103" s="2">
        <v>1429992.0</v>
      </c>
      <c r="K103" s="2">
        <v>309126.0</v>
      </c>
    </row>
    <row r="104">
      <c r="A104" s="2">
        <v>2019.0</v>
      </c>
      <c r="B104" s="1" t="s">
        <v>213</v>
      </c>
      <c r="C104" s="2"/>
      <c r="D104" s="2" t="s">
        <v>202</v>
      </c>
      <c r="E104" s="2"/>
      <c r="F104" s="2">
        <v>1022875.0</v>
      </c>
      <c r="G104" s="2">
        <v>884686.0</v>
      </c>
      <c r="I104" s="2">
        <v>1907561.0</v>
      </c>
      <c r="J104" s="2">
        <v>862774.0</v>
      </c>
      <c r="K104" s="2">
        <v>1044787.0</v>
      </c>
    </row>
    <row r="105">
      <c r="A105" s="2">
        <v>2019.0</v>
      </c>
      <c r="B105" s="1" t="s">
        <v>213</v>
      </c>
      <c r="C105" s="2"/>
      <c r="D105" s="2" t="s">
        <v>208</v>
      </c>
      <c r="E105" s="2"/>
      <c r="F105" s="2">
        <v>972989.0</v>
      </c>
      <c r="G105" s="2">
        <v>1791298.0</v>
      </c>
      <c r="I105" s="2">
        <v>2764287.0</v>
      </c>
      <c r="J105" s="2">
        <v>955730.0</v>
      </c>
      <c r="K105" s="2">
        <v>1808557.0</v>
      </c>
    </row>
    <row r="106">
      <c r="A106" s="2">
        <v>2019.0</v>
      </c>
      <c r="B106" s="1" t="s">
        <v>332</v>
      </c>
      <c r="C106" s="2" t="s">
        <v>28</v>
      </c>
      <c r="D106" s="2" t="s">
        <v>28</v>
      </c>
      <c r="E106" s="2"/>
      <c r="F106" s="2">
        <v>377983.0</v>
      </c>
      <c r="G106" s="2">
        <v>2081656.0</v>
      </c>
      <c r="H106" s="2">
        <v>12858.0</v>
      </c>
      <c r="I106" s="2">
        <v>2472497.0</v>
      </c>
      <c r="J106" s="2">
        <v>1409525.0</v>
      </c>
      <c r="K106" s="2">
        <v>1062972.0</v>
      </c>
    </row>
    <row r="107">
      <c r="A107" s="2">
        <v>2019.0</v>
      </c>
      <c r="B107" s="1" t="s">
        <v>332</v>
      </c>
      <c r="C107" s="2"/>
      <c r="D107" s="2" t="s">
        <v>36</v>
      </c>
      <c r="E107" s="2"/>
      <c r="F107" s="2" t="s">
        <v>220</v>
      </c>
      <c r="G107" s="2" t="s">
        <v>334</v>
      </c>
      <c r="H107" s="2">
        <v>27241.0</v>
      </c>
      <c r="I107" s="2" t="s">
        <v>335</v>
      </c>
      <c r="J107" s="2">
        <v>1074245.0</v>
      </c>
      <c r="K107" s="2" t="s">
        <v>336</v>
      </c>
    </row>
    <row r="108">
      <c r="A108" s="2">
        <v>2019.0</v>
      </c>
      <c r="B108" s="1" t="s">
        <v>332</v>
      </c>
      <c r="C108" s="2"/>
      <c r="D108" s="2" t="s">
        <v>48</v>
      </c>
      <c r="E108" s="2"/>
      <c r="F108" s="2">
        <v>1679212.0</v>
      </c>
      <c r="G108" s="2">
        <v>2245798.0</v>
      </c>
      <c r="H108" s="2">
        <v>48324.0</v>
      </c>
      <c r="I108" s="2" t="s">
        <v>339</v>
      </c>
      <c r="J108" s="2">
        <v>2306535.0</v>
      </c>
      <c r="K108" s="2">
        <v>1666799.0</v>
      </c>
    </row>
    <row r="109">
      <c r="A109" s="2">
        <v>2019.0</v>
      </c>
      <c r="B109" s="1" t="s">
        <v>332</v>
      </c>
      <c r="C109" s="2"/>
      <c r="D109" s="2" t="s">
        <v>57</v>
      </c>
      <c r="E109" s="2"/>
      <c r="F109" s="2">
        <v>87312.0</v>
      </c>
      <c r="G109" s="2">
        <v>3903078.0</v>
      </c>
      <c r="H109" s="2">
        <v>9012.0</v>
      </c>
      <c r="I109" s="2" t="s">
        <v>340</v>
      </c>
      <c r="J109" s="2">
        <v>1936521.0</v>
      </c>
      <c r="K109" s="2">
        <v>2062881.0</v>
      </c>
    </row>
    <row r="110">
      <c r="A110" s="2">
        <v>2019.0</v>
      </c>
      <c r="B110" s="1" t="s">
        <v>332</v>
      </c>
      <c r="C110" s="2" t="s">
        <v>63</v>
      </c>
      <c r="D110" s="2" t="s">
        <v>64</v>
      </c>
      <c r="E110" s="2"/>
      <c r="F110" s="2">
        <v>711067.0</v>
      </c>
      <c r="G110" s="2">
        <v>3096782.0</v>
      </c>
      <c r="H110" s="2">
        <v>54316.0</v>
      </c>
      <c r="I110" s="2" t="s">
        <v>343</v>
      </c>
      <c r="J110" s="2">
        <v>2266719.0</v>
      </c>
      <c r="K110" s="2">
        <v>1595446.0</v>
      </c>
    </row>
    <row r="111">
      <c r="A111" s="2">
        <v>2019.0</v>
      </c>
      <c r="B111" s="1" t="s">
        <v>332</v>
      </c>
      <c r="C111" s="2"/>
      <c r="D111" s="2" t="s">
        <v>68</v>
      </c>
      <c r="E111" s="2"/>
      <c r="F111" s="2">
        <v>481483.0</v>
      </c>
      <c r="G111" s="2">
        <v>2040489.0</v>
      </c>
      <c r="H111" s="2">
        <v>21353.0</v>
      </c>
      <c r="I111" s="2" t="s">
        <v>346</v>
      </c>
      <c r="J111" s="2">
        <v>1455795.0</v>
      </c>
      <c r="K111" s="2">
        <v>1087530.0</v>
      </c>
    </row>
    <row r="112">
      <c r="A112" s="2">
        <v>2019.0</v>
      </c>
      <c r="B112" s="1" t="s">
        <v>332</v>
      </c>
      <c r="C112" s="2"/>
      <c r="D112" s="2" t="s">
        <v>73</v>
      </c>
      <c r="E112" s="2"/>
      <c r="F112" s="2">
        <v>659313.0</v>
      </c>
      <c r="G112" s="2">
        <v>2785529.0</v>
      </c>
      <c r="H112" s="2">
        <v>27460.0</v>
      </c>
      <c r="I112" s="2" t="s">
        <v>349</v>
      </c>
      <c r="J112" s="2">
        <v>1806086.0</v>
      </c>
      <c r="K112" s="2">
        <v>1666216.0</v>
      </c>
    </row>
    <row r="113">
      <c r="A113" s="2">
        <v>2019.0</v>
      </c>
      <c r="B113" s="1" t="s">
        <v>332</v>
      </c>
      <c r="C113" s="2"/>
      <c r="D113" s="2" t="s">
        <v>77</v>
      </c>
      <c r="E113" s="2"/>
      <c r="F113" s="2">
        <v>160063.0</v>
      </c>
      <c r="G113" s="2">
        <v>59962.0</v>
      </c>
      <c r="H113" s="2">
        <v>4773.0</v>
      </c>
      <c r="I113" s="2" t="s">
        <v>351</v>
      </c>
      <c r="J113" s="2">
        <v>141600.0</v>
      </c>
      <c r="K113" s="2">
        <v>75267.0</v>
      </c>
    </row>
    <row r="114">
      <c r="A114" s="2">
        <v>2019.0</v>
      </c>
      <c r="B114" s="1" t="s">
        <v>332</v>
      </c>
      <c r="C114" s="2"/>
      <c r="D114" s="2" t="s">
        <v>84</v>
      </c>
      <c r="E114" s="2"/>
      <c r="F114" s="2">
        <v>486835.0</v>
      </c>
      <c r="G114" s="2">
        <v>1747815.0</v>
      </c>
      <c r="H114" s="2">
        <v>13619.0</v>
      </c>
      <c r="I114" s="2" t="s">
        <v>353</v>
      </c>
      <c r="J114" s="2">
        <v>1287224.0</v>
      </c>
      <c r="K114" s="2">
        <v>961045.0</v>
      </c>
    </row>
    <row r="115">
      <c r="A115" s="2">
        <v>2019.0</v>
      </c>
      <c r="B115" s="1" t="s">
        <v>332</v>
      </c>
      <c r="C115" s="2"/>
      <c r="D115" s="2" t="s">
        <v>89</v>
      </c>
      <c r="E115" s="2"/>
      <c r="F115" s="2" t="s">
        <v>250</v>
      </c>
      <c r="G115" s="2" t="s">
        <v>355</v>
      </c>
      <c r="H115" s="4">
        <v>14721.0</v>
      </c>
      <c r="I115" s="2" t="s">
        <v>356</v>
      </c>
      <c r="J115" s="2">
        <v>1478838.0</v>
      </c>
      <c r="K115" s="2" t="s">
        <v>357</v>
      </c>
    </row>
    <row r="116">
      <c r="A116" s="2">
        <v>2019.0</v>
      </c>
      <c r="B116" s="1" t="s">
        <v>332</v>
      </c>
      <c r="C116" s="2"/>
      <c r="D116" s="2" t="s">
        <v>101</v>
      </c>
      <c r="E116" s="2"/>
      <c r="F116" s="2">
        <v>355048.0</v>
      </c>
      <c r="G116" s="2">
        <v>1573912.0</v>
      </c>
      <c r="H116" s="2">
        <v>2670.0</v>
      </c>
      <c r="I116" s="2" t="s">
        <v>362</v>
      </c>
      <c r="J116" s="2">
        <v>771933.0</v>
      </c>
      <c r="K116" s="2">
        <v>1159697.0</v>
      </c>
    </row>
    <row r="117">
      <c r="A117" s="2">
        <v>2019.0</v>
      </c>
      <c r="B117" s="1" t="s">
        <v>332</v>
      </c>
      <c r="C117" s="2" t="s">
        <v>106</v>
      </c>
      <c r="D117" s="2" t="s">
        <v>107</v>
      </c>
      <c r="E117" s="2"/>
      <c r="F117" s="2">
        <v>725415.0</v>
      </c>
      <c r="G117" s="2">
        <v>1057620.0</v>
      </c>
      <c r="H117" s="2">
        <v>35831.0</v>
      </c>
      <c r="I117" s="2" t="s">
        <v>365</v>
      </c>
      <c r="J117" s="2">
        <v>1209824.0</v>
      </c>
      <c r="K117" s="2">
        <v>609042.0</v>
      </c>
    </row>
    <row r="118">
      <c r="A118" s="2">
        <v>2019.0</v>
      </c>
      <c r="B118" s="1" t="s">
        <v>332</v>
      </c>
      <c r="C118" s="2"/>
      <c r="D118" s="2" t="s">
        <v>111</v>
      </c>
      <c r="E118" s="2"/>
      <c r="F118" s="2">
        <v>2408801.0</v>
      </c>
      <c r="G118" s="2">
        <v>597160.0</v>
      </c>
      <c r="H118" s="2">
        <v>55681.0</v>
      </c>
      <c r="I118" s="2" t="s">
        <v>367</v>
      </c>
      <c r="J118" s="2">
        <v>2908800.0</v>
      </c>
      <c r="K118" s="2">
        <v>152842.0</v>
      </c>
    </row>
    <row r="119">
      <c r="A119" s="2">
        <v>2019.0</v>
      </c>
      <c r="B119" s="1" t="s">
        <v>332</v>
      </c>
      <c r="C119" s="2"/>
      <c r="D119" s="2" t="s">
        <v>116</v>
      </c>
      <c r="E119" s="2"/>
      <c r="F119" s="2">
        <v>126230.0</v>
      </c>
      <c r="G119" s="2">
        <v>2036105.0</v>
      </c>
      <c r="H119" s="2">
        <v>12152.0</v>
      </c>
      <c r="I119" s="2" t="s">
        <v>369</v>
      </c>
      <c r="J119" s="2">
        <v>1395027.0</v>
      </c>
      <c r="K119" s="2">
        <v>779460.0</v>
      </c>
    </row>
    <row r="120">
      <c r="A120" s="2">
        <v>2019.0</v>
      </c>
      <c r="B120" s="1" t="s">
        <v>332</v>
      </c>
      <c r="C120" s="2" t="s">
        <v>120</v>
      </c>
      <c r="D120" s="2" t="s">
        <v>121</v>
      </c>
      <c r="E120" s="2"/>
      <c r="F120" s="2">
        <v>1240056.0</v>
      </c>
      <c r="G120" s="2">
        <v>3016164.0</v>
      </c>
      <c r="H120" s="2">
        <v>37233.0</v>
      </c>
      <c r="I120" s="2">
        <v>4293453.0</v>
      </c>
      <c r="J120" s="2">
        <v>2660467.0</v>
      </c>
      <c r="K120" s="2">
        <v>1632986.0</v>
      </c>
    </row>
    <row r="121">
      <c r="A121" s="2">
        <v>2019.0</v>
      </c>
      <c r="B121" s="1" t="s">
        <v>332</v>
      </c>
      <c r="C121" s="2"/>
      <c r="D121" s="2" t="s">
        <v>120</v>
      </c>
      <c r="E121" s="2"/>
      <c r="F121" s="2">
        <v>1029331.0</v>
      </c>
      <c r="G121" s="2">
        <v>2541542.0</v>
      </c>
      <c r="H121" s="2">
        <v>25996.0</v>
      </c>
      <c r="I121" s="2">
        <v>3596869.0</v>
      </c>
      <c r="J121" s="2">
        <v>2158419.0</v>
      </c>
      <c r="K121" s="2">
        <v>1438450.0</v>
      </c>
    </row>
    <row r="122">
      <c r="A122" s="2">
        <v>2019.0</v>
      </c>
      <c r="B122" s="1" t="s">
        <v>332</v>
      </c>
      <c r="C122" s="2"/>
      <c r="D122" s="2" t="s">
        <v>266</v>
      </c>
      <c r="E122" s="2"/>
      <c r="F122" s="2">
        <v>423163.0</v>
      </c>
      <c r="G122" s="2">
        <v>3621958.0</v>
      </c>
      <c r="H122" s="2">
        <v>19290.0</v>
      </c>
      <c r="I122" s="2">
        <v>4064411.0</v>
      </c>
      <c r="J122" s="2">
        <v>2634360.0</v>
      </c>
      <c r="K122" s="2">
        <v>1430051.0</v>
      </c>
    </row>
    <row r="123">
      <c r="A123" s="2">
        <v>2019.0</v>
      </c>
      <c r="B123" s="1" t="s">
        <v>332</v>
      </c>
      <c r="C123" s="2"/>
      <c r="D123" s="2" t="s">
        <v>125</v>
      </c>
      <c r="E123" s="2"/>
      <c r="F123" s="2">
        <v>1262486.0</v>
      </c>
      <c r="G123" s="2">
        <v>1225700.0</v>
      </c>
      <c r="H123" s="2">
        <v>3476.0</v>
      </c>
      <c r="I123" s="2">
        <v>2491662.0</v>
      </c>
      <c r="J123" s="2">
        <v>2305124.0</v>
      </c>
      <c r="K123" s="2">
        <v>186538.0</v>
      </c>
    </row>
    <row r="124">
      <c r="A124" s="2">
        <v>2019.0</v>
      </c>
      <c r="B124" s="1" t="s">
        <v>332</v>
      </c>
      <c r="C124" s="2" t="s">
        <v>128</v>
      </c>
      <c r="D124" s="2" t="s">
        <v>269</v>
      </c>
      <c r="E124" s="2"/>
      <c r="F124" s="2">
        <v>501184.0</v>
      </c>
      <c r="G124" s="2">
        <v>2439790.0</v>
      </c>
      <c r="H124" s="2">
        <v>14599.0</v>
      </c>
      <c r="I124" s="2">
        <v>2955573.0</v>
      </c>
      <c r="J124" s="2">
        <v>1543986.0</v>
      </c>
      <c r="K124" s="2">
        <v>1411587.0</v>
      </c>
    </row>
    <row r="125">
      <c r="A125" s="2">
        <v>2019.0</v>
      </c>
      <c r="B125" s="1" t="s">
        <v>332</v>
      </c>
      <c r="C125" s="2"/>
      <c r="D125" s="2" t="s">
        <v>270</v>
      </c>
      <c r="E125" s="2"/>
      <c r="F125" s="2">
        <v>1367749.0</v>
      </c>
      <c r="G125" s="2">
        <v>1274007.0</v>
      </c>
      <c r="H125" s="2">
        <v>40598.0</v>
      </c>
      <c r="I125" s="2">
        <v>2682354.0</v>
      </c>
      <c r="J125" s="2">
        <v>1428104.0</v>
      </c>
      <c r="K125" s="2">
        <v>1254250.0</v>
      </c>
    </row>
    <row r="126">
      <c r="A126" s="2">
        <v>2019.0</v>
      </c>
      <c r="B126" s="1" t="s">
        <v>332</v>
      </c>
      <c r="C126" s="2"/>
      <c r="D126" s="2" t="s">
        <v>273</v>
      </c>
      <c r="E126" s="2"/>
      <c r="F126" s="2">
        <v>880625.0</v>
      </c>
      <c r="G126" s="2">
        <v>1662278.0</v>
      </c>
      <c r="H126" s="2">
        <v>26574.0</v>
      </c>
      <c r="I126" s="2">
        <v>2569477.0</v>
      </c>
      <c r="J126" s="2">
        <v>1456519.0</v>
      </c>
      <c r="K126" s="2">
        <v>4025996.0</v>
      </c>
    </row>
    <row r="127">
      <c r="A127" s="2">
        <v>2019.0</v>
      </c>
      <c r="B127" s="1" t="s">
        <v>332</v>
      </c>
      <c r="C127" s="2" t="s">
        <v>133</v>
      </c>
      <c r="D127" s="2" t="s">
        <v>135</v>
      </c>
      <c r="E127" s="2"/>
      <c r="F127" s="2">
        <v>521098.0</v>
      </c>
      <c r="G127" s="2">
        <v>2701695.0</v>
      </c>
      <c r="H127" s="2">
        <v>32989.0</v>
      </c>
      <c r="I127" s="2">
        <v>3255782.0</v>
      </c>
      <c r="J127" s="2">
        <v>1265290.0</v>
      </c>
      <c r="K127" s="2">
        <v>1990492.0</v>
      </c>
    </row>
    <row r="128">
      <c r="A128" s="2">
        <v>2019.0</v>
      </c>
      <c r="B128" s="1" t="s">
        <v>332</v>
      </c>
      <c r="C128" s="2"/>
      <c r="D128" s="2" t="s">
        <v>136</v>
      </c>
      <c r="E128" s="2"/>
      <c r="F128" s="2">
        <v>1600563.0</v>
      </c>
      <c r="G128" s="2">
        <v>2505544.0</v>
      </c>
      <c r="H128" s="2">
        <v>37361.0</v>
      </c>
      <c r="I128" s="2">
        <v>4143468.0</v>
      </c>
      <c r="J128" s="2">
        <v>1860857.0</v>
      </c>
      <c r="K128" s="2">
        <v>2282611.0</v>
      </c>
    </row>
    <row r="129">
      <c r="A129" s="2">
        <v>2019.0</v>
      </c>
      <c r="B129" s="1" t="s">
        <v>332</v>
      </c>
      <c r="C129" s="2"/>
      <c r="D129" s="2" t="s">
        <v>137</v>
      </c>
      <c r="E129" s="2"/>
      <c r="F129" s="2">
        <v>411599.0</v>
      </c>
      <c r="G129" s="2">
        <v>1701361.0</v>
      </c>
      <c r="H129" s="2">
        <v>1207.0</v>
      </c>
      <c r="I129" s="2">
        <v>2114167.0</v>
      </c>
      <c r="J129" s="2">
        <v>1031062.0</v>
      </c>
      <c r="K129" s="2">
        <v>1083105.0</v>
      </c>
    </row>
    <row r="130">
      <c r="A130" s="2">
        <v>2019.0</v>
      </c>
      <c r="B130" s="1" t="s">
        <v>332</v>
      </c>
      <c r="C130" s="2"/>
      <c r="D130" s="2" t="s">
        <v>277</v>
      </c>
      <c r="E130" s="2"/>
      <c r="F130" s="2">
        <v>1539348.0</v>
      </c>
      <c r="G130" s="2">
        <v>2701777.0</v>
      </c>
      <c r="H130" s="2">
        <v>41965.0</v>
      </c>
      <c r="I130" s="2">
        <v>4283090.0</v>
      </c>
      <c r="J130" s="2">
        <v>1818572.0</v>
      </c>
      <c r="K130" s="2">
        <v>2464518.0</v>
      </c>
    </row>
    <row r="131">
      <c r="A131" s="2">
        <v>2019.0</v>
      </c>
      <c r="B131" s="1" t="s">
        <v>332</v>
      </c>
      <c r="C131" s="2"/>
      <c r="D131" s="2" t="s">
        <v>141</v>
      </c>
      <c r="E131" s="2"/>
      <c r="F131" s="2">
        <v>476917.0</v>
      </c>
      <c r="G131" s="2">
        <v>952461.0</v>
      </c>
      <c r="H131" s="2">
        <v>12089.0</v>
      </c>
      <c r="I131" s="2">
        <v>1441467.0</v>
      </c>
      <c r="J131" s="2">
        <v>1308730.0</v>
      </c>
      <c r="K131" s="2">
        <v>132737.0</v>
      </c>
    </row>
    <row r="132">
      <c r="A132" s="2">
        <v>2019.0</v>
      </c>
      <c r="B132" s="1" t="s">
        <v>332</v>
      </c>
      <c r="C132" s="2"/>
      <c r="D132" s="2" t="s">
        <v>142</v>
      </c>
      <c r="E132" s="2"/>
      <c r="F132" s="2">
        <v>1162230.0</v>
      </c>
      <c r="G132" s="2">
        <v>2562530.0</v>
      </c>
      <c r="H132" s="2">
        <v>27295.0</v>
      </c>
      <c r="I132" s="2">
        <v>3752055.0</v>
      </c>
      <c r="J132" s="2">
        <v>1528411.0</v>
      </c>
      <c r="K132" s="2">
        <v>2223644.0</v>
      </c>
    </row>
    <row r="133">
      <c r="A133" s="2">
        <v>2019.0</v>
      </c>
      <c r="B133" s="1" t="s">
        <v>332</v>
      </c>
      <c r="C133" s="2" t="s">
        <v>143</v>
      </c>
      <c r="D133" s="2" t="s">
        <v>144</v>
      </c>
      <c r="E133" s="2"/>
      <c r="F133" s="2">
        <v>274931.0</v>
      </c>
      <c r="G133" s="2">
        <v>1995952.0</v>
      </c>
      <c r="H133" s="2">
        <v>4095.0</v>
      </c>
      <c r="I133" s="2">
        <v>2274978.0</v>
      </c>
      <c r="J133" s="2">
        <v>1049076.0</v>
      </c>
      <c r="K133" s="2">
        <v>1225902.0</v>
      </c>
    </row>
    <row r="134">
      <c r="A134" s="2">
        <v>2019.0</v>
      </c>
      <c r="B134" s="1" t="s">
        <v>332</v>
      </c>
      <c r="C134" s="2"/>
      <c r="D134" s="2" t="s">
        <v>146</v>
      </c>
      <c r="E134" s="2"/>
      <c r="F134" s="2">
        <v>1578649.0</v>
      </c>
      <c r="G134" s="2">
        <v>2281332.0</v>
      </c>
      <c r="H134" s="2">
        <v>24522.0</v>
      </c>
      <c r="I134" s="2">
        <v>3884503.0</v>
      </c>
      <c r="J134" s="2">
        <v>1978800.0</v>
      </c>
      <c r="K134" s="2">
        <v>1905703.0</v>
      </c>
    </row>
    <row r="135">
      <c r="A135" s="2">
        <v>2019.0</v>
      </c>
      <c r="B135" s="1" t="s">
        <v>332</v>
      </c>
      <c r="C135" s="2"/>
      <c r="D135" s="2" t="s">
        <v>285</v>
      </c>
      <c r="E135" s="2"/>
      <c r="F135" s="2">
        <v>769096.0</v>
      </c>
      <c r="G135" s="2">
        <v>1398713.0</v>
      </c>
      <c r="H135" s="2">
        <v>9266.0</v>
      </c>
      <c r="I135" s="2">
        <v>2177075.0</v>
      </c>
      <c r="J135" s="2">
        <v>1347561.0</v>
      </c>
      <c r="K135" s="2">
        <v>829514.0</v>
      </c>
    </row>
    <row r="136">
      <c r="A136" s="2">
        <v>2019.0</v>
      </c>
      <c r="B136" s="1" t="s">
        <v>332</v>
      </c>
      <c r="C136" s="2"/>
      <c r="D136" s="2" t="s">
        <v>151</v>
      </c>
      <c r="E136" s="2"/>
      <c r="F136" s="2">
        <v>855019.0</v>
      </c>
      <c r="G136" s="2">
        <v>3188271.0</v>
      </c>
      <c r="H136" s="2">
        <v>33119.0</v>
      </c>
      <c r="I136" s="2">
        <v>4076409.0</v>
      </c>
      <c r="J136" s="2">
        <v>2305175.0</v>
      </c>
      <c r="K136" s="2">
        <v>1771234.0</v>
      </c>
    </row>
    <row r="137">
      <c r="A137" s="2">
        <v>2019.0</v>
      </c>
      <c r="B137" s="1" t="s">
        <v>332</v>
      </c>
      <c r="C137" s="2"/>
      <c r="D137" s="2" t="s">
        <v>143</v>
      </c>
      <c r="E137" s="2"/>
      <c r="F137" s="2">
        <v>530301.0</v>
      </c>
      <c r="G137" s="2">
        <v>1993396.0</v>
      </c>
      <c r="H137" s="2">
        <v>19134.0</v>
      </c>
      <c r="I137" s="2">
        <v>2542831.0</v>
      </c>
      <c r="J137" s="2">
        <v>1839277.0</v>
      </c>
      <c r="K137" s="2">
        <v>703554.0</v>
      </c>
    </row>
    <row r="138">
      <c r="A138" s="2">
        <v>2019.0</v>
      </c>
      <c r="B138" s="1" t="s">
        <v>332</v>
      </c>
      <c r="C138" s="2"/>
      <c r="D138" s="2" t="s">
        <v>153</v>
      </c>
      <c r="E138" s="2"/>
      <c r="F138" s="2">
        <v>1351341.0</v>
      </c>
      <c r="G138" s="2">
        <v>2512018.0</v>
      </c>
      <c r="H138" s="2">
        <v>22417.0</v>
      </c>
      <c r="I138" s="2">
        <v>3885776.0</v>
      </c>
      <c r="J138" s="2">
        <v>2169595.0</v>
      </c>
      <c r="K138" s="2">
        <v>1716181.0</v>
      </c>
    </row>
    <row r="139">
      <c r="A139" s="2">
        <v>2019.0</v>
      </c>
      <c r="B139" s="1" t="s">
        <v>332</v>
      </c>
      <c r="C139" s="2" t="s">
        <v>157</v>
      </c>
      <c r="D139" s="2" t="s">
        <v>289</v>
      </c>
      <c r="E139" s="2"/>
      <c r="F139" s="2">
        <v>778985.0</v>
      </c>
      <c r="G139" s="2">
        <v>2342906.0</v>
      </c>
      <c r="H139" s="2">
        <v>27151.0</v>
      </c>
      <c r="I139" s="2">
        <v>3149042.0</v>
      </c>
      <c r="J139" s="2">
        <v>1839212.0</v>
      </c>
      <c r="K139" s="2">
        <v>1309830.0</v>
      </c>
    </row>
    <row r="140">
      <c r="A140" s="2">
        <v>2019.0</v>
      </c>
      <c r="B140" s="1" t="s">
        <v>332</v>
      </c>
      <c r="C140" s="2"/>
      <c r="D140" s="2" t="s">
        <v>159</v>
      </c>
      <c r="E140" s="2"/>
      <c r="F140" s="2">
        <v>214685.0</v>
      </c>
      <c r="G140" s="2">
        <v>3183881.0</v>
      </c>
      <c r="H140" s="2">
        <v>20859.0</v>
      </c>
      <c r="I140" s="2">
        <v>3419425.0</v>
      </c>
      <c r="J140" s="2">
        <v>1027426.0</v>
      </c>
      <c r="K140" s="2">
        <v>2391999.0</v>
      </c>
    </row>
    <row r="141">
      <c r="A141" s="2">
        <v>2019.0</v>
      </c>
      <c r="B141" s="1" t="s">
        <v>332</v>
      </c>
      <c r="C141" s="2"/>
      <c r="D141" s="2" t="s">
        <v>161</v>
      </c>
      <c r="E141" s="2"/>
      <c r="F141" s="2">
        <v>430532.0</v>
      </c>
      <c r="G141" s="2">
        <v>1573827.0</v>
      </c>
      <c r="H141" s="2">
        <v>11592.0</v>
      </c>
      <c r="I141" s="2">
        <v>2015951.0</v>
      </c>
      <c r="J141" s="2">
        <v>612341.0</v>
      </c>
      <c r="K141" s="2">
        <v>1403610.0</v>
      </c>
    </row>
    <row r="142">
      <c r="A142" s="2">
        <v>2019.0</v>
      </c>
      <c r="B142" s="1" t="s">
        <v>332</v>
      </c>
      <c r="C142" s="2"/>
      <c r="D142" s="2" t="s">
        <v>163</v>
      </c>
      <c r="E142" s="2"/>
      <c r="F142" s="2">
        <v>1181612.0</v>
      </c>
      <c r="G142" s="2">
        <v>2688027.0</v>
      </c>
      <c r="H142" s="2">
        <v>21587.0</v>
      </c>
      <c r="I142" s="2">
        <v>3891226.0</v>
      </c>
      <c r="J142" s="2">
        <v>1504610.0</v>
      </c>
      <c r="K142" s="2">
        <v>2386616.0</v>
      </c>
    </row>
    <row r="143">
      <c r="A143" s="2">
        <v>2019.0</v>
      </c>
      <c r="B143" s="1" t="s">
        <v>332</v>
      </c>
      <c r="C143" s="2" t="s">
        <v>165</v>
      </c>
      <c r="D143" s="2" t="s">
        <v>400</v>
      </c>
      <c r="E143" s="2"/>
      <c r="F143" s="2">
        <v>596375.0</v>
      </c>
      <c r="G143" s="2">
        <v>2191298.0</v>
      </c>
      <c r="H143" s="2">
        <v>18356.0</v>
      </c>
      <c r="I143" s="2">
        <v>2806029.0</v>
      </c>
      <c r="J143" s="2">
        <v>872970.0</v>
      </c>
      <c r="K143" s="2">
        <v>1933059.0</v>
      </c>
    </row>
    <row r="144">
      <c r="A144" s="2">
        <v>2019.0</v>
      </c>
      <c r="B144" s="1" t="s">
        <v>332</v>
      </c>
      <c r="C144" s="2"/>
      <c r="D144" s="2" t="s">
        <v>168</v>
      </c>
      <c r="E144" s="2"/>
      <c r="F144" s="2">
        <v>297192.0</v>
      </c>
      <c r="G144" s="2">
        <v>2920061.0</v>
      </c>
      <c r="H144" s="2">
        <v>10330.0</v>
      </c>
      <c r="I144" s="2">
        <v>3227583.0</v>
      </c>
      <c r="J144" s="2">
        <v>1013343.0</v>
      </c>
      <c r="K144" s="2">
        <v>2214240.0</v>
      </c>
    </row>
    <row r="145">
      <c r="A145" s="2">
        <v>2019.0</v>
      </c>
      <c r="B145" s="1" t="s">
        <v>332</v>
      </c>
      <c r="C145" s="2"/>
      <c r="D145" s="2" t="s">
        <v>171</v>
      </c>
      <c r="E145" s="2"/>
      <c r="F145" s="2">
        <v>1208972.0</v>
      </c>
      <c r="G145" s="2">
        <v>2915485.0</v>
      </c>
      <c r="H145" s="2">
        <v>37953.0</v>
      </c>
      <c r="I145" s="2">
        <v>4162410.0</v>
      </c>
      <c r="J145" s="2">
        <v>2239426.0</v>
      </c>
      <c r="K145" s="2">
        <v>1922984.0</v>
      </c>
    </row>
    <row r="146">
      <c r="A146" s="2">
        <v>2019.0</v>
      </c>
      <c r="B146" s="1" t="s">
        <v>332</v>
      </c>
      <c r="C146" s="2"/>
      <c r="D146" s="2" t="s">
        <v>405</v>
      </c>
      <c r="E146" s="2"/>
      <c r="F146" s="2">
        <v>2798765.0</v>
      </c>
      <c r="G146" s="2">
        <v>2567391.0</v>
      </c>
      <c r="H146" s="2">
        <v>100116.0</v>
      </c>
      <c r="I146" s="2">
        <v>5466272.0</v>
      </c>
      <c r="J146" s="2">
        <v>2019083.0</v>
      </c>
      <c r="K146" s="2">
        <v>3447189.0</v>
      </c>
    </row>
    <row r="147">
      <c r="A147" s="2">
        <v>2019.0</v>
      </c>
      <c r="B147" s="1" t="s">
        <v>332</v>
      </c>
      <c r="C147" s="2" t="s">
        <v>176</v>
      </c>
      <c r="D147" s="2" t="s">
        <v>177</v>
      </c>
      <c r="E147" s="2"/>
      <c r="F147" s="2">
        <v>652214.0</v>
      </c>
      <c r="G147" s="2">
        <v>1465415.0</v>
      </c>
      <c r="H147" s="2">
        <v>11587.0</v>
      </c>
      <c r="I147" s="2">
        <v>2129216.0</v>
      </c>
      <c r="J147" s="2">
        <v>1283953.0</v>
      </c>
      <c r="K147" s="2">
        <v>845263.0</v>
      </c>
    </row>
    <row r="148">
      <c r="A148" s="2">
        <v>2019.0</v>
      </c>
      <c r="B148" s="1" t="s">
        <v>332</v>
      </c>
      <c r="C148" s="2"/>
      <c r="D148" s="2" t="s">
        <v>176</v>
      </c>
      <c r="E148" s="2"/>
      <c r="F148" s="2">
        <v>501884.0</v>
      </c>
      <c r="G148" s="2">
        <v>1863764.0</v>
      </c>
      <c r="H148" s="2">
        <v>7954.0</v>
      </c>
      <c r="I148" s="2">
        <v>2373602.0</v>
      </c>
      <c r="J148" s="2">
        <v>1022679.0</v>
      </c>
      <c r="K148" s="2">
        <v>1350923.0</v>
      </c>
    </row>
    <row r="149">
      <c r="A149" s="2">
        <v>2019.0</v>
      </c>
      <c r="B149" s="1" t="s">
        <v>332</v>
      </c>
      <c r="C149" s="2"/>
      <c r="D149" s="2" t="s">
        <v>184</v>
      </c>
      <c r="E149" s="2"/>
      <c r="F149" s="2">
        <v>57247.0</v>
      </c>
      <c r="G149" s="2">
        <v>1139976.0</v>
      </c>
      <c r="H149" s="2">
        <v>1409.0</v>
      </c>
      <c r="I149" s="2">
        <v>1198632.0</v>
      </c>
      <c r="J149" s="2">
        <v>854327.0</v>
      </c>
      <c r="K149" s="2">
        <v>344305.0</v>
      </c>
    </row>
    <row r="150">
      <c r="A150" s="2">
        <v>2019.0</v>
      </c>
      <c r="B150" s="1" t="s">
        <v>332</v>
      </c>
      <c r="C150" s="2"/>
      <c r="D150" s="2" t="s">
        <v>187</v>
      </c>
      <c r="E150" s="2"/>
      <c r="F150" s="2">
        <v>775080.0</v>
      </c>
      <c r="G150" s="2">
        <v>2058100.0</v>
      </c>
      <c r="H150" s="2">
        <v>19371.0</v>
      </c>
      <c r="I150" s="2">
        <v>2852551.0</v>
      </c>
      <c r="J150" s="2">
        <v>1755290.0</v>
      </c>
      <c r="K150" s="2">
        <v>1097261.0</v>
      </c>
    </row>
    <row r="151">
      <c r="A151" s="2">
        <v>2019.0</v>
      </c>
      <c r="B151" s="1" t="s">
        <v>332</v>
      </c>
      <c r="C151" s="2"/>
      <c r="D151" s="2" t="s">
        <v>193</v>
      </c>
      <c r="E151" s="2"/>
      <c r="F151" s="2">
        <v>1057542.0</v>
      </c>
      <c r="G151" s="2">
        <v>2191974.0</v>
      </c>
      <c r="H151" s="2">
        <v>15208.0</v>
      </c>
      <c r="I151" s="2">
        <v>3264724.0</v>
      </c>
      <c r="J151" s="2">
        <v>1536197.0</v>
      </c>
      <c r="K151" s="2">
        <v>1728527.0</v>
      </c>
    </row>
    <row r="152">
      <c r="A152" s="2">
        <v>2019.0</v>
      </c>
      <c r="B152" s="1" t="s">
        <v>332</v>
      </c>
      <c r="C152" s="2" t="s">
        <v>308</v>
      </c>
      <c r="D152" s="2" t="s">
        <v>309</v>
      </c>
      <c r="E152" s="2"/>
      <c r="F152" s="2">
        <v>404387.0</v>
      </c>
      <c r="G152" s="2">
        <v>1032105.0</v>
      </c>
      <c r="H152" s="2">
        <v>14053.0</v>
      </c>
      <c r="I152" s="2">
        <v>1450545.0</v>
      </c>
      <c r="J152" s="2">
        <v>1256203.0</v>
      </c>
      <c r="K152" s="2">
        <v>194342.0</v>
      </c>
    </row>
    <row r="153">
      <c r="A153" s="2">
        <v>2019.0</v>
      </c>
      <c r="B153" s="1" t="s">
        <v>332</v>
      </c>
      <c r="C153" s="2"/>
      <c r="D153" s="2" t="s">
        <v>312</v>
      </c>
      <c r="E153" s="2"/>
      <c r="F153" s="2">
        <v>141400.0</v>
      </c>
      <c r="G153" s="2">
        <v>1181727.0</v>
      </c>
      <c r="H153" s="2">
        <v>7118.0</v>
      </c>
      <c r="I153" s="2">
        <v>1330245.0</v>
      </c>
      <c r="J153" s="2">
        <v>295418.0</v>
      </c>
      <c r="K153" s="2">
        <v>1034827.0</v>
      </c>
    </row>
    <row r="154">
      <c r="A154" s="2">
        <v>2019.0</v>
      </c>
      <c r="B154" s="1" t="s">
        <v>332</v>
      </c>
      <c r="C154" s="2"/>
      <c r="D154" s="2" t="s">
        <v>408</v>
      </c>
      <c r="E154" s="2"/>
      <c r="F154" s="2">
        <v>562864.0</v>
      </c>
      <c r="G154" s="2">
        <v>1916284.0</v>
      </c>
      <c r="H154" s="2">
        <v>20927.0</v>
      </c>
      <c r="I154" s="2">
        <v>2500075.0</v>
      </c>
      <c r="J154" s="2">
        <v>525278.0</v>
      </c>
      <c r="K154" s="2">
        <v>1974797.0</v>
      </c>
    </row>
    <row r="155">
      <c r="A155" s="2">
        <v>2019.0</v>
      </c>
      <c r="B155" s="1" t="s">
        <v>332</v>
      </c>
      <c r="C155" s="2"/>
      <c r="D155" s="2" t="s">
        <v>411</v>
      </c>
      <c r="E155" s="2"/>
      <c r="F155" s="2">
        <v>404387.0</v>
      </c>
      <c r="G155" s="2">
        <v>1032105.0</v>
      </c>
      <c r="H155" s="2">
        <v>14053.0</v>
      </c>
      <c r="I155" s="2">
        <v>1450545.0</v>
      </c>
      <c r="J155" s="2">
        <v>1256203.0</v>
      </c>
      <c r="K155" s="2">
        <v>194342.0</v>
      </c>
    </row>
    <row r="156">
      <c r="A156" s="2">
        <v>2019.0</v>
      </c>
      <c r="B156" s="1" t="s">
        <v>332</v>
      </c>
      <c r="C156" s="2"/>
      <c r="D156" s="2" t="s">
        <v>412</v>
      </c>
      <c r="E156" s="2"/>
      <c r="F156" s="2">
        <v>701327.0</v>
      </c>
      <c r="G156" s="2">
        <v>2438825.0</v>
      </c>
      <c r="H156" s="2">
        <v>20605.0</v>
      </c>
      <c r="I156" s="2">
        <v>3160757.0</v>
      </c>
      <c r="J156" s="2">
        <v>1200428.0</v>
      </c>
      <c r="K156" s="2">
        <v>1960329.0</v>
      </c>
    </row>
    <row r="157">
      <c r="A157" s="2">
        <v>2019.0</v>
      </c>
      <c r="B157" s="1" t="s">
        <v>332</v>
      </c>
      <c r="C157" s="2"/>
      <c r="D157" s="2" t="s">
        <v>324</v>
      </c>
      <c r="E157" s="2"/>
      <c r="F157" s="2">
        <v>790603.0</v>
      </c>
      <c r="G157" s="2">
        <v>2291499.0</v>
      </c>
      <c r="H157" s="2">
        <v>38958.0</v>
      </c>
      <c r="I157" s="2">
        <v>3121060.0</v>
      </c>
      <c r="J157" s="2">
        <v>1111822.0</v>
      </c>
      <c r="K157" s="2">
        <v>2009238.0</v>
      </c>
    </row>
    <row r="158">
      <c r="A158" s="2">
        <v>2019.0</v>
      </c>
      <c r="B158" s="1" t="s">
        <v>332</v>
      </c>
      <c r="C158" s="2"/>
      <c r="D158" s="2" t="s">
        <v>326</v>
      </c>
      <c r="E158" s="2"/>
      <c r="F158" s="2">
        <v>787657.0</v>
      </c>
      <c r="G158" s="2">
        <v>2044403.0</v>
      </c>
      <c r="H158" s="2">
        <v>14571.0</v>
      </c>
      <c r="I158" s="2">
        <v>2846631.0</v>
      </c>
      <c r="J158" s="2">
        <v>971745.0</v>
      </c>
      <c r="K158" s="2">
        <v>1874886.0</v>
      </c>
    </row>
    <row r="159">
      <c r="A159" s="2">
        <v>2019.0</v>
      </c>
      <c r="B159" s="1" t="s">
        <v>332</v>
      </c>
      <c r="C159" s="2" t="s">
        <v>198</v>
      </c>
      <c r="D159" s="2" t="s">
        <v>199</v>
      </c>
      <c r="E159" s="2"/>
      <c r="F159" s="2">
        <v>307399.0</v>
      </c>
      <c r="G159" s="2">
        <v>781469.0</v>
      </c>
      <c r="I159" s="2">
        <v>1088868.0</v>
      </c>
      <c r="J159" s="2">
        <v>778294.0</v>
      </c>
      <c r="K159" s="2">
        <v>310574.0</v>
      </c>
    </row>
    <row r="160">
      <c r="A160" s="2">
        <v>2019.0</v>
      </c>
      <c r="B160" s="1" t="s">
        <v>332</v>
      </c>
      <c r="C160" s="2"/>
      <c r="D160" s="2" t="s">
        <v>202</v>
      </c>
      <c r="E160" s="2"/>
      <c r="F160" s="2">
        <v>1044787.0</v>
      </c>
      <c r="G160" s="2">
        <v>1878627.0</v>
      </c>
      <c r="I160" s="2">
        <v>2923414.0</v>
      </c>
      <c r="J160" s="2">
        <v>2099189.0</v>
      </c>
      <c r="K160" s="2">
        <v>824225.0</v>
      </c>
    </row>
    <row r="161">
      <c r="A161" s="2">
        <v>2019.0</v>
      </c>
      <c r="B161" s="1" t="s">
        <v>332</v>
      </c>
      <c r="C161" s="2"/>
      <c r="D161" s="2" t="s">
        <v>208</v>
      </c>
      <c r="E161" s="2"/>
      <c r="F161" s="2">
        <v>1808557.0</v>
      </c>
      <c r="G161" s="2">
        <v>1680347.0</v>
      </c>
      <c r="I161" s="2">
        <v>3488904.0</v>
      </c>
      <c r="J161" s="2">
        <v>2129314.0</v>
      </c>
      <c r="K161" s="2">
        <v>1359590.0</v>
      </c>
    </row>
    <row r="162">
      <c r="A162" s="2">
        <v>2019.0</v>
      </c>
      <c r="B162" s="1" t="s">
        <v>26</v>
      </c>
      <c r="C162" s="2" t="s">
        <v>28</v>
      </c>
      <c r="D162" s="2" t="s">
        <v>36</v>
      </c>
      <c r="E162" s="1" t="s">
        <v>420</v>
      </c>
      <c r="F162" s="2">
        <v>3378953.0</v>
      </c>
      <c r="G162" s="2">
        <v>1.0848053E7</v>
      </c>
      <c r="H162" s="2">
        <v>81970.0</v>
      </c>
      <c r="I162" s="2">
        <v>1.4308976E7</v>
      </c>
      <c r="J162" s="2">
        <v>1.3491738E7</v>
      </c>
      <c r="K162" s="2">
        <v>817238.0</v>
      </c>
    </row>
    <row r="163">
      <c r="A163" s="2">
        <v>2019.0</v>
      </c>
      <c r="B163" s="1" t="s">
        <v>26</v>
      </c>
      <c r="C163" s="2"/>
      <c r="D163" s="2" t="s">
        <v>57</v>
      </c>
      <c r="E163" s="1" t="s">
        <v>420</v>
      </c>
      <c r="F163" s="2">
        <v>745148.0</v>
      </c>
      <c r="G163" s="2">
        <v>2.4655622E7</v>
      </c>
      <c r="H163" s="2">
        <v>152628.0</v>
      </c>
      <c r="I163" s="2">
        <v>2.5553398E7</v>
      </c>
      <c r="J163" s="2">
        <v>2.3692402E7</v>
      </c>
      <c r="K163" s="2">
        <v>1860996.0</v>
      </c>
    </row>
    <row r="164">
      <c r="A164" s="2">
        <v>2019.0</v>
      </c>
      <c r="B164" s="1" t="s">
        <v>26</v>
      </c>
      <c r="C164" s="2"/>
      <c r="D164" s="2" t="s">
        <v>28</v>
      </c>
      <c r="E164" s="1" t="s">
        <v>420</v>
      </c>
      <c r="F164" s="2">
        <v>4278589.0</v>
      </c>
      <c r="G164" s="2">
        <v>1.5192662E7</v>
      </c>
      <c r="H164" s="2">
        <v>217269.0</v>
      </c>
      <c r="I164" s="2">
        <v>1.968852E7</v>
      </c>
      <c r="J164" s="2">
        <v>1.4904425E7</v>
      </c>
      <c r="K164" s="2">
        <v>4784095.0</v>
      </c>
    </row>
    <row r="165">
      <c r="A165" s="2">
        <v>2019.0</v>
      </c>
      <c r="B165" s="1" t="s">
        <v>26</v>
      </c>
      <c r="C165" s="2" t="s">
        <v>63</v>
      </c>
      <c r="D165" s="2" t="s">
        <v>77</v>
      </c>
      <c r="E165" s="1" t="s">
        <v>420</v>
      </c>
      <c r="F165" s="2">
        <v>1980.0</v>
      </c>
      <c r="G165" s="2">
        <v>1.884E7</v>
      </c>
      <c r="H165" s="2">
        <v>38257.0</v>
      </c>
      <c r="I165" s="2">
        <v>1.8880237E7</v>
      </c>
      <c r="J165" s="2">
        <v>1.8836559E7</v>
      </c>
      <c r="K165" s="2">
        <v>43678.0</v>
      </c>
    </row>
    <row r="166">
      <c r="A166" s="2">
        <v>2019.0</v>
      </c>
      <c r="B166" s="1" t="s">
        <v>26</v>
      </c>
      <c r="C166" s="2"/>
      <c r="D166" s="2" t="s">
        <v>426</v>
      </c>
      <c r="E166" s="1" t="s">
        <v>420</v>
      </c>
      <c r="F166" s="2">
        <v>6923.0</v>
      </c>
      <c r="G166" s="2">
        <v>3.1781146E7</v>
      </c>
      <c r="H166" s="2">
        <v>77902.0</v>
      </c>
      <c r="I166" s="2">
        <v>3.1865971E7</v>
      </c>
      <c r="J166" s="2">
        <v>3.1737974E7</v>
      </c>
      <c r="K166" s="2">
        <v>127997.0</v>
      </c>
    </row>
    <row r="167">
      <c r="A167" s="2">
        <v>2019.0</v>
      </c>
      <c r="B167" s="1" t="s">
        <v>26</v>
      </c>
      <c r="C167" s="2"/>
      <c r="D167" s="2" t="s">
        <v>73</v>
      </c>
      <c r="E167" s="1" t="s">
        <v>420</v>
      </c>
      <c r="F167" s="2">
        <v>1319422.0</v>
      </c>
      <c r="G167" s="2">
        <v>5220498.0</v>
      </c>
      <c r="H167" s="2">
        <v>50318.0</v>
      </c>
      <c r="I167" s="2">
        <v>6590238.0</v>
      </c>
      <c r="J167" s="2">
        <v>6463703.0</v>
      </c>
      <c r="K167" s="2">
        <v>126535.0</v>
      </c>
    </row>
    <row r="168">
      <c r="A168" s="2">
        <v>2019.0</v>
      </c>
      <c r="B168" s="1" t="s">
        <v>26</v>
      </c>
      <c r="C168" s="2"/>
      <c r="D168" s="2" t="s">
        <v>427</v>
      </c>
      <c r="E168" s="1" t="s">
        <v>420</v>
      </c>
      <c r="F168" s="2">
        <v>1061237.0</v>
      </c>
      <c r="G168" s="2">
        <v>1.251488E7</v>
      </c>
      <c r="H168" s="2">
        <v>51584.0</v>
      </c>
      <c r="I168" s="2">
        <v>1.3627701E7</v>
      </c>
      <c r="J168" s="2">
        <v>1.2617721E7</v>
      </c>
      <c r="K168" s="2">
        <v>1009980.0</v>
      </c>
    </row>
    <row r="169">
      <c r="A169" s="2">
        <v>2019.0</v>
      </c>
      <c r="B169" s="1" t="s">
        <v>26</v>
      </c>
      <c r="C169" s="2"/>
      <c r="D169" s="2" t="s">
        <v>428</v>
      </c>
      <c r="E169" s="1" t="s">
        <v>420</v>
      </c>
      <c r="F169" s="2">
        <v>363318.0</v>
      </c>
      <c r="G169" s="2">
        <v>2.3992897E7</v>
      </c>
      <c r="H169" s="2">
        <v>67273.0</v>
      </c>
      <c r="I169" s="2">
        <v>2.4423488E7</v>
      </c>
      <c r="J169" s="2">
        <v>2.3638033E7</v>
      </c>
      <c r="K169" s="2">
        <v>785455.0</v>
      </c>
    </row>
    <row r="170">
      <c r="A170" s="2">
        <v>2019.0</v>
      </c>
      <c r="B170" s="1" t="s">
        <v>26</v>
      </c>
      <c r="C170" s="2"/>
      <c r="D170" s="2" t="s">
        <v>68</v>
      </c>
      <c r="E170" s="1" t="s">
        <v>420</v>
      </c>
      <c r="F170" s="2">
        <v>1118339.0</v>
      </c>
      <c r="G170" s="2">
        <v>7821293.0</v>
      </c>
      <c r="H170" s="2">
        <v>51120.0</v>
      </c>
      <c r="I170" s="2">
        <v>8990752.0</v>
      </c>
      <c r="J170" s="2">
        <v>8478699.0</v>
      </c>
      <c r="K170" s="2">
        <v>512053.0</v>
      </c>
    </row>
    <row r="171">
      <c r="A171" s="2">
        <v>2019.0</v>
      </c>
      <c r="B171" s="1" t="s">
        <v>26</v>
      </c>
      <c r="C171" s="2"/>
      <c r="D171" s="2" t="s">
        <v>84</v>
      </c>
      <c r="E171" s="1" t="s">
        <v>420</v>
      </c>
      <c r="F171" s="2">
        <v>323589.0</v>
      </c>
      <c r="G171" s="2">
        <v>1.3135177E7</v>
      </c>
      <c r="H171" s="2">
        <v>86596.0</v>
      </c>
      <c r="I171" s="2">
        <v>1.3545362E7</v>
      </c>
      <c r="J171" s="2">
        <v>1.3484406E7</v>
      </c>
      <c r="K171" s="2">
        <v>60956.0</v>
      </c>
    </row>
    <row r="172">
      <c r="A172" s="2">
        <v>2019.0</v>
      </c>
      <c r="B172" s="1" t="s">
        <v>26</v>
      </c>
      <c r="C172" s="2"/>
      <c r="D172" s="2" t="s">
        <v>437</v>
      </c>
      <c r="E172" s="1" t="s">
        <v>420</v>
      </c>
      <c r="F172" s="2">
        <v>229092.0</v>
      </c>
      <c r="G172" s="2">
        <v>8.6039398E7</v>
      </c>
      <c r="H172" s="2">
        <v>204270.0</v>
      </c>
      <c r="I172" s="2">
        <v>8.647276E7</v>
      </c>
      <c r="J172" s="2">
        <v>8.369218E7</v>
      </c>
      <c r="K172" s="2">
        <v>2780580.0</v>
      </c>
    </row>
    <row r="173">
      <c r="A173" s="2">
        <v>2019.0</v>
      </c>
      <c r="B173" s="1" t="s">
        <v>26</v>
      </c>
      <c r="C173" s="2" t="s">
        <v>133</v>
      </c>
      <c r="D173" s="2" t="s">
        <v>135</v>
      </c>
      <c r="E173" s="1" t="s">
        <v>420</v>
      </c>
      <c r="F173" s="2">
        <v>2572796.0</v>
      </c>
      <c r="G173" s="2">
        <v>1.878727E7</v>
      </c>
      <c r="H173" s="2">
        <v>123676.0</v>
      </c>
      <c r="I173" s="2">
        <v>2.1483742E7</v>
      </c>
      <c r="J173" s="2">
        <v>1.7981706E7</v>
      </c>
      <c r="K173" s="2">
        <v>3502036.0</v>
      </c>
    </row>
    <row r="174">
      <c r="A174" s="2">
        <v>2019.0</v>
      </c>
      <c r="B174" s="1" t="s">
        <v>26</v>
      </c>
      <c r="C174" s="2"/>
      <c r="D174" s="2" t="s">
        <v>136</v>
      </c>
      <c r="E174" s="1" t="s">
        <v>420</v>
      </c>
      <c r="F174" s="2">
        <v>467369.0</v>
      </c>
      <c r="G174" s="2">
        <v>1.0168857E7</v>
      </c>
      <c r="H174" s="2">
        <v>72884.0</v>
      </c>
      <c r="I174" s="2">
        <v>1.070911E7</v>
      </c>
      <c r="J174" s="2">
        <v>7269027.0</v>
      </c>
      <c r="K174" s="2">
        <v>3440083.0</v>
      </c>
    </row>
    <row r="175">
      <c r="A175" s="2">
        <v>2019.0</v>
      </c>
      <c r="B175" s="1" t="s">
        <v>26</v>
      </c>
      <c r="C175" s="2"/>
      <c r="D175" s="2" t="s">
        <v>137</v>
      </c>
      <c r="E175" s="1" t="s">
        <v>420</v>
      </c>
      <c r="F175" s="2">
        <v>2073923.0</v>
      </c>
      <c r="G175" s="2">
        <v>9658949.0</v>
      </c>
      <c r="H175" s="2">
        <v>73513.0</v>
      </c>
      <c r="I175" s="2">
        <v>1.1806385E7</v>
      </c>
      <c r="J175" s="2">
        <v>9006121.0</v>
      </c>
      <c r="K175" s="2">
        <v>2800264.0</v>
      </c>
    </row>
    <row r="176">
      <c r="A176" s="2">
        <v>2019.0</v>
      </c>
      <c r="B176" s="1" t="s">
        <v>26</v>
      </c>
      <c r="C176" s="2"/>
      <c r="D176" s="2" t="s">
        <v>277</v>
      </c>
      <c r="E176" s="1" t="s">
        <v>420</v>
      </c>
      <c r="F176" s="2">
        <v>272758.0</v>
      </c>
      <c r="G176" s="2">
        <v>2.2390897E7</v>
      </c>
      <c r="H176" s="2">
        <v>75391.0</v>
      </c>
      <c r="I176" s="2">
        <v>2.2739046E7</v>
      </c>
      <c r="J176" s="2">
        <v>2.0094292E7</v>
      </c>
      <c r="K176" s="2">
        <v>2644754.0</v>
      </c>
    </row>
    <row r="177">
      <c r="A177" s="2">
        <v>2019.0</v>
      </c>
      <c r="B177" s="1" t="s">
        <v>26</v>
      </c>
      <c r="C177" s="2" t="s">
        <v>143</v>
      </c>
      <c r="D177" s="2" t="s">
        <v>144</v>
      </c>
      <c r="E177" s="1" t="s">
        <v>420</v>
      </c>
      <c r="F177" s="2">
        <v>88814.0</v>
      </c>
      <c r="G177" s="2">
        <v>2.3075413E7</v>
      </c>
      <c r="H177" s="2">
        <v>60640.0</v>
      </c>
      <c r="I177" s="2">
        <v>2.3224867E7</v>
      </c>
      <c r="J177" s="2">
        <v>2.1900621E7</v>
      </c>
      <c r="K177" s="2">
        <v>1324246.0</v>
      </c>
    </row>
    <row r="178">
      <c r="A178" s="2">
        <v>2019.0</v>
      </c>
      <c r="B178" s="1" t="s">
        <v>26</v>
      </c>
      <c r="C178" s="2"/>
      <c r="D178" s="2" t="s">
        <v>146</v>
      </c>
      <c r="E178" s="1" t="s">
        <v>420</v>
      </c>
      <c r="F178" s="2">
        <v>3332001.0</v>
      </c>
      <c r="G178" s="2">
        <v>8400000.0</v>
      </c>
      <c r="H178" s="2">
        <v>161600.0</v>
      </c>
      <c r="I178" s="2">
        <v>1.1893601E7</v>
      </c>
      <c r="J178" s="2">
        <v>7307456.0</v>
      </c>
      <c r="K178" s="2">
        <v>4586145.0</v>
      </c>
    </row>
    <row r="179">
      <c r="A179" s="2">
        <v>2019.0</v>
      </c>
      <c r="B179" s="1" t="s">
        <v>26</v>
      </c>
      <c r="C179" s="2"/>
      <c r="D179" s="2" t="s">
        <v>285</v>
      </c>
      <c r="E179" s="1" t="s">
        <v>420</v>
      </c>
      <c r="F179" s="2">
        <v>2512946.0</v>
      </c>
      <c r="G179" s="2">
        <v>1.56E7</v>
      </c>
      <c r="H179" s="2">
        <v>117493.0</v>
      </c>
      <c r="I179" s="2">
        <v>1.8230439E7</v>
      </c>
      <c r="J179" s="2">
        <v>1.5736078E7</v>
      </c>
      <c r="K179" s="2">
        <v>2494361.0</v>
      </c>
    </row>
    <row r="180">
      <c r="A180" s="2">
        <v>2019.0</v>
      </c>
      <c r="B180" s="1" t="s">
        <v>26</v>
      </c>
      <c r="C180" s="2"/>
      <c r="D180" s="2" t="s">
        <v>151</v>
      </c>
      <c r="E180" s="1" t="s">
        <v>420</v>
      </c>
      <c r="F180" s="2">
        <v>3549702.0</v>
      </c>
      <c r="G180" s="2">
        <v>2.04E7</v>
      </c>
      <c r="H180" s="2">
        <v>182486.0</v>
      </c>
      <c r="I180" s="2">
        <v>2.4132188E7</v>
      </c>
      <c r="J180" s="2">
        <v>1.9733457E7</v>
      </c>
      <c r="K180" s="2">
        <v>4398731.0</v>
      </c>
    </row>
    <row r="181">
      <c r="A181" s="2">
        <v>2019.0</v>
      </c>
      <c r="B181" s="1" t="s">
        <v>26</v>
      </c>
      <c r="C181" s="2"/>
      <c r="D181" s="2" t="s">
        <v>143</v>
      </c>
      <c r="E181" s="1" t="s">
        <v>420</v>
      </c>
      <c r="F181" s="2">
        <v>1958701.0</v>
      </c>
      <c r="G181" s="2">
        <v>9600000.0</v>
      </c>
      <c r="H181" s="2">
        <v>91484.0</v>
      </c>
      <c r="I181" s="2">
        <v>1.1650185E7</v>
      </c>
      <c r="J181" s="2">
        <v>8859197.0</v>
      </c>
      <c r="K181" s="2">
        <v>2790988.0</v>
      </c>
    </row>
    <row r="182">
      <c r="A182" s="2">
        <v>2019.0</v>
      </c>
      <c r="B182" s="1" t="s">
        <v>26</v>
      </c>
      <c r="C182" s="2"/>
      <c r="D182" s="2" t="s">
        <v>153</v>
      </c>
      <c r="E182" s="1" t="s">
        <v>420</v>
      </c>
      <c r="F182" s="2">
        <v>4281947.0</v>
      </c>
      <c r="G182" s="2">
        <v>2.28E7</v>
      </c>
      <c r="H182" s="2">
        <v>218182.0</v>
      </c>
      <c r="I182" s="2">
        <v>2.7300129E7</v>
      </c>
      <c r="J182" s="2">
        <v>2.1893084E7</v>
      </c>
      <c r="K182" s="2">
        <v>5407045.0</v>
      </c>
    </row>
    <row r="183">
      <c r="A183" s="2">
        <v>2019.0</v>
      </c>
      <c r="B183" s="1" t="s">
        <v>26</v>
      </c>
      <c r="C183" s="2"/>
      <c r="D183" s="2" t="s">
        <v>155</v>
      </c>
      <c r="E183" s="1" t="s">
        <v>420</v>
      </c>
      <c r="F183" s="2">
        <v>2114134.0</v>
      </c>
      <c r="G183" s="2">
        <v>1.2911477E7</v>
      </c>
      <c r="H183" s="2">
        <v>99169.0</v>
      </c>
      <c r="I183" s="2">
        <v>1.512478E7</v>
      </c>
      <c r="J183" s="2">
        <v>1.2073066E7</v>
      </c>
      <c r="K183" s="2">
        <v>3051714.0</v>
      </c>
    </row>
    <row r="184">
      <c r="A184" s="2">
        <v>2019.0</v>
      </c>
      <c r="B184" s="1" t="s">
        <v>26</v>
      </c>
      <c r="C184" s="2" t="s">
        <v>165</v>
      </c>
      <c r="D184" s="2" t="s">
        <v>171</v>
      </c>
      <c r="E184" s="1" t="s">
        <v>420</v>
      </c>
      <c r="F184" s="2">
        <v>2074510.0</v>
      </c>
      <c r="G184" s="2">
        <v>1.2983634E7</v>
      </c>
      <c r="H184" s="2">
        <v>123724.0</v>
      </c>
      <c r="I184" s="2">
        <v>1.5181868E7</v>
      </c>
      <c r="J184" s="2">
        <v>1.4810682E7</v>
      </c>
      <c r="K184" s="2">
        <v>371186.0</v>
      </c>
    </row>
    <row r="185">
      <c r="A185" s="2">
        <v>2019.0</v>
      </c>
      <c r="B185" s="1" t="s">
        <v>26</v>
      </c>
      <c r="C185" s="2"/>
      <c r="D185" s="2" t="s">
        <v>175</v>
      </c>
      <c r="E185" s="1" t="s">
        <v>420</v>
      </c>
      <c r="F185" s="2">
        <v>870901.0</v>
      </c>
      <c r="G185" s="2">
        <v>1.1942508E7</v>
      </c>
      <c r="H185" s="2">
        <v>4320.0</v>
      </c>
      <c r="I185" s="2">
        <v>1.2817729E7</v>
      </c>
      <c r="J185" s="2">
        <v>1.2431245E7</v>
      </c>
      <c r="K185" s="2">
        <v>386484.0</v>
      </c>
    </row>
    <row r="186">
      <c r="A186" s="2">
        <v>2019.0</v>
      </c>
      <c r="B186" s="1" t="s">
        <v>26</v>
      </c>
      <c r="C186" s="2" t="s">
        <v>157</v>
      </c>
      <c r="D186" s="2" t="s">
        <v>450</v>
      </c>
      <c r="E186" s="1" t="s">
        <v>420</v>
      </c>
      <c r="F186" s="2">
        <v>6154155.0</v>
      </c>
      <c r="G186" s="2">
        <v>1.659E7</v>
      </c>
      <c r="H186" s="2">
        <v>274753.0</v>
      </c>
      <c r="I186" s="2">
        <v>2.3018908E7</v>
      </c>
      <c r="J186" s="2">
        <v>1.4438709E7</v>
      </c>
      <c r="K186" s="2">
        <v>8580199.0</v>
      </c>
    </row>
    <row r="187">
      <c r="A187" s="2">
        <v>2019.0</v>
      </c>
      <c r="B187" s="1" t="s">
        <v>26</v>
      </c>
      <c r="C187" s="2"/>
      <c r="D187" s="2" t="s">
        <v>452</v>
      </c>
      <c r="E187" s="1" t="s">
        <v>420</v>
      </c>
      <c r="F187" s="2">
        <v>9220740.0</v>
      </c>
      <c r="G187" s="2">
        <v>2.1E7</v>
      </c>
      <c r="H187" s="2">
        <v>436795.0</v>
      </c>
      <c r="I187" s="2">
        <v>3.0657535E7</v>
      </c>
      <c r="J187" s="2">
        <v>1.6892971E7</v>
      </c>
      <c r="K187" s="2">
        <v>1.3764564E7</v>
      </c>
    </row>
    <row r="188">
      <c r="A188" s="2">
        <v>2019.0</v>
      </c>
      <c r="B188" s="1" t="s">
        <v>26</v>
      </c>
      <c r="C188" s="2"/>
      <c r="D188" s="2" t="s">
        <v>161</v>
      </c>
      <c r="E188" s="1" t="s">
        <v>420</v>
      </c>
      <c r="F188" s="2">
        <v>4465797.0</v>
      </c>
      <c r="G188" s="2">
        <v>1.239E7</v>
      </c>
      <c r="H188" s="2">
        <v>156737.0</v>
      </c>
      <c r="I188" s="2">
        <v>1.7012534E7</v>
      </c>
      <c r="J188" s="2">
        <v>1.2560388E7</v>
      </c>
      <c r="K188" s="2">
        <v>4452146.0</v>
      </c>
    </row>
    <row r="189">
      <c r="A189" s="2">
        <v>2019.0</v>
      </c>
      <c r="B189" s="1" t="s">
        <v>26</v>
      </c>
      <c r="C189" s="2"/>
      <c r="D189" s="2" t="s">
        <v>455</v>
      </c>
      <c r="E189" s="1" t="s">
        <v>420</v>
      </c>
      <c r="F189" s="2">
        <v>2806684.0</v>
      </c>
      <c r="G189" s="2">
        <v>1.6609173E7</v>
      </c>
      <c r="H189" s="2">
        <v>193680.0</v>
      </c>
      <c r="I189" s="2">
        <v>1.9609537E7</v>
      </c>
      <c r="J189" s="2">
        <v>1.1621637E7</v>
      </c>
      <c r="K189" s="2">
        <v>7987900.0</v>
      </c>
    </row>
    <row r="190">
      <c r="A190" s="2">
        <v>2019.0</v>
      </c>
      <c r="B190" s="1" t="s">
        <v>26</v>
      </c>
      <c r="C190" s="2" t="s">
        <v>176</v>
      </c>
      <c r="D190" s="2" t="s">
        <v>176</v>
      </c>
      <c r="E190" s="1" t="s">
        <v>420</v>
      </c>
      <c r="F190" s="2">
        <v>42233.0</v>
      </c>
      <c r="G190" s="2">
        <v>1.0100623E7</v>
      </c>
      <c r="I190" s="2">
        <v>1.0142856E7</v>
      </c>
      <c r="J190" s="2">
        <v>9462941.0</v>
      </c>
      <c r="K190" s="2">
        <v>679915.0</v>
      </c>
    </row>
    <row r="191">
      <c r="A191" s="2">
        <v>2019.0</v>
      </c>
      <c r="B191" s="1" t="s">
        <v>26</v>
      </c>
      <c r="C191" s="2"/>
      <c r="D191" s="2" t="s">
        <v>456</v>
      </c>
      <c r="E191" s="1" t="s">
        <v>420</v>
      </c>
      <c r="F191" s="2">
        <v>825643.0</v>
      </c>
      <c r="G191" s="2">
        <v>1.2822142E7</v>
      </c>
      <c r="H191" s="2">
        <v>0.0</v>
      </c>
      <c r="I191" s="2">
        <v>1.3647785E7</v>
      </c>
      <c r="J191" s="2">
        <v>1.2793852E7</v>
      </c>
      <c r="K191" s="2">
        <v>853933.0</v>
      </c>
    </row>
    <row r="192">
      <c r="A192" s="2">
        <v>2019.0</v>
      </c>
      <c r="B192" s="1" t="s">
        <v>26</v>
      </c>
      <c r="C192" s="2"/>
      <c r="D192" s="2" t="s">
        <v>193</v>
      </c>
      <c r="E192" s="1" t="s">
        <v>420</v>
      </c>
      <c r="F192" s="2">
        <v>994405.0</v>
      </c>
      <c r="G192" s="2">
        <v>1.6315609E7</v>
      </c>
      <c r="H192" s="2">
        <v>33923.0</v>
      </c>
      <c r="I192" s="2">
        <v>1.7343937E7</v>
      </c>
      <c r="J192" s="2">
        <v>1.6590984E7</v>
      </c>
      <c r="K192" s="2">
        <v>752953.0</v>
      </c>
    </row>
    <row r="193">
      <c r="A193" s="2">
        <v>2019.0</v>
      </c>
      <c r="B193" s="1" t="s">
        <v>26</v>
      </c>
      <c r="C193" s="2"/>
      <c r="D193" s="2" t="s">
        <v>458</v>
      </c>
      <c r="E193" s="1" t="s">
        <v>420</v>
      </c>
      <c r="F193" s="2">
        <v>0.0</v>
      </c>
      <c r="G193" s="2">
        <v>1.2266468E7</v>
      </c>
      <c r="H193" s="2">
        <v>0.0</v>
      </c>
      <c r="I193" s="2">
        <v>1.2266468E7</v>
      </c>
      <c r="J193" s="2">
        <v>1.2266468E7</v>
      </c>
      <c r="K193" s="2">
        <v>0.0</v>
      </c>
    </row>
    <row r="194">
      <c r="A194" s="2">
        <v>2019.0</v>
      </c>
      <c r="B194" s="1" t="s">
        <v>26</v>
      </c>
      <c r="C194" s="2" t="s">
        <v>198</v>
      </c>
      <c r="D194" s="2" t="s">
        <v>199</v>
      </c>
      <c r="E194" s="1" t="s">
        <v>420</v>
      </c>
      <c r="F194" s="2">
        <v>1301011.0</v>
      </c>
      <c r="G194" s="2">
        <v>3500000.0</v>
      </c>
      <c r="H194" s="2">
        <v>24103.0</v>
      </c>
      <c r="I194" s="2">
        <v>4825114.0</v>
      </c>
      <c r="J194" s="2">
        <v>4043100.0</v>
      </c>
      <c r="K194" s="2">
        <v>782014.0</v>
      </c>
    </row>
    <row r="195">
      <c r="A195" s="2">
        <v>2019.0</v>
      </c>
      <c r="B195" s="1" t="s">
        <v>26</v>
      </c>
      <c r="C195" s="2"/>
      <c r="D195" s="2" t="s">
        <v>208</v>
      </c>
      <c r="E195" s="1" t="s">
        <v>420</v>
      </c>
      <c r="F195" s="2">
        <v>782014.0</v>
      </c>
      <c r="G195" s="2">
        <v>7500000.0</v>
      </c>
      <c r="H195" s="2">
        <v>18088.0</v>
      </c>
      <c r="I195" s="2">
        <v>8300102.0</v>
      </c>
      <c r="J195" s="2">
        <v>4256885.0</v>
      </c>
      <c r="K195" s="2">
        <v>4043217.0</v>
      </c>
    </row>
    <row r="196">
      <c r="A196" s="2">
        <v>2019.0</v>
      </c>
      <c r="B196" s="1" t="s">
        <v>213</v>
      </c>
      <c r="C196" s="2" t="s">
        <v>461</v>
      </c>
      <c r="D196" s="2" t="s">
        <v>36</v>
      </c>
      <c r="E196" s="1" t="s">
        <v>420</v>
      </c>
      <c r="F196" s="2">
        <v>817238.0</v>
      </c>
      <c r="G196" s="2">
        <v>1.1436031E7</v>
      </c>
      <c r="H196" s="2">
        <v>56786.0</v>
      </c>
      <c r="I196" s="2">
        <v>1.2310055E7</v>
      </c>
      <c r="J196" s="2">
        <v>1.1590044E7</v>
      </c>
      <c r="K196" s="2">
        <v>720011.0</v>
      </c>
    </row>
    <row r="197">
      <c r="A197" s="2">
        <v>2019.0</v>
      </c>
      <c r="B197" s="1" t="s">
        <v>213</v>
      </c>
      <c r="C197" s="2"/>
      <c r="D197" s="2" t="s">
        <v>57</v>
      </c>
      <c r="E197" s="1" t="s">
        <v>420</v>
      </c>
      <c r="F197" s="2">
        <v>1860996.0</v>
      </c>
      <c r="G197" s="2">
        <v>2.1833688E7</v>
      </c>
      <c r="H197" s="2">
        <v>107999.0</v>
      </c>
      <c r="I197" s="2">
        <v>2.3802683E7</v>
      </c>
      <c r="J197" s="2">
        <v>2.2222318E7</v>
      </c>
      <c r="K197" s="2">
        <v>1580365.0</v>
      </c>
    </row>
    <row r="198">
      <c r="A198" s="2">
        <v>2019.0</v>
      </c>
      <c r="B198" s="1" t="s">
        <v>213</v>
      </c>
      <c r="C198" s="2"/>
      <c r="D198" s="2" t="s">
        <v>28</v>
      </c>
      <c r="E198" s="1" t="s">
        <v>420</v>
      </c>
      <c r="F198" s="2">
        <v>4784095.0</v>
      </c>
      <c r="G198" s="2">
        <v>1.4551711E7</v>
      </c>
      <c r="H198" s="2">
        <v>191600.0</v>
      </c>
      <c r="I198" s="2">
        <v>1.9527406E7</v>
      </c>
      <c r="J198" s="2">
        <v>1.4947824E7</v>
      </c>
      <c r="K198" s="2">
        <v>4579582.0</v>
      </c>
    </row>
    <row r="199">
      <c r="A199" s="2">
        <v>2019.0</v>
      </c>
      <c r="B199" s="1" t="s">
        <v>213</v>
      </c>
      <c r="C199" s="2" t="s">
        <v>63</v>
      </c>
      <c r="D199" s="2" t="s">
        <v>77</v>
      </c>
      <c r="E199" s="1" t="s">
        <v>420</v>
      </c>
      <c r="F199" s="2">
        <v>43678.0</v>
      </c>
      <c r="G199" s="2">
        <v>2.0683525E7</v>
      </c>
      <c r="H199" s="2">
        <v>66377.0</v>
      </c>
      <c r="I199" s="2">
        <v>2.079358E7</v>
      </c>
      <c r="J199" s="2">
        <v>1.9286342E7</v>
      </c>
      <c r="K199" s="2">
        <v>1507238.0</v>
      </c>
    </row>
    <row r="200">
      <c r="A200" s="2">
        <v>2019.0</v>
      </c>
      <c r="B200" s="1" t="s">
        <v>213</v>
      </c>
      <c r="C200" s="2"/>
      <c r="D200" s="2" t="s">
        <v>426</v>
      </c>
      <c r="E200" s="1" t="s">
        <v>420</v>
      </c>
      <c r="F200" s="2">
        <v>127997.0</v>
      </c>
      <c r="G200" s="2">
        <v>3.7421999E7</v>
      </c>
      <c r="H200" s="2">
        <v>117357.0</v>
      </c>
      <c r="I200" s="2">
        <v>3.7667353E7</v>
      </c>
      <c r="J200" s="2">
        <v>3.4939969E7</v>
      </c>
      <c r="K200" s="2">
        <v>2727384.0</v>
      </c>
    </row>
    <row r="201">
      <c r="A201" s="2">
        <v>2019.0</v>
      </c>
      <c r="B201" s="1" t="s">
        <v>213</v>
      </c>
      <c r="C201" s="2"/>
      <c r="D201" s="2" t="s">
        <v>73</v>
      </c>
      <c r="E201" s="1" t="s">
        <v>420</v>
      </c>
      <c r="F201" s="2">
        <v>126535.0</v>
      </c>
      <c r="G201" s="2">
        <v>2200000.0</v>
      </c>
      <c r="I201" s="2">
        <v>2326535.0</v>
      </c>
      <c r="J201" s="2">
        <v>2138285.0</v>
      </c>
      <c r="K201" s="2">
        <v>188250.0</v>
      </c>
    </row>
    <row r="202">
      <c r="A202" s="2">
        <v>2019.0</v>
      </c>
      <c r="B202" s="1" t="s">
        <v>213</v>
      </c>
      <c r="C202" s="2"/>
      <c r="D202" s="2" t="s">
        <v>427</v>
      </c>
      <c r="E202" s="1" t="s">
        <v>420</v>
      </c>
      <c r="F202" s="2">
        <v>1009980.0</v>
      </c>
      <c r="G202" s="2">
        <v>1.6476873E7</v>
      </c>
      <c r="H202" s="2">
        <v>78565.0</v>
      </c>
      <c r="I202" s="2">
        <v>1.7565418E7</v>
      </c>
      <c r="J202" s="2">
        <v>1.651873E7</v>
      </c>
      <c r="K202" s="2">
        <v>1046688.0</v>
      </c>
    </row>
    <row r="203">
      <c r="A203" s="2">
        <v>2019.0</v>
      </c>
      <c r="B203" s="1" t="s">
        <v>213</v>
      </c>
      <c r="C203" s="2"/>
      <c r="D203" s="2" t="s">
        <v>428</v>
      </c>
      <c r="E203" s="1" t="s">
        <v>420</v>
      </c>
      <c r="F203" s="2">
        <v>785455.0</v>
      </c>
      <c r="G203" s="2">
        <v>2.6775079E7</v>
      </c>
      <c r="H203" s="2">
        <v>94941.0</v>
      </c>
      <c r="I203" s="2">
        <v>2.7655475E7</v>
      </c>
      <c r="J203" s="2">
        <v>2.5734851E7</v>
      </c>
      <c r="K203" s="2">
        <v>1920624.0</v>
      </c>
    </row>
    <row r="204">
      <c r="A204" s="2">
        <v>2019.0</v>
      </c>
      <c r="B204" s="1" t="s">
        <v>213</v>
      </c>
      <c r="C204" s="2"/>
      <c r="D204" s="2" t="s">
        <v>68</v>
      </c>
      <c r="E204" s="1" t="s">
        <v>420</v>
      </c>
      <c r="F204" s="2">
        <v>512053.0</v>
      </c>
      <c r="G204" s="2">
        <v>1.8019998E7</v>
      </c>
      <c r="H204" s="2">
        <v>74669.0</v>
      </c>
      <c r="I204" s="2">
        <v>1.860672E7</v>
      </c>
      <c r="J204" s="2">
        <v>1.71158E7</v>
      </c>
      <c r="K204" s="2">
        <v>1490920.0</v>
      </c>
    </row>
    <row r="205">
      <c r="A205" s="2">
        <v>2019.0</v>
      </c>
      <c r="B205" s="1" t="s">
        <v>213</v>
      </c>
      <c r="C205" s="2"/>
      <c r="D205" s="2" t="s">
        <v>465</v>
      </c>
      <c r="E205" s="1" t="s">
        <v>420</v>
      </c>
      <c r="F205" s="2">
        <v>20956.0</v>
      </c>
      <c r="G205" s="2">
        <v>1.4375E7</v>
      </c>
      <c r="H205" s="2">
        <v>70022.0</v>
      </c>
      <c r="I205" s="2">
        <v>1.4465978E7</v>
      </c>
      <c r="J205" s="2">
        <v>1.3381264E7</v>
      </c>
      <c r="K205" s="2">
        <v>1084714.0</v>
      </c>
    </row>
    <row r="206">
      <c r="A206" s="2">
        <v>2019.0</v>
      </c>
      <c r="B206" s="1" t="s">
        <v>213</v>
      </c>
      <c r="C206" s="2"/>
      <c r="D206" s="2" t="s">
        <v>437</v>
      </c>
      <c r="E206" s="1" t="s">
        <v>420</v>
      </c>
      <c r="F206" s="2">
        <v>2780580.0</v>
      </c>
      <c r="G206" s="2">
        <v>9.2837109E7</v>
      </c>
      <c r="H206" s="2">
        <v>313762.0</v>
      </c>
      <c r="I206" s="2">
        <v>9.5931451E7</v>
      </c>
      <c r="J206" s="2">
        <v>8.9174508E7</v>
      </c>
      <c r="K206" s="2">
        <v>6756943.0</v>
      </c>
    </row>
    <row r="207">
      <c r="A207" s="2">
        <v>2019.0</v>
      </c>
      <c r="B207" s="1" t="s">
        <v>213</v>
      </c>
      <c r="C207" s="2" t="s">
        <v>133</v>
      </c>
      <c r="D207" s="2" t="s">
        <v>135</v>
      </c>
      <c r="E207" s="1" t="s">
        <v>420</v>
      </c>
      <c r="F207" s="2">
        <v>3502036.0</v>
      </c>
      <c r="G207" s="2">
        <v>1.7320852E7</v>
      </c>
      <c r="H207" s="2">
        <v>242900.0</v>
      </c>
      <c r="I207" s="2">
        <v>2.1065788E7</v>
      </c>
      <c r="J207" s="2">
        <v>1.7180694E7</v>
      </c>
      <c r="K207" s="2">
        <v>3885094.0</v>
      </c>
    </row>
    <row r="208">
      <c r="A208" s="2">
        <v>2019.0</v>
      </c>
      <c r="B208" s="1" t="s">
        <v>213</v>
      </c>
      <c r="C208" s="2"/>
      <c r="D208" s="2" t="s">
        <v>136</v>
      </c>
      <c r="E208" s="1" t="s">
        <v>420</v>
      </c>
      <c r="F208" s="2">
        <v>3440083.0</v>
      </c>
      <c r="G208" s="2">
        <v>8961142.0</v>
      </c>
      <c r="H208" s="2">
        <v>95148.0</v>
      </c>
      <c r="I208" s="2">
        <v>1.2496373E7</v>
      </c>
      <c r="J208" s="2">
        <v>6892196.0</v>
      </c>
      <c r="K208" s="2">
        <v>5604177.0</v>
      </c>
    </row>
    <row r="209">
      <c r="A209" s="2">
        <v>2019.0</v>
      </c>
      <c r="B209" s="1" t="s">
        <v>213</v>
      </c>
      <c r="C209" s="2"/>
      <c r="D209" s="2" t="s">
        <v>137</v>
      </c>
      <c r="E209" s="1" t="s">
        <v>420</v>
      </c>
      <c r="F209" s="2">
        <v>2800264.0</v>
      </c>
      <c r="G209" s="2">
        <v>1.0019555E7</v>
      </c>
      <c r="H209" s="2">
        <v>102541.0</v>
      </c>
      <c r="I209" s="2">
        <v>1.292236E7</v>
      </c>
      <c r="J209" s="2">
        <v>1.1056223E7</v>
      </c>
      <c r="K209" s="2">
        <v>1866137.0</v>
      </c>
    </row>
    <row r="210">
      <c r="A210" s="2">
        <v>2019.0</v>
      </c>
      <c r="B210" s="1" t="s">
        <v>213</v>
      </c>
      <c r="C210" s="2"/>
      <c r="D210" s="2" t="s">
        <v>139</v>
      </c>
      <c r="E210" s="1" t="s">
        <v>420</v>
      </c>
      <c r="F210" s="2">
        <v>2644754.0</v>
      </c>
      <c r="G210" s="2">
        <v>2.283877E7</v>
      </c>
      <c r="H210" s="2">
        <v>124732.0</v>
      </c>
      <c r="I210" s="2">
        <v>2.5608256E7</v>
      </c>
      <c r="J210" s="2">
        <v>2.2364721E7</v>
      </c>
      <c r="K210" s="2">
        <v>3243535.0</v>
      </c>
    </row>
    <row r="211">
      <c r="A211" s="2">
        <v>2019.0</v>
      </c>
      <c r="B211" s="1" t="s">
        <v>213</v>
      </c>
      <c r="C211" s="2" t="s">
        <v>143</v>
      </c>
      <c r="D211" s="2" t="s">
        <v>144</v>
      </c>
      <c r="E211" s="1" t="s">
        <v>420</v>
      </c>
      <c r="F211" s="2">
        <v>1324246.0</v>
      </c>
      <c r="G211" s="2">
        <v>2.7125411E7</v>
      </c>
      <c r="H211" s="2">
        <v>90337.0</v>
      </c>
      <c r="I211" s="2">
        <v>2.8539994E7</v>
      </c>
      <c r="J211" s="2">
        <v>2.5070295E7</v>
      </c>
      <c r="K211" s="2">
        <v>3469699.0</v>
      </c>
    </row>
    <row r="212">
      <c r="A212" s="2">
        <v>2019.0</v>
      </c>
      <c r="B212" s="1" t="s">
        <v>213</v>
      </c>
      <c r="C212" s="2"/>
      <c r="D212" s="2" t="s">
        <v>146</v>
      </c>
      <c r="E212" s="1" t="s">
        <v>420</v>
      </c>
      <c r="F212" s="2">
        <v>4586145.0</v>
      </c>
      <c r="G212" s="2">
        <v>6000000.0</v>
      </c>
      <c r="H212" s="2">
        <v>165643.0</v>
      </c>
      <c r="I212" s="2">
        <v>1.0751788E7</v>
      </c>
      <c r="J212" s="2">
        <v>8750055.0</v>
      </c>
      <c r="K212" s="2">
        <v>2001733.0</v>
      </c>
    </row>
    <row r="213">
      <c r="A213" s="2">
        <v>2019.0</v>
      </c>
      <c r="B213" s="1" t="s">
        <v>213</v>
      </c>
      <c r="C213" s="2"/>
      <c r="D213" s="2" t="s">
        <v>285</v>
      </c>
      <c r="E213" s="1" t="s">
        <v>420</v>
      </c>
      <c r="F213" s="2">
        <v>2494361.0</v>
      </c>
      <c r="G213" s="2">
        <v>1.69E7</v>
      </c>
      <c r="H213" s="2">
        <v>110560.0</v>
      </c>
      <c r="I213" s="2">
        <v>1.9504921E7</v>
      </c>
      <c r="J213" s="2">
        <v>1.7363297E7</v>
      </c>
      <c r="K213" s="2">
        <v>2141624.0</v>
      </c>
    </row>
    <row r="214">
      <c r="A214" s="2">
        <v>2019.0</v>
      </c>
      <c r="B214" s="1" t="s">
        <v>213</v>
      </c>
      <c r="C214" s="2"/>
      <c r="D214" s="2" t="s">
        <v>471</v>
      </c>
      <c r="E214" s="1" t="s">
        <v>420</v>
      </c>
      <c r="F214" s="2">
        <v>4398731.0</v>
      </c>
      <c r="G214" s="2">
        <v>1.92E7</v>
      </c>
      <c r="H214" s="2">
        <v>195582.0</v>
      </c>
      <c r="I214" s="2">
        <v>2.3794313E7</v>
      </c>
      <c r="J214" s="2">
        <v>1.8795508E7</v>
      </c>
      <c r="K214" s="2">
        <v>4998805.0</v>
      </c>
    </row>
    <row r="215">
      <c r="A215" s="2">
        <v>2019.0</v>
      </c>
      <c r="B215" s="1" t="s">
        <v>213</v>
      </c>
      <c r="C215" s="2"/>
      <c r="D215" s="2" t="s">
        <v>143</v>
      </c>
      <c r="E215" s="1" t="s">
        <v>420</v>
      </c>
      <c r="F215" s="2">
        <v>2790988.0</v>
      </c>
      <c r="G215" s="2">
        <v>9000000.0</v>
      </c>
      <c r="H215" s="2">
        <v>108350.0</v>
      </c>
      <c r="I215" s="2">
        <v>1.1899338E7</v>
      </c>
      <c r="J215" s="2">
        <v>1.0910337E7</v>
      </c>
      <c r="K215" s="2">
        <v>989001.0</v>
      </c>
    </row>
    <row r="216">
      <c r="A216" s="2">
        <v>2019.0</v>
      </c>
      <c r="B216" s="1" t="s">
        <v>213</v>
      </c>
      <c r="C216" s="2"/>
      <c r="D216" s="2" t="s">
        <v>153</v>
      </c>
      <c r="E216" s="1" t="s">
        <v>420</v>
      </c>
      <c r="F216" s="2">
        <v>5407045.0</v>
      </c>
      <c r="G216" s="2">
        <v>2.43E7</v>
      </c>
      <c r="H216" s="2">
        <v>178175.0</v>
      </c>
      <c r="I216" s="2">
        <v>2.988522E7</v>
      </c>
      <c r="J216" s="2">
        <v>2.7621011E7</v>
      </c>
      <c r="K216" s="2">
        <v>2264209.0</v>
      </c>
    </row>
    <row r="217">
      <c r="A217" s="2">
        <v>2019.0</v>
      </c>
      <c r="B217" s="1" t="s">
        <v>213</v>
      </c>
      <c r="C217" s="2"/>
      <c r="D217" s="2" t="s">
        <v>155</v>
      </c>
      <c r="E217" s="1" t="s">
        <v>420</v>
      </c>
      <c r="F217" s="2">
        <v>3051714.0</v>
      </c>
      <c r="G217" s="2">
        <v>1.34E7</v>
      </c>
      <c r="H217" s="2">
        <v>147569.0</v>
      </c>
      <c r="I217" s="2">
        <v>1.6599283E7</v>
      </c>
      <c r="J217" s="2">
        <v>1.3377927E7</v>
      </c>
      <c r="K217" s="2">
        <v>3221356.0</v>
      </c>
    </row>
    <row r="218">
      <c r="A218" s="2">
        <v>2019.0</v>
      </c>
      <c r="B218" s="1" t="s">
        <v>213</v>
      </c>
      <c r="C218" s="2" t="s">
        <v>165</v>
      </c>
      <c r="D218" s="2" t="s">
        <v>171</v>
      </c>
      <c r="E218" s="1" t="s">
        <v>420</v>
      </c>
      <c r="F218" s="2">
        <v>371186.0</v>
      </c>
      <c r="G218" s="2">
        <v>1.9915651E7</v>
      </c>
      <c r="H218" s="2">
        <v>94121.0</v>
      </c>
      <c r="I218" s="2">
        <v>2.0380958E7</v>
      </c>
      <c r="J218" s="2">
        <v>1.8903471E7</v>
      </c>
      <c r="K218" s="2">
        <v>1477487.0</v>
      </c>
    </row>
    <row r="219">
      <c r="A219" s="2">
        <v>2019.0</v>
      </c>
      <c r="B219" s="1" t="s">
        <v>213</v>
      </c>
      <c r="C219" s="2"/>
      <c r="D219" s="2" t="s">
        <v>175</v>
      </c>
      <c r="E219" s="1" t="s">
        <v>420</v>
      </c>
      <c r="F219" s="2">
        <v>386484.0</v>
      </c>
      <c r="G219" s="2">
        <v>1.8406054E7</v>
      </c>
      <c r="H219" s="2">
        <v>101129.0</v>
      </c>
      <c r="I219" s="2">
        <v>1.8893667E7</v>
      </c>
      <c r="J219" s="2">
        <v>1.4678507E7</v>
      </c>
      <c r="K219" s="2">
        <v>4215160.0</v>
      </c>
    </row>
    <row r="220">
      <c r="A220" s="2">
        <v>2019.0</v>
      </c>
      <c r="B220" s="1" t="s">
        <v>213</v>
      </c>
      <c r="C220" s="2" t="s">
        <v>157</v>
      </c>
      <c r="D220" s="2" t="s">
        <v>450</v>
      </c>
      <c r="E220" s="1" t="s">
        <v>420</v>
      </c>
      <c r="F220" s="2">
        <v>8580199.0</v>
      </c>
      <c r="G220" s="2">
        <v>1.384445E7</v>
      </c>
      <c r="H220" s="2">
        <v>158144.0</v>
      </c>
      <c r="I220" s="2">
        <v>2.2582793E7</v>
      </c>
      <c r="J220" s="2">
        <v>1.5821494E7</v>
      </c>
      <c r="K220" s="2">
        <v>6761299.0</v>
      </c>
    </row>
    <row r="221">
      <c r="A221" s="2">
        <v>2019.0</v>
      </c>
      <c r="B221" s="1" t="s">
        <v>213</v>
      </c>
      <c r="C221" s="2"/>
      <c r="D221" s="2" t="s">
        <v>452</v>
      </c>
      <c r="E221" s="1" t="s">
        <v>420</v>
      </c>
      <c r="F221" s="2">
        <v>1.3764564E7</v>
      </c>
      <c r="G221" s="2">
        <v>9374020.0</v>
      </c>
      <c r="H221" s="2">
        <v>314133.0</v>
      </c>
      <c r="I221" s="2">
        <v>2.3452717E7</v>
      </c>
      <c r="J221" s="2">
        <v>1.545035E7</v>
      </c>
      <c r="K221" s="2">
        <v>8002367.0</v>
      </c>
    </row>
    <row r="222">
      <c r="A222" s="2">
        <v>2019.0</v>
      </c>
      <c r="B222" s="1" t="s">
        <v>213</v>
      </c>
      <c r="C222" s="2"/>
      <c r="D222" s="2" t="s">
        <v>161</v>
      </c>
      <c r="E222" s="1" t="s">
        <v>420</v>
      </c>
      <c r="F222" s="2">
        <v>4452146.0</v>
      </c>
      <c r="G222" s="2">
        <v>1.7471544E7</v>
      </c>
      <c r="H222" s="2">
        <v>156157.0</v>
      </c>
      <c r="I222" s="2">
        <v>2.2079847E7</v>
      </c>
      <c r="J222" s="2">
        <v>1.5064216E7</v>
      </c>
      <c r="K222" s="2">
        <v>7015631.0</v>
      </c>
    </row>
    <row r="223">
      <c r="A223" s="2">
        <v>2019.0</v>
      </c>
      <c r="B223" s="1" t="s">
        <v>213</v>
      </c>
      <c r="C223" s="2"/>
      <c r="D223" s="2" t="s">
        <v>477</v>
      </c>
      <c r="E223" s="1" t="s">
        <v>420</v>
      </c>
      <c r="F223" s="2">
        <v>7987900.0</v>
      </c>
      <c r="G223" s="2">
        <v>1.250075E7</v>
      </c>
      <c r="H223" s="2">
        <v>158988.0</v>
      </c>
      <c r="I223" s="2">
        <v>2.0647638E7</v>
      </c>
      <c r="J223" s="2">
        <v>1.2757917E7</v>
      </c>
      <c r="K223" s="2">
        <v>7889721.0</v>
      </c>
    </row>
    <row r="224">
      <c r="A224" s="2">
        <v>2019.0</v>
      </c>
      <c r="B224" s="1" t="s">
        <v>213</v>
      </c>
      <c r="C224" s="2" t="s">
        <v>176</v>
      </c>
      <c r="D224" s="2" t="s">
        <v>176</v>
      </c>
      <c r="E224" s="1" t="s">
        <v>420</v>
      </c>
      <c r="F224" s="2">
        <v>679915.0</v>
      </c>
      <c r="G224" s="2">
        <v>8217834.0</v>
      </c>
      <c r="I224" s="2">
        <v>8897749.0</v>
      </c>
      <c r="J224" s="2">
        <v>7723323.0</v>
      </c>
      <c r="K224" s="2">
        <v>1174426.0</v>
      </c>
    </row>
    <row r="225">
      <c r="A225" s="2">
        <v>2019.0</v>
      </c>
      <c r="B225" s="1" t="s">
        <v>213</v>
      </c>
      <c r="C225" s="2"/>
      <c r="D225" s="2" t="s">
        <v>177</v>
      </c>
      <c r="E225" s="1" t="s">
        <v>420</v>
      </c>
      <c r="F225" s="2">
        <v>1.1844481E7</v>
      </c>
      <c r="G225" s="2">
        <v>896073.0</v>
      </c>
      <c r="I225" s="2">
        <v>1.2740554E7</v>
      </c>
      <c r="J225" s="2">
        <v>8908865.0</v>
      </c>
      <c r="K225" s="2">
        <v>3831689.0</v>
      </c>
    </row>
    <row r="226">
      <c r="A226" s="2">
        <v>2019.0</v>
      </c>
      <c r="B226" s="1" t="s">
        <v>213</v>
      </c>
      <c r="C226" s="2"/>
      <c r="D226" s="2" t="s">
        <v>456</v>
      </c>
      <c r="E226" s="1" t="s">
        <v>420</v>
      </c>
      <c r="F226" s="2">
        <v>853933.0</v>
      </c>
      <c r="G226" s="2">
        <v>1.7229029E7</v>
      </c>
      <c r="H226" s="2">
        <v>0.0</v>
      </c>
      <c r="I226" s="2">
        <v>1.8082962E7</v>
      </c>
      <c r="J226" s="2">
        <v>1.2001646E7</v>
      </c>
      <c r="K226" s="2">
        <v>6081316.0</v>
      </c>
    </row>
    <row r="227">
      <c r="A227" s="2">
        <v>2019.0</v>
      </c>
      <c r="B227" s="1" t="s">
        <v>213</v>
      </c>
      <c r="C227" s="2"/>
      <c r="D227" s="2" t="s">
        <v>193</v>
      </c>
      <c r="E227" s="1" t="s">
        <v>420</v>
      </c>
      <c r="F227" s="2">
        <v>752953.0</v>
      </c>
      <c r="G227" s="2">
        <v>2.6895218E7</v>
      </c>
      <c r="H227" s="2">
        <v>84652.0</v>
      </c>
      <c r="I227" s="2">
        <v>2.7732823E7</v>
      </c>
      <c r="J227" s="2">
        <v>1.9106452E7</v>
      </c>
      <c r="K227" s="2">
        <v>8626371.0</v>
      </c>
    </row>
    <row r="228">
      <c r="A228" s="2">
        <v>2019.0</v>
      </c>
      <c r="B228" s="1" t="s">
        <v>213</v>
      </c>
      <c r="C228" s="2"/>
      <c r="D228" s="2" t="s">
        <v>458</v>
      </c>
      <c r="E228" s="1" t="s">
        <v>420</v>
      </c>
      <c r="F228" s="2">
        <v>0.0</v>
      </c>
      <c r="G228" s="2">
        <v>2170997.0</v>
      </c>
      <c r="H228" s="2">
        <v>0.0</v>
      </c>
      <c r="I228" s="2">
        <v>2170997.0</v>
      </c>
      <c r="J228" s="2">
        <v>1270481.0</v>
      </c>
      <c r="K228" s="2">
        <v>900516.0</v>
      </c>
    </row>
    <row r="229">
      <c r="A229" s="2">
        <v>2019.0</v>
      </c>
      <c r="B229" s="1" t="s">
        <v>213</v>
      </c>
      <c r="C229" s="2" t="s">
        <v>308</v>
      </c>
      <c r="D229" s="2" t="s">
        <v>309</v>
      </c>
      <c r="E229" s="1" t="s">
        <v>420</v>
      </c>
      <c r="F229" s="2">
        <v>1131350.0</v>
      </c>
      <c r="G229" s="2">
        <v>6959000.0</v>
      </c>
      <c r="H229" s="2">
        <v>50638.0</v>
      </c>
      <c r="I229" s="2">
        <v>8140988.0</v>
      </c>
      <c r="J229" s="2">
        <v>7143202.0</v>
      </c>
      <c r="K229" s="2">
        <v>997786.0</v>
      </c>
    </row>
    <row r="230">
      <c r="A230" s="2">
        <v>2019.0</v>
      </c>
      <c r="B230" s="1" t="s">
        <v>213</v>
      </c>
      <c r="C230" s="2"/>
      <c r="D230" s="2" t="s">
        <v>312</v>
      </c>
      <c r="E230" s="1" t="s">
        <v>420</v>
      </c>
      <c r="F230" s="2">
        <v>1937506.0</v>
      </c>
      <c r="G230" s="2">
        <v>1.1754E7</v>
      </c>
      <c r="H230" s="2">
        <v>89802.0</v>
      </c>
      <c r="I230" s="2">
        <v>1.3781308E7</v>
      </c>
      <c r="J230" s="2">
        <v>1.2788497E7</v>
      </c>
      <c r="K230" s="2">
        <v>992811.0</v>
      </c>
    </row>
    <row r="231">
      <c r="A231" s="2">
        <v>2019.0</v>
      </c>
      <c r="B231" s="1" t="s">
        <v>213</v>
      </c>
      <c r="C231" s="2"/>
      <c r="D231" s="2" t="s">
        <v>316</v>
      </c>
      <c r="E231" s="1" t="s">
        <v>420</v>
      </c>
      <c r="F231" s="2">
        <v>1313172.0</v>
      </c>
      <c r="G231" s="2">
        <v>1.7335378E7</v>
      </c>
      <c r="H231" s="2">
        <v>85926.0</v>
      </c>
      <c r="I231" s="2">
        <v>1.8734476E7</v>
      </c>
      <c r="J231" s="2">
        <v>1.7561159E7</v>
      </c>
      <c r="K231" s="2">
        <v>1173317.0</v>
      </c>
    </row>
    <row r="232">
      <c r="A232" s="2">
        <v>2019.0</v>
      </c>
      <c r="B232" s="1" t="s">
        <v>213</v>
      </c>
      <c r="C232" s="2"/>
      <c r="D232" s="2" t="s">
        <v>411</v>
      </c>
      <c r="E232" s="1" t="s">
        <v>420</v>
      </c>
      <c r="F232" s="2">
        <v>1131350.0</v>
      </c>
      <c r="G232" s="2">
        <v>6959000.0</v>
      </c>
      <c r="H232" s="2">
        <v>50638.0</v>
      </c>
      <c r="I232" s="2">
        <v>8140988.0</v>
      </c>
      <c r="J232" s="2">
        <v>7143202.0</v>
      </c>
      <c r="K232" s="2">
        <v>997786.0</v>
      </c>
    </row>
    <row r="233">
      <c r="A233" s="2">
        <v>2019.0</v>
      </c>
      <c r="B233" s="1" t="s">
        <v>213</v>
      </c>
      <c r="C233" s="2"/>
      <c r="D233" s="2" t="s">
        <v>412</v>
      </c>
      <c r="E233" s="1" t="s">
        <v>420</v>
      </c>
      <c r="F233" s="2">
        <v>1936079.0</v>
      </c>
      <c r="G233" s="2">
        <v>2.2625E7</v>
      </c>
      <c r="H233" s="2">
        <v>141872.0</v>
      </c>
      <c r="I233" s="2">
        <v>2.4702951E7</v>
      </c>
      <c r="J233" s="2">
        <v>2.3265068E7</v>
      </c>
      <c r="K233" s="2">
        <v>1437883.0</v>
      </c>
    </row>
    <row r="234">
      <c r="A234" s="2">
        <v>2019.0</v>
      </c>
      <c r="B234" s="1" t="s">
        <v>213</v>
      </c>
      <c r="C234" s="2"/>
      <c r="D234" s="2" t="s">
        <v>324</v>
      </c>
      <c r="E234" s="1" t="s">
        <v>420</v>
      </c>
      <c r="F234" s="2">
        <v>1233863.0</v>
      </c>
      <c r="G234" s="2">
        <v>8226204.0</v>
      </c>
      <c r="H234" s="2">
        <v>60908.0</v>
      </c>
      <c r="I234" s="2">
        <v>9520975.0</v>
      </c>
      <c r="J234" s="2">
        <v>8470838.0</v>
      </c>
      <c r="K234" s="2">
        <v>1050137.0</v>
      </c>
    </row>
    <row r="235">
      <c r="A235" s="2">
        <v>2019.0</v>
      </c>
      <c r="B235" s="1" t="s">
        <v>213</v>
      </c>
      <c r="C235" s="2"/>
      <c r="D235" s="2" t="s">
        <v>326</v>
      </c>
      <c r="E235" s="1" t="s">
        <v>420</v>
      </c>
      <c r="F235" s="2">
        <v>1657018.0</v>
      </c>
      <c r="G235" s="2">
        <v>1.07626E7</v>
      </c>
      <c r="H235" s="2">
        <v>85814.0</v>
      </c>
      <c r="I235" s="2">
        <v>1.2505432E7</v>
      </c>
      <c r="J235" s="2">
        <v>1.0559778E7</v>
      </c>
      <c r="K235" s="2">
        <v>1945654.0</v>
      </c>
    </row>
    <row r="236">
      <c r="A236" s="2">
        <v>2019.0</v>
      </c>
      <c r="B236" s="1" t="s">
        <v>213</v>
      </c>
      <c r="C236" s="2" t="s">
        <v>198</v>
      </c>
      <c r="D236" s="2" t="s">
        <v>199</v>
      </c>
      <c r="E236" s="1" t="s">
        <v>420</v>
      </c>
      <c r="F236" s="2">
        <v>782014.0</v>
      </c>
      <c r="G236" s="2">
        <v>7500000.0</v>
      </c>
      <c r="H236" s="2">
        <v>18088.0</v>
      </c>
      <c r="I236" s="2">
        <v>8300102.0</v>
      </c>
      <c r="J236" s="2">
        <v>4256885.0</v>
      </c>
      <c r="K236" s="2">
        <v>4043217.0</v>
      </c>
    </row>
    <row r="237">
      <c r="A237" s="2">
        <v>2019.0</v>
      </c>
      <c r="B237" s="1" t="s">
        <v>213</v>
      </c>
      <c r="D237" s="2" t="s">
        <v>208</v>
      </c>
      <c r="E237" s="1" t="s">
        <v>420</v>
      </c>
      <c r="F237" s="2">
        <v>4043217.0</v>
      </c>
      <c r="G237" s="2">
        <v>7300000.0</v>
      </c>
      <c r="H237" s="2">
        <v>281812.0</v>
      </c>
      <c r="I237" s="2">
        <v>1.1625029E7</v>
      </c>
      <c r="J237" s="2">
        <v>4068191.0</v>
      </c>
      <c r="K237" s="2">
        <v>7556838.0</v>
      </c>
    </row>
    <row r="238">
      <c r="A238" s="2">
        <v>2019.0</v>
      </c>
      <c r="B238" s="1" t="s">
        <v>332</v>
      </c>
      <c r="C238" s="2" t="s">
        <v>28</v>
      </c>
      <c r="D238" s="2" t="s">
        <v>36</v>
      </c>
      <c r="E238" s="1" t="s">
        <v>420</v>
      </c>
      <c r="F238" s="2">
        <v>720011.0</v>
      </c>
      <c r="G238" s="2">
        <v>1.396563E7</v>
      </c>
      <c r="H238" s="2">
        <v>60727.0</v>
      </c>
      <c r="I238" s="2">
        <v>1.4746368E7</v>
      </c>
      <c r="J238" s="2">
        <v>1.305999E7</v>
      </c>
      <c r="K238" s="2">
        <v>1686378.0</v>
      </c>
    </row>
    <row r="239">
      <c r="A239" s="2">
        <v>2019.0</v>
      </c>
      <c r="B239" s="1" t="s">
        <v>332</v>
      </c>
      <c r="C239" s="2"/>
      <c r="D239" s="2" t="s">
        <v>492</v>
      </c>
      <c r="E239" s="1" t="s">
        <v>420</v>
      </c>
      <c r="F239" s="2">
        <v>1580365.0</v>
      </c>
      <c r="G239" s="2">
        <v>2.5547999E7</v>
      </c>
      <c r="H239" s="2">
        <v>121203.0</v>
      </c>
      <c r="I239" s="2">
        <v>2.7249567E7</v>
      </c>
      <c r="J239" s="2">
        <v>2.4202169E7</v>
      </c>
      <c r="K239" s="2">
        <v>3047398.0</v>
      </c>
    </row>
    <row r="240">
      <c r="A240" s="2">
        <v>2019.0</v>
      </c>
      <c r="B240" s="1" t="s">
        <v>332</v>
      </c>
      <c r="C240" s="2"/>
      <c r="D240" s="2" t="s">
        <v>28</v>
      </c>
      <c r="E240" s="1" t="s">
        <v>420</v>
      </c>
      <c r="F240" s="2">
        <v>4579582.0</v>
      </c>
      <c r="G240" s="2">
        <v>1.7431078E7</v>
      </c>
      <c r="H240" s="2">
        <v>207397.0</v>
      </c>
      <c r="I240" s="2">
        <v>2.2218057E7</v>
      </c>
      <c r="J240" s="2">
        <v>2.0098746E7</v>
      </c>
      <c r="K240" s="2">
        <v>2119311.0</v>
      </c>
    </row>
    <row r="241">
      <c r="A241" s="2">
        <v>2019.0</v>
      </c>
      <c r="B241" s="1" t="s">
        <v>332</v>
      </c>
      <c r="C241" s="2" t="s">
        <v>63</v>
      </c>
      <c r="D241" s="2" t="s">
        <v>77</v>
      </c>
      <c r="E241" s="1" t="s">
        <v>420</v>
      </c>
      <c r="F241" s="2">
        <v>1507238.0</v>
      </c>
      <c r="G241" s="2">
        <v>2.2176446E7</v>
      </c>
      <c r="H241" s="2">
        <v>83594.0</v>
      </c>
      <c r="I241" s="2">
        <v>2.3767278E7</v>
      </c>
      <c r="J241" s="2">
        <v>2.3624091E7</v>
      </c>
      <c r="K241" s="2">
        <v>143187.0</v>
      </c>
    </row>
    <row r="242">
      <c r="A242" s="2">
        <v>2019.0</v>
      </c>
      <c r="B242" s="1" t="s">
        <v>332</v>
      </c>
      <c r="C242" s="2"/>
      <c r="D242" s="2" t="s">
        <v>426</v>
      </c>
      <c r="E242" s="1" t="s">
        <v>420</v>
      </c>
      <c r="F242" s="2">
        <v>2727384.0</v>
      </c>
      <c r="G242" s="2">
        <v>2.904686E7</v>
      </c>
      <c r="H242" s="2">
        <v>193580.0</v>
      </c>
      <c r="I242" s="2">
        <v>3.1967824E7</v>
      </c>
      <c r="J242" s="2">
        <v>2.9885796E7</v>
      </c>
      <c r="K242" s="2">
        <v>2082028.0</v>
      </c>
    </row>
    <row r="243">
      <c r="A243" s="2">
        <v>2019.0</v>
      </c>
      <c r="B243" s="1" t="s">
        <v>332</v>
      </c>
      <c r="C243" s="2"/>
      <c r="D243" s="2" t="s">
        <v>73</v>
      </c>
      <c r="E243" s="1" t="s">
        <v>420</v>
      </c>
      <c r="F243" s="2">
        <v>188250.0</v>
      </c>
      <c r="G243" s="2">
        <v>1622424.0</v>
      </c>
      <c r="H243" s="2">
        <v>0.0</v>
      </c>
      <c r="I243" s="2">
        <v>1810674.0</v>
      </c>
      <c r="J243" s="2">
        <v>1635164.0</v>
      </c>
      <c r="K243" s="2">
        <v>175510.0</v>
      </c>
    </row>
    <row r="244">
      <c r="A244" s="2">
        <v>2019.0</v>
      </c>
      <c r="B244" s="1" t="s">
        <v>332</v>
      </c>
      <c r="C244" s="2"/>
      <c r="D244" s="2" t="s">
        <v>427</v>
      </c>
      <c r="E244" s="1" t="s">
        <v>420</v>
      </c>
      <c r="F244" s="2">
        <v>1046688.0</v>
      </c>
      <c r="G244" s="2">
        <v>1.4093754E7</v>
      </c>
      <c r="H244" s="2">
        <v>87631.0</v>
      </c>
      <c r="I244" s="2">
        <v>1.5228073E7</v>
      </c>
      <c r="J244" s="2">
        <v>1.3250718E7</v>
      </c>
      <c r="K244" s="2">
        <v>1977355.0</v>
      </c>
    </row>
    <row r="245">
      <c r="A245" s="2">
        <v>2019.0</v>
      </c>
      <c r="B245" s="1" t="s">
        <v>332</v>
      </c>
      <c r="C245" s="2"/>
      <c r="D245" s="2" t="s">
        <v>428</v>
      </c>
      <c r="E245" s="1" t="s">
        <v>420</v>
      </c>
      <c r="F245" s="2">
        <v>1920624.0</v>
      </c>
      <c r="G245" s="2">
        <v>2.5342678E7</v>
      </c>
      <c r="H245" s="2">
        <v>132600.0</v>
      </c>
      <c r="I245" s="2">
        <v>2.7395902E7</v>
      </c>
      <c r="J245" s="2">
        <v>2.5828089E7</v>
      </c>
      <c r="K245" s="2">
        <v>1567813.0</v>
      </c>
    </row>
    <row r="246">
      <c r="A246" s="2">
        <v>2019.0</v>
      </c>
      <c r="B246" s="1" t="s">
        <v>332</v>
      </c>
      <c r="C246" s="2"/>
      <c r="D246" s="2" t="s">
        <v>68</v>
      </c>
      <c r="E246" s="1" t="s">
        <v>420</v>
      </c>
      <c r="F246" s="2">
        <v>1490920.0</v>
      </c>
      <c r="G246" s="2">
        <v>2.3897257E7</v>
      </c>
      <c r="H246" s="2">
        <v>110462.0</v>
      </c>
      <c r="I246" s="2">
        <v>2.5498639E7</v>
      </c>
      <c r="J246" s="2">
        <v>2.4590241E7</v>
      </c>
      <c r="K246" s="2">
        <v>908398.0</v>
      </c>
    </row>
    <row r="247">
      <c r="A247" s="2">
        <v>2019.0</v>
      </c>
      <c r="B247" s="1" t="s">
        <v>332</v>
      </c>
      <c r="C247" s="2"/>
      <c r="D247" s="2" t="s">
        <v>84</v>
      </c>
      <c r="E247" s="1" t="s">
        <v>420</v>
      </c>
      <c r="F247" s="2">
        <v>1124714.0</v>
      </c>
      <c r="G247" s="2">
        <v>1.3480336E7</v>
      </c>
      <c r="H247" s="2">
        <v>86098.0</v>
      </c>
      <c r="I247" s="2">
        <v>1.4691148E7</v>
      </c>
      <c r="J247" s="2">
        <v>1.4525407E7</v>
      </c>
      <c r="K247" s="2">
        <v>165741.0</v>
      </c>
    </row>
    <row r="248">
      <c r="A248" s="2">
        <v>2019.0</v>
      </c>
      <c r="B248" s="1" t="s">
        <v>332</v>
      </c>
      <c r="C248" s="2"/>
      <c r="D248" s="2" t="s">
        <v>437</v>
      </c>
      <c r="E248" s="1" t="s">
        <v>420</v>
      </c>
      <c r="F248" s="2">
        <v>6756943.0</v>
      </c>
      <c r="G248" s="2">
        <v>8.8459096E7</v>
      </c>
      <c r="H248" s="2">
        <v>355000.0</v>
      </c>
      <c r="I248" s="2">
        <v>9.5571039E7</v>
      </c>
      <c r="J248" s="2">
        <v>9.5510502E7</v>
      </c>
      <c r="K248" s="2">
        <v>60537.0</v>
      </c>
    </row>
    <row r="249">
      <c r="A249" s="2">
        <v>2019.0</v>
      </c>
      <c r="B249" s="1" t="s">
        <v>332</v>
      </c>
      <c r="C249" s="2" t="s">
        <v>133</v>
      </c>
      <c r="D249" s="2" t="s">
        <v>135</v>
      </c>
      <c r="E249" s="1" t="s">
        <v>420</v>
      </c>
      <c r="F249" s="2">
        <v>3885094.0</v>
      </c>
      <c r="G249" s="2">
        <v>1.6851272E7</v>
      </c>
      <c r="H249" s="2">
        <v>149043.0</v>
      </c>
      <c r="I249" s="2">
        <v>2.0885409E7</v>
      </c>
      <c r="J249" s="2">
        <v>2.030111E7</v>
      </c>
      <c r="K249" s="2">
        <v>584299.0</v>
      </c>
    </row>
    <row r="250">
      <c r="A250" s="2">
        <v>2019.0</v>
      </c>
      <c r="B250" s="1" t="s">
        <v>332</v>
      </c>
      <c r="C250" s="2"/>
      <c r="D250" s="2" t="s">
        <v>136</v>
      </c>
      <c r="E250" s="1" t="s">
        <v>420</v>
      </c>
      <c r="F250" s="2">
        <v>5604177.0</v>
      </c>
      <c r="G250" s="2">
        <v>5498488.0</v>
      </c>
      <c r="H250" s="2">
        <v>226908.0</v>
      </c>
      <c r="I250" s="2">
        <v>1.1329573E7</v>
      </c>
      <c r="J250" s="2">
        <v>7926916.0</v>
      </c>
      <c r="K250" s="2">
        <v>3402657.0</v>
      </c>
    </row>
    <row r="251">
      <c r="A251" s="2">
        <v>2019.0</v>
      </c>
      <c r="B251" s="1" t="s">
        <v>332</v>
      </c>
      <c r="C251" s="2"/>
      <c r="D251" s="2" t="s">
        <v>137</v>
      </c>
      <c r="E251" s="1" t="s">
        <v>420</v>
      </c>
      <c r="F251" s="2">
        <v>1866137.0</v>
      </c>
      <c r="G251" s="2">
        <v>1.400967E7</v>
      </c>
      <c r="H251" s="2">
        <v>74708.0</v>
      </c>
      <c r="I251" s="2">
        <v>1.5950515E7</v>
      </c>
      <c r="J251" s="2">
        <v>1.5464504E7</v>
      </c>
      <c r="K251" s="2">
        <v>486011.0</v>
      </c>
    </row>
    <row r="252">
      <c r="A252" s="2">
        <v>2019.0</v>
      </c>
      <c r="B252" s="1" t="s">
        <v>332</v>
      </c>
      <c r="C252" s="2"/>
      <c r="D252" s="2" t="s">
        <v>277</v>
      </c>
      <c r="E252" s="1" t="s">
        <v>420</v>
      </c>
      <c r="F252" s="2">
        <v>3243535.0</v>
      </c>
      <c r="G252" s="2">
        <v>1.9239747E7</v>
      </c>
      <c r="H252" s="2">
        <v>95400.0</v>
      </c>
      <c r="I252" s="2">
        <v>2.2578682E7</v>
      </c>
      <c r="J252" s="2">
        <v>2.2394564E7</v>
      </c>
      <c r="K252" s="2">
        <v>184118.0</v>
      </c>
    </row>
    <row r="253">
      <c r="A253" s="2">
        <v>2019.0</v>
      </c>
      <c r="B253" s="1" t="s">
        <v>332</v>
      </c>
      <c r="C253" s="2" t="s">
        <v>143</v>
      </c>
      <c r="D253" s="2" t="s">
        <v>144</v>
      </c>
      <c r="E253" s="1" t="s">
        <v>420</v>
      </c>
      <c r="F253" s="2">
        <v>3469699.0</v>
      </c>
      <c r="G253" s="2">
        <v>1.55E7</v>
      </c>
      <c r="H253" s="2">
        <v>126588.0</v>
      </c>
      <c r="I253" s="2">
        <v>1.9096287E7</v>
      </c>
      <c r="J253" s="2">
        <v>1.5969638E7</v>
      </c>
      <c r="K253" s="2">
        <v>3126649.0</v>
      </c>
    </row>
    <row r="254">
      <c r="A254" s="2">
        <v>2019.0</v>
      </c>
      <c r="B254" s="1" t="s">
        <v>332</v>
      </c>
      <c r="C254" s="2"/>
      <c r="D254" s="2" t="s">
        <v>146</v>
      </c>
      <c r="E254" s="1" t="s">
        <v>420</v>
      </c>
      <c r="F254" s="2">
        <v>2001733.0</v>
      </c>
      <c r="G254" s="2">
        <v>6000000.0</v>
      </c>
      <c r="H254" s="2">
        <v>99966.0</v>
      </c>
      <c r="I254" s="2">
        <v>8101699.0</v>
      </c>
      <c r="J254" s="2">
        <v>7135214.0</v>
      </c>
      <c r="K254" s="2">
        <v>966485.0</v>
      </c>
    </row>
    <row r="255">
      <c r="A255" s="2">
        <v>2019.0</v>
      </c>
      <c r="B255" s="1" t="s">
        <v>332</v>
      </c>
      <c r="C255" s="2"/>
      <c r="D255" s="2" t="s">
        <v>285</v>
      </c>
      <c r="E255" s="1" t="s">
        <v>420</v>
      </c>
      <c r="F255" s="2">
        <v>2141624.0</v>
      </c>
      <c r="G255" s="2">
        <v>1.89E7</v>
      </c>
      <c r="H255" s="2">
        <v>232089.0</v>
      </c>
      <c r="I255" s="2">
        <v>2.1273713E7</v>
      </c>
      <c r="J255" s="2">
        <v>1.5995391E7</v>
      </c>
      <c r="K255" s="2">
        <v>5278322.0</v>
      </c>
    </row>
    <row r="256">
      <c r="A256" s="2">
        <v>2019.0</v>
      </c>
      <c r="B256" s="1" t="s">
        <v>332</v>
      </c>
      <c r="C256" s="2"/>
      <c r="D256" s="2" t="s">
        <v>471</v>
      </c>
      <c r="E256" s="1" t="s">
        <v>420</v>
      </c>
      <c r="F256" s="2">
        <v>4998805.0</v>
      </c>
      <c r="G256" s="2">
        <v>1.85E7</v>
      </c>
      <c r="H256" s="2">
        <v>364168.0</v>
      </c>
      <c r="I256" s="2">
        <v>2.3862973E7</v>
      </c>
      <c r="J256" s="2">
        <v>1.6799965E7</v>
      </c>
      <c r="K256" s="2">
        <v>7063008.0</v>
      </c>
    </row>
    <row r="257">
      <c r="A257" s="2">
        <v>2019.0</v>
      </c>
      <c r="B257" s="1" t="s">
        <v>332</v>
      </c>
      <c r="C257" s="2"/>
      <c r="D257" s="2" t="s">
        <v>143</v>
      </c>
      <c r="E257" s="1" t="s">
        <v>420</v>
      </c>
      <c r="F257" s="2">
        <v>989001.0</v>
      </c>
      <c r="G257" s="2">
        <v>1.08E7</v>
      </c>
      <c r="H257" s="2">
        <v>104306.0</v>
      </c>
      <c r="I257" s="2">
        <v>1.1893307E7</v>
      </c>
      <c r="J257" s="2">
        <v>9799255.0</v>
      </c>
      <c r="K257" s="2">
        <v>2094052.0</v>
      </c>
    </row>
    <row r="258">
      <c r="A258" s="2">
        <v>2019.0</v>
      </c>
      <c r="B258" s="1" t="s">
        <v>332</v>
      </c>
      <c r="C258" s="2"/>
      <c r="D258" s="2" t="s">
        <v>153</v>
      </c>
      <c r="E258" s="1" t="s">
        <v>420</v>
      </c>
      <c r="F258" s="2">
        <v>2264209.0</v>
      </c>
      <c r="G258" s="2">
        <v>2.88E7</v>
      </c>
      <c r="H258" s="2">
        <v>233240.0</v>
      </c>
      <c r="I258" s="2">
        <v>3.1297449E7</v>
      </c>
      <c r="J258" s="2">
        <v>2.6631642E7</v>
      </c>
      <c r="K258" s="2">
        <v>4665807.0</v>
      </c>
    </row>
    <row r="259">
      <c r="A259" s="2">
        <v>2019.0</v>
      </c>
      <c r="B259" s="1" t="s">
        <v>332</v>
      </c>
      <c r="C259" s="2"/>
      <c r="D259" s="2" t="s">
        <v>155</v>
      </c>
      <c r="E259" s="1" t="s">
        <v>420</v>
      </c>
      <c r="F259" s="2">
        <v>3221356.0</v>
      </c>
      <c r="G259" s="2">
        <v>1.32E7</v>
      </c>
      <c r="H259" s="2">
        <v>167801.0</v>
      </c>
      <c r="I259" s="2">
        <v>1.6589157E7</v>
      </c>
      <c r="J259" s="2">
        <v>1.4305499E7</v>
      </c>
      <c r="K259" s="2">
        <v>2283658.0</v>
      </c>
    </row>
    <row r="260">
      <c r="A260" s="2">
        <v>2019.0</v>
      </c>
      <c r="B260" s="1" t="s">
        <v>332</v>
      </c>
      <c r="C260" s="2" t="s">
        <v>165</v>
      </c>
      <c r="D260" s="2" t="s">
        <v>171</v>
      </c>
      <c r="E260" s="1" t="s">
        <v>420</v>
      </c>
      <c r="F260" s="2">
        <v>1477487.0</v>
      </c>
      <c r="G260" s="2">
        <v>1.62284E7</v>
      </c>
      <c r="H260" s="2">
        <v>132088.0</v>
      </c>
      <c r="I260" s="2">
        <v>1.7837975E7</v>
      </c>
      <c r="J260" s="2">
        <v>1.631989E7</v>
      </c>
      <c r="K260" s="2">
        <v>1518085.0</v>
      </c>
    </row>
    <row r="261">
      <c r="A261" s="2">
        <v>2019.0</v>
      </c>
      <c r="B261" s="1" t="s">
        <v>332</v>
      </c>
      <c r="C261" s="2"/>
      <c r="D261" s="2" t="s">
        <v>175</v>
      </c>
      <c r="E261" s="1" t="s">
        <v>420</v>
      </c>
      <c r="F261" s="2">
        <v>4215160.0</v>
      </c>
      <c r="G261" s="2">
        <v>9927000.0</v>
      </c>
      <c r="H261" s="2">
        <v>182672.0</v>
      </c>
      <c r="I261" s="2">
        <v>1.4324832E7</v>
      </c>
      <c r="J261" s="2">
        <v>1.2123501E7</v>
      </c>
      <c r="K261" s="2">
        <v>2201331.0</v>
      </c>
    </row>
    <row r="262">
      <c r="A262" s="2">
        <v>2019.0</v>
      </c>
      <c r="B262" s="1" t="s">
        <v>332</v>
      </c>
      <c r="C262" s="2" t="s">
        <v>157</v>
      </c>
      <c r="D262" s="2" t="s">
        <v>450</v>
      </c>
      <c r="E262" s="1" t="s">
        <v>420</v>
      </c>
      <c r="F262" s="2">
        <v>6761299.0</v>
      </c>
      <c r="G262" s="2">
        <v>1.665E7</v>
      </c>
      <c r="H262" s="2">
        <v>459850.0</v>
      </c>
      <c r="I262" s="2">
        <v>2.3871149E7</v>
      </c>
      <c r="J262" s="2">
        <v>1.4073334E7</v>
      </c>
      <c r="K262" s="2">
        <v>9797815.0</v>
      </c>
    </row>
    <row r="263">
      <c r="A263" s="2">
        <v>2019.0</v>
      </c>
      <c r="B263" s="1" t="s">
        <v>332</v>
      </c>
      <c r="C263" s="2"/>
      <c r="D263" s="2" t="s">
        <v>452</v>
      </c>
      <c r="E263" s="1" t="s">
        <v>420</v>
      </c>
      <c r="F263" s="2">
        <v>8002367.0</v>
      </c>
      <c r="G263" s="2">
        <v>1.3571747E7</v>
      </c>
      <c r="H263" s="2">
        <v>362605.0</v>
      </c>
      <c r="I263" s="2">
        <v>2.1936719E7</v>
      </c>
      <c r="J263" s="2">
        <v>1.6173442E7</v>
      </c>
      <c r="K263" s="2">
        <v>5763277.0</v>
      </c>
    </row>
    <row r="264">
      <c r="A264" s="2">
        <v>2019.0</v>
      </c>
      <c r="B264" s="1" t="s">
        <v>332</v>
      </c>
      <c r="C264" s="2"/>
      <c r="D264" s="2" t="s">
        <v>161</v>
      </c>
      <c r="E264" s="1" t="s">
        <v>420</v>
      </c>
      <c r="F264" s="2">
        <v>7015631.0</v>
      </c>
      <c r="G264" s="2">
        <v>1.505E7</v>
      </c>
      <c r="H264" s="2">
        <v>427351.0</v>
      </c>
      <c r="I264" s="2">
        <v>2.2492982E7</v>
      </c>
      <c r="J264" s="2">
        <v>1.3664579E7</v>
      </c>
      <c r="K264" s="2">
        <v>8828403.0</v>
      </c>
    </row>
    <row r="265">
      <c r="A265" s="2">
        <v>2019.0</v>
      </c>
      <c r="B265" s="1" t="s">
        <v>332</v>
      </c>
      <c r="C265" s="2"/>
      <c r="D265" s="2" t="s">
        <v>477</v>
      </c>
      <c r="E265" s="1" t="s">
        <v>420</v>
      </c>
      <c r="F265" s="2">
        <v>7889721.0</v>
      </c>
      <c r="G265" s="2">
        <v>1.6852195E7</v>
      </c>
      <c r="H265" s="2">
        <v>494144.0</v>
      </c>
      <c r="I265" s="2">
        <v>2.523606E7</v>
      </c>
      <c r="J265" s="2">
        <v>1.5018906E7</v>
      </c>
      <c r="K265" s="2">
        <v>1.0217154E7</v>
      </c>
    </row>
    <row r="266">
      <c r="A266" s="2">
        <v>2019.0</v>
      </c>
      <c r="B266" s="1" t="s">
        <v>332</v>
      </c>
      <c r="C266" s="2" t="s">
        <v>176</v>
      </c>
      <c r="D266" s="2" t="s">
        <v>176</v>
      </c>
      <c r="E266" s="1" t="s">
        <v>420</v>
      </c>
      <c r="F266" s="2">
        <v>1174426.0</v>
      </c>
      <c r="G266" s="2">
        <v>8626882.0</v>
      </c>
      <c r="I266" s="2">
        <v>9801308.0</v>
      </c>
      <c r="J266" s="2">
        <v>4908236.0</v>
      </c>
      <c r="K266" s="2">
        <v>4893072.0</v>
      </c>
    </row>
    <row r="267">
      <c r="A267" s="2">
        <v>2019.0</v>
      </c>
      <c r="B267" s="1" t="s">
        <v>332</v>
      </c>
      <c r="C267" s="2"/>
      <c r="D267" s="2" t="s">
        <v>177</v>
      </c>
      <c r="E267" s="1" t="s">
        <v>420</v>
      </c>
      <c r="F267" s="2">
        <v>3831689.0</v>
      </c>
      <c r="G267" s="2">
        <v>1.0116987E7</v>
      </c>
      <c r="I267" s="2">
        <v>1.3948676E7</v>
      </c>
      <c r="J267" s="2">
        <v>8447545.0</v>
      </c>
      <c r="K267" s="2">
        <v>5501131.0</v>
      </c>
    </row>
    <row r="268">
      <c r="A268" s="2">
        <v>2019.0</v>
      </c>
      <c r="B268" s="1" t="s">
        <v>332</v>
      </c>
      <c r="C268" s="2"/>
      <c r="D268" s="2" t="s">
        <v>456</v>
      </c>
      <c r="E268" s="1" t="s">
        <v>420</v>
      </c>
      <c r="F268" s="2">
        <v>6081316.0</v>
      </c>
      <c r="G268" s="2">
        <v>1.0933752E7</v>
      </c>
      <c r="H268" s="2">
        <v>0.0</v>
      </c>
      <c r="I268" s="2">
        <v>1.7015068E7</v>
      </c>
      <c r="J268" s="2">
        <v>1.1623868E7</v>
      </c>
      <c r="K268" s="2">
        <v>5391200.0</v>
      </c>
    </row>
    <row r="269">
      <c r="A269" s="2">
        <v>2019.0</v>
      </c>
      <c r="B269" s="1" t="s">
        <v>332</v>
      </c>
      <c r="C269" s="2"/>
      <c r="D269" s="2" t="s">
        <v>193</v>
      </c>
      <c r="E269" s="1" t="s">
        <v>420</v>
      </c>
      <c r="F269" s="2">
        <v>8626371.0</v>
      </c>
      <c r="G269" s="2">
        <v>2.341067E7</v>
      </c>
      <c r="H269" s="2">
        <v>100453.0</v>
      </c>
      <c r="I269" s="2">
        <v>3.2137494E7</v>
      </c>
      <c r="J269" s="2">
        <v>2.066783E7</v>
      </c>
      <c r="K269" s="2">
        <v>1.1469664E7</v>
      </c>
    </row>
    <row r="270">
      <c r="A270" s="2">
        <v>2019.0</v>
      </c>
      <c r="B270" s="1" t="s">
        <v>332</v>
      </c>
      <c r="C270" s="2"/>
      <c r="D270" s="2" t="s">
        <v>458</v>
      </c>
      <c r="E270" s="1" t="s">
        <v>420</v>
      </c>
      <c r="F270" s="2">
        <v>900516.0</v>
      </c>
      <c r="G270" s="2">
        <v>0.0</v>
      </c>
      <c r="H270" s="2">
        <v>0.0</v>
      </c>
      <c r="I270" s="2">
        <v>900516.0</v>
      </c>
      <c r="J270" s="2">
        <v>0.0</v>
      </c>
      <c r="K270" s="2">
        <v>900516.0</v>
      </c>
    </row>
    <row r="271">
      <c r="A271" s="2">
        <v>2019.0</v>
      </c>
      <c r="B271" s="1" t="s">
        <v>332</v>
      </c>
      <c r="C271" s="2" t="s">
        <v>308</v>
      </c>
      <c r="D271" s="2" t="s">
        <v>309</v>
      </c>
      <c r="E271" s="1" t="s">
        <v>420</v>
      </c>
      <c r="F271" s="2">
        <v>997786.0</v>
      </c>
      <c r="G271" s="2">
        <v>9619000.0</v>
      </c>
      <c r="H271" s="2">
        <v>60463.0</v>
      </c>
      <c r="I271" s="2">
        <v>1.0677249E7</v>
      </c>
      <c r="J271" s="2">
        <v>8660908.0</v>
      </c>
      <c r="K271" s="2">
        <v>2016341.0</v>
      </c>
    </row>
    <row r="272">
      <c r="A272" s="2">
        <v>2019.0</v>
      </c>
      <c r="B272" s="1" t="s">
        <v>332</v>
      </c>
      <c r="C272" s="2"/>
      <c r="D272" s="2" t="s">
        <v>312</v>
      </c>
      <c r="E272" s="1" t="s">
        <v>420</v>
      </c>
      <c r="F272" s="2">
        <v>992811.0</v>
      </c>
      <c r="G272" s="2">
        <v>1.3138E7</v>
      </c>
      <c r="H272" s="2">
        <v>71961.0</v>
      </c>
      <c r="I272" s="2">
        <v>1.4202772E7</v>
      </c>
      <c r="J272" s="2">
        <v>1.3612659E7</v>
      </c>
      <c r="K272" s="2">
        <v>590113.0</v>
      </c>
    </row>
    <row r="273">
      <c r="A273" s="2">
        <v>2019.0</v>
      </c>
      <c r="B273" s="1" t="s">
        <v>332</v>
      </c>
      <c r="C273" s="2"/>
      <c r="D273" s="2" t="s">
        <v>316</v>
      </c>
      <c r="E273" s="1" t="s">
        <v>420</v>
      </c>
      <c r="F273" s="2">
        <v>1173317.0</v>
      </c>
      <c r="G273" s="2">
        <v>1.34712E7</v>
      </c>
      <c r="H273" s="2">
        <v>36794.0</v>
      </c>
      <c r="I273" s="2">
        <v>1.4681311E7</v>
      </c>
      <c r="J273" s="2">
        <v>1.2135997E7</v>
      </c>
      <c r="K273" s="2">
        <v>2545314.0</v>
      </c>
    </row>
    <row r="274">
      <c r="A274" s="2">
        <v>2019.0</v>
      </c>
      <c r="B274" s="1" t="s">
        <v>332</v>
      </c>
      <c r="C274" s="2"/>
      <c r="D274" s="2" t="s">
        <v>411</v>
      </c>
      <c r="E274" s="1" t="s">
        <v>420</v>
      </c>
      <c r="F274" s="2">
        <v>997786.0</v>
      </c>
      <c r="G274" s="2">
        <v>9619000.0</v>
      </c>
      <c r="H274" s="2">
        <v>60463.0</v>
      </c>
      <c r="I274" s="2">
        <v>1.0677249E7</v>
      </c>
      <c r="J274" s="2">
        <v>8660908.0</v>
      </c>
      <c r="K274" s="2">
        <v>2016341.0</v>
      </c>
    </row>
    <row r="275">
      <c r="A275" s="2">
        <v>2019.0</v>
      </c>
      <c r="B275" s="1" t="s">
        <v>332</v>
      </c>
      <c r="C275" s="2"/>
      <c r="D275" s="2" t="s">
        <v>412</v>
      </c>
      <c r="E275" s="1" t="s">
        <v>420</v>
      </c>
      <c r="F275" s="2">
        <v>1437883.0</v>
      </c>
      <c r="G275" s="2">
        <v>1.3799369E7</v>
      </c>
      <c r="H275" s="2">
        <v>114739.0</v>
      </c>
      <c r="I275" s="2">
        <v>1.5351991E7</v>
      </c>
      <c r="J275" s="2">
        <v>1.2276178E7</v>
      </c>
      <c r="K275" s="2">
        <v>3075813.0</v>
      </c>
    </row>
    <row r="276">
      <c r="A276" s="2">
        <v>2019.0</v>
      </c>
      <c r="B276" s="1" t="s">
        <v>332</v>
      </c>
      <c r="C276" s="2"/>
      <c r="D276" s="2" t="s">
        <v>324</v>
      </c>
      <c r="E276" s="1" t="s">
        <v>420</v>
      </c>
      <c r="F276" s="2">
        <v>1050137.0</v>
      </c>
      <c r="G276" s="2">
        <v>8391000.0</v>
      </c>
      <c r="H276" s="2">
        <v>68775.0</v>
      </c>
      <c r="I276" s="2">
        <v>9509912.0</v>
      </c>
      <c r="J276" s="2">
        <v>7056897.0</v>
      </c>
      <c r="K276" s="2">
        <v>2453015.0</v>
      </c>
    </row>
    <row r="277">
      <c r="A277" s="2">
        <v>2019.0</v>
      </c>
      <c r="B277" s="1" t="s">
        <v>332</v>
      </c>
      <c r="C277" s="2"/>
      <c r="D277" s="2" t="s">
        <v>326</v>
      </c>
      <c r="E277" s="1" t="s">
        <v>420</v>
      </c>
      <c r="F277" s="2">
        <v>1945654.0</v>
      </c>
      <c r="G277" s="2">
        <v>1.21515E7</v>
      </c>
      <c r="H277" s="2">
        <v>103158.0</v>
      </c>
      <c r="I277" s="2">
        <v>1.4200312E7</v>
      </c>
      <c r="J277" s="2">
        <v>1.1574528E7</v>
      </c>
      <c r="K277" s="2">
        <v>2625784.0</v>
      </c>
    </row>
    <row r="278">
      <c r="A278" s="2">
        <v>2019.0</v>
      </c>
      <c r="B278" s="1" t="s">
        <v>332</v>
      </c>
      <c r="C278" s="2" t="s">
        <v>128</v>
      </c>
      <c r="D278" s="2" t="s">
        <v>521</v>
      </c>
      <c r="E278" s="1" t="s">
        <v>420</v>
      </c>
      <c r="F278" s="2">
        <v>236597.0</v>
      </c>
      <c r="G278" s="2">
        <v>1.2675428E7</v>
      </c>
      <c r="H278" s="2">
        <v>64533.0</v>
      </c>
      <c r="I278" s="2">
        <v>1.2976558E7</v>
      </c>
      <c r="J278" s="2">
        <v>1.2406403E7</v>
      </c>
      <c r="K278" s="2">
        <v>570155.0</v>
      </c>
    </row>
    <row r="279">
      <c r="A279" s="2">
        <v>2019.0</v>
      </c>
      <c r="B279" s="1" t="s">
        <v>332</v>
      </c>
      <c r="C279" s="2"/>
      <c r="D279" s="2" t="s">
        <v>523</v>
      </c>
      <c r="E279" s="1" t="s">
        <v>420</v>
      </c>
      <c r="F279" s="2">
        <v>232840.0</v>
      </c>
      <c r="G279" s="2">
        <v>1.7984059E7</v>
      </c>
      <c r="H279" s="2">
        <v>59507.0</v>
      </c>
      <c r="I279" s="2">
        <v>1.8276406E7</v>
      </c>
      <c r="J279" s="2">
        <v>1.8143829E7</v>
      </c>
      <c r="K279" s="2">
        <v>132577.0</v>
      </c>
    </row>
    <row r="280">
      <c r="A280" s="2">
        <v>2019.0</v>
      </c>
      <c r="B280" s="1" t="s">
        <v>332</v>
      </c>
      <c r="C280" s="2"/>
      <c r="D280" s="2" t="s">
        <v>524</v>
      </c>
      <c r="E280" s="1" t="s">
        <v>420</v>
      </c>
      <c r="F280" s="2">
        <v>247004.0</v>
      </c>
      <c r="G280" s="2">
        <v>7323861.0</v>
      </c>
      <c r="H280" s="2">
        <v>36183.0</v>
      </c>
      <c r="I280" s="2">
        <v>7607048.0</v>
      </c>
      <c r="J280" s="2">
        <v>7418510.0</v>
      </c>
      <c r="K280" s="2">
        <v>188538.0</v>
      </c>
    </row>
    <row r="281">
      <c r="A281" s="2">
        <v>2019.0</v>
      </c>
      <c r="B281" s="1" t="s">
        <v>332</v>
      </c>
      <c r="C281" s="2" t="s">
        <v>198</v>
      </c>
      <c r="D281" s="2" t="s">
        <v>199</v>
      </c>
      <c r="E281" s="1" t="s">
        <v>420</v>
      </c>
      <c r="F281" s="2">
        <v>4043217.0</v>
      </c>
      <c r="G281" s="2">
        <v>7300000.0</v>
      </c>
      <c r="H281" s="2">
        <v>281812.0</v>
      </c>
      <c r="I281" s="2">
        <v>1.1625029E7</v>
      </c>
      <c r="J281" s="2">
        <v>4068191.0</v>
      </c>
      <c r="K281" s="2">
        <v>7556838.0</v>
      </c>
    </row>
    <row r="282">
      <c r="A282" s="2">
        <v>2019.0</v>
      </c>
      <c r="B282" s="1" t="s">
        <v>332</v>
      </c>
      <c r="D282" s="2" t="s">
        <v>526</v>
      </c>
      <c r="E282" s="1" t="s">
        <v>420</v>
      </c>
      <c r="F282" s="2">
        <v>1867970.0</v>
      </c>
      <c r="G282" s="2">
        <v>2.3E7</v>
      </c>
      <c r="H282" s="2">
        <v>314349.0</v>
      </c>
      <c r="I282" s="2">
        <v>2.5182319E7</v>
      </c>
      <c r="J282" s="2">
        <v>2.0186713E7</v>
      </c>
      <c r="K282" s="2">
        <v>4995606.0</v>
      </c>
    </row>
    <row r="283">
      <c r="A283" s="2">
        <v>2019.0</v>
      </c>
      <c r="B283" s="2" t="s">
        <v>26</v>
      </c>
      <c r="D283" s="2" t="s">
        <v>234</v>
      </c>
      <c r="E283" s="2"/>
      <c r="F283" s="2">
        <v>8.2240015E7</v>
      </c>
      <c r="G283" s="2">
        <v>5.625115E7</v>
      </c>
      <c r="H283" s="2">
        <v>1939442.0</v>
      </c>
      <c r="I283" s="2">
        <v>1.40430607E8</v>
      </c>
      <c r="J283" s="2">
        <v>9.2865594E7</v>
      </c>
      <c r="K283" s="2">
        <v>4.7565013E7</v>
      </c>
    </row>
    <row r="284">
      <c r="A284" s="2">
        <v>2019.0</v>
      </c>
      <c r="B284" s="2" t="s">
        <v>26</v>
      </c>
      <c r="D284" s="2" t="s">
        <v>236</v>
      </c>
      <c r="E284" s="2"/>
      <c r="F284" s="2">
        <v>2.3515579E7</v>
      </c>
      <c r="G284" s="2">
        <v>4.1477079E7</v>
      </c>
      <c r="H284" s="2">
        <v>1304841.0</v>
      </c>
      <c r="I284" s="2">
        <v>6.6297499E7</v>
      </c>
      <c r="J284" s="2">
        <v>3.9269282E7</v>
      </c>
      <c r="K284" s="2">
        <v>2.7028217E7</v>
      </c>
    </row>
    <row r="285">
      <c r="A285" s="2">
        <v>2019.0</v>
      </c>
      <c r="B285" s="2" t="s">
        <v>213</v>
      </c>
      <c r="D285" s="2" t="s">
        <v>234</v>
      </c>
      <c r="E285" s="2"/>
      <c r="F285" s="2">
        <v>4.7565013E7</v>
      </c>
      <c r="G285" s="2">
        <v>7.4649608E7</v>
      </c>
      <c r="H285" s="2">
        <v>1303835.0</v>
      </c>
      <c r="I285" s="2">
        <v>1.23518456E8</v>
      </c>
      <c r="J285" s="2">
        <v>5.8956225E7</v>
      </c>
      <c r="K285" s="2">
        <v>6.4562231E7</v>
      </c>
    </row>
    <row r="286">
      <c r="A286" s="2">
        <v>2019.0</v>
      </c>
      <c r="B286" s="2" t="s">
        <v>213</v>
      </c>
      <c r="D286" s="2" t="s">
        <v>236</v>
      </c>
      <c r="E286" s="2"/>
      <c r="F286" s="2">
        <v>2.7028217E7</v>
      </c>
      <c r="G286" s="2">
        <v>2.357725E7</v>
      </c>
      <c r="H286" s="2">
        <v>742604.0</v>
      </c>
      <c r="I286" s="2">
        <v>5.1348071E7</v>
      </c>
      <c r="J286" s="2">
        <v>2.7908038E7</v>
      </c>
      <c r="K286" s="2">
        <v>2.3440033E7</v>
      </c>
    </row>
    <row r="287">
      <c r="A287" s="2">
        <v>2019.0</v>
      </c>
      <c r="B287" s="2" t="s">
        <v>332</v>
      </c>
      <c r="D287" s="2" t="s">
        <v>234</v>
      </c>
      <c r="E287" s="2"/>
      <c r="F287" s="2">
        <v>6.4562231E7</v>
      </c>
      <c r="G287" s="2">
        <v>3.9229943E7</v>
      </c>
      <c r="H287" s="2">
        <v>1232540.0</v>
      </c>
      <c r="I287" s="2">
        <v>1.05024714E8</v>
      </c>
      <c r="J287" s="2">
        <v>4.7686557E7</v>
      </c>
      <c r="K287" s="2">
        <v>5.7338157E7</v>
      </c>
    </row>
    <row r="288">
      <c r="A288" s="2">
        <v>2019.0</v>
      </c>
      <c r="B288" s="2" t="s">
        <v>332</v>
      </c>
      <c r="D288" s="2" t="s">
        <v>236</v>
      </c>
      <c r="E288" s="2"/>
      <c r="F288" s="2">
        <v>2.3440033E7</v>
      </c>
      <c r="G288" s="2">
        <v>3.6102809E7</v>
      </c>
      <c r="H288" s="2">
        <v>1100236.0</v>
      </c>
      <c r="I288" s="2">
        <v>6.0643078E7</v>
      </c>
      <c r="J288" s="2">
        <v>2.2032269E7</v>
      </c>
      <c r="K288" s="2">
        <v>3.8610809E7</v>
      </c>
    </row>
    <row r="289">
      <c r="A289" s="2">
        <v>2019.0</v>
      </c>
      <c r="B289" s="2" t="s">
        <v>332</v>
      </c>
      <c r="D289" s="2" t="s">
        <v>532</v>
      </c>
      <c r="E289" s="2"/>
      <c r="F289" s="2">
        <v>4.7440741E7</v>
      </c>
      <c r="G289" s="2">
        <v>4.018E7</v>
      </c>
      <c r="H289" s="2" t="s">
        <v>534</v>
      </c>
      <c r="I289" s="2">
        <v>8.783445E7</v>
      </c>
      <c r="J289" s="2">
        <v>4.5119269E7</v>
      </c>
      <c r="K289" s="2">
        <v>4.2715181E7</v>
      </c>
    </row>
    <row r="290">
      <c r="A290" s="2">
        <v>2019.0</v>
      </c>
      <c r="B290" s="2" t="s">
        <v>26</v>
      </c>
      <c r="D290" s="2" t="s">
        <v>535</v>
      </c>
      <c r="E290" s="2"/>
      <c r="F290" s="2">
        <v>1.579273E7</v>
      </c>
      <c r="G290" s="2">
        <v>1.1961718E7</v>
      </c>
      <c r="H290" s="2">
        <v>538223.0</v>
      </c>
      <c r="I290" s="2">
        <v>2.8292671E7</v>
      </c>
      <c r="J290" s="2">
        <v>1.9748787E7</v>
      </c>
      <c r="K290" s="2">
        <v>8543884.0</v>
      </c>
    </row>
    <row r="291">
      <c r="A291" s="2">
        <v>2019.0</v>
      </c>
      <c r="B291" s="2" t="s">
        <v>26</v>
      </c>
      <c r="D291" s="2" t="s">
        <v>537</v>
      </c>
      <c r="E291" s="2"/>
      <c r="F291" s="2">
        <v>4633467.0</v>
      </c>
      <c r="G291" s="2">
        <v>1.6946355E7</v>
      </c>
      <c r="H291" s="2">
        <v>43777.0</v>
      </c>
      <c r="I291" s="2">
        <v>2.1623599E7</v>
      </c>
      <c r="J291" s="2">
        <v>1.5145409E7</v>
      </c>
      <c r="K291" s="2">
        <v>6478190.0</v>
      </c>
    </row>
    <row r="292">
      <c r="A292" s="2">
        <v>2019.0</v>
      </c>
      <c r="B292" s="2" t="s">
        <v>26</v>
      </c>
      <c r="D292" s="2" t="s">
        <v>539</v>
      </c>
      <c r="E292" s="2"/>
      <c r="F292" s="2">
        <v>2438473.0</v>
      </c>
      <c r="G292" s="2">
        <v>3792050.0</v>
      </c>
      <c r="H292" s="2">
        <v>45317.0</v>
      </c>
      <c r="I292" s="2">
        <v>6275840.0</v>
      </c>
      <c r="J292" s="2">
        <v>6039212.0</v>
      </c>
      <c r="K292" s="2">
        <v>236628.0</v>
      </c>
    </row>
    <row r="293">
      <c r="A293" s="2">
        <v>2019.0</v>
      </c>
      <c r="B293" s="2" t="s">
        <v>213</v>
      </c>
      <c r="D293" s="2" t="s">
        <v>535</v>
      </c>
      <c r="E293" s="2"/>
      <c r="F293" s="2">
        <v>8543884.0</v>
      </c>
      <c r="G293" s="2">
        <v>2.3035075E7</v>
      </c>
      <c r="H293" s="2">
        <v>151352.0</v>
      </c>
      <c r="I293" s="2">
        <v>3.1730311E7</v>
      </c>
      <c r="J293" s="2">
        <v>2.2809036E7</v>
      </c>
      <c r="K293" s="2">
        <v>8921275.0</v>
      </c>
    </row>
    <row r="294">
      <c r="A294" s="2">
        <v>2019.0</v>
      </c>
      <c r="B294" s="2" t="s">
        <v>213</v>
      </c>
      <c r="D294" s="2" t="s">
        <v>537</v>
      </c>
      <c r="E294" s="2"/>
      <c r="F294" s="2">
        <v>6478190.0</v>
      </c>
      <c r="G294" s="2">
        <v>1.5366264E7</v>
      </c>
      <c r="H294" s="2">
        <v>23826.0</v>
      </c>
      <c r="I294" s="2">
        <v>2.186828E7</v>
      </c>
      <c r="J294" s="2">
        <v>1.1436486E7</v>
      </c>
      <c r="K294" s="2">
        <v>1.0431794E7</v>
      </c>
    </row>
    <row r="295">
      <c r="A295" s="2">
        <v>2019.0</v>
      </c>
      <c r="B295" s="2" t="s">
        <v>213</v>
      </c>
      <c r="D295" s="2" t="s">
        <v>539</v>
      </c>
      <c r="E295" s="2"/>
      <c r="F295" s="2">
        <v>2847237.0</v>
      </c>
      <c r="G295" s="2">
        <v>6499901.0</v>
      </c>
      <c r="H295" s="2">
        <v>96561.0</v>
      </c>
      <c r="I295" s="2">
        <v>9443699.0</v>
      </c>
      <c r="J295" s="2">
        <v>7112006.0</v>
      </c>
      <c r="K295" s="2">
        <v>2331693.0</v>
      </c>
    </row>
    <row r="296">
      <c r="A296" s="2">
        <v>2019.0</v>
      </c>
      <c r="B296" s="2" t="s">
        <v>332</v>
      </c>
      <c r="D296" s="2" t="s">
        <v>535</v>
      </c>
      <c r="E296" s="2"/>
      <c r="F296" s="2">
        <v>8921275.0</v>
      </c>
      <c r="G296" s="2">
        <v>2.1699086E7</v>
      </c>
      <c r="H296" s="2">
        <v>281260.0</v>
      </c>
      <c r="I296" s="2">
        <v>3.0901621E7</v>
      </c>
      <c r="J296" s="2">
        <v>2.3561814E7</v>
      </c>
      <c r="K296" s="2">
        <v>7339807.0</v>
      </c>
    </row>
    <row r="297">
      <c r="A297" s="2">
        <v>2019.0</v>
      </c>
      <c r="B297" s="2" t="s">
        <v>332</v>
      </c>
      <c r="D297" s="2" t="s">
        <v>537</v>
      </c>
      <c r="E297" s="2"/>
      <c r="F297" s="2">
        <v>1.1824136E7</v>
      </c>
      <c r="G297" s="2">
        <v>5.0021276E7</v>
      </c>
      <c r="H297" s="2">
        <v>279113.0</v>
      </c>
      <c r="I297" s="2">
        <v>6.2124525E7</v>
      </c>
      <c r="J297" s="2">
        <v>3.5595815E7</v>
      </c>
      <c r="K297" s="2">
        <v>2.652871E7</v>
      </c>
    </row>
    <row r="298">
      <c r="A298" s="2">
        <v>2019.0</v>
      </c>
      <c r="B298" s="2" t="s">
        <v>332</v>
      </c>
      <c r="D298" s="2" t="s">
        <v>539</v>
      </c>
      <c r="E298" s="2"/>
      <c r="F298" s="2">
        <v>4269139.0</v>
      </c>
      <c r="G298" s="2">
        <v>1.5079462E7</v>
      </c>
      <c r="H298" s="2">
        <v>341951.0</v>
      </c>
      <c r="I298" s="2">
        <v>1.9690552E7</v>
      </c>
      <c r="J298" s="2">
        <v>1.1261481E7</v>
      </c>
      <c r="K298" s="2">
        <v>8429071.0</v>
      </c>
    </row>
    <row r="299">
      <c r="A299" s="2">
        <v>2019.0</v>
      </c>
      <c r="B299" s="2" t="s">
        <v>545</v>
      </c>
      <c r="D299" s="2" t="s">
        <v>546</v>
      </c>
      <c r="E299" s="2"/>
      <c r="F299" s="2">
        <v>283773.25</v>
      </c>
      <c r="G299" s="2">
        <v>4955811.0</v>
      </c>
      <c r="H299" s="2">
        <v>23971.0</v>
      </c>
      <c r="I299" s="2">
        <v>5263555.25</v>
      </c>
      <c r="J299" s="2">
        <v>4888012.0</v>
      </c>
      <c r="K299" s="2">
        <v>375543.25</v>
      </c>
    </row>
    <row r="300">
      <c r="A300" s="2">
        <v>2019.0</v>
      </c>
      <c r="B300" s="2" t="s">
        <v>547</v>
      </c>
      <c r="D300" s="2" t="s">
        <v>548</v>
      </c>
      <c r="E300" s="2"/>
      <c r="F300" s="2">
        <v>1042243.0</v>
      </c>
      <c r="G300" s="2">
        <v>1.4272307E7</v>
      </c>
      <c r="H300" s="2">
        <v>28299.0</v>
      </c>
      <c r="I300" s="2">
        <v>1.5342849E7</v>
      </c>
      <c r="J300" s="2">
        <v>1.3814347E7</v>
      </c>
      <c r="K300" s="2">
        <v>1528502.0</v>
      </c>
    </row>
    <row r="301">
      <c r="A301" s="2">
        <v>2019.0</v>
      </c>
      <c r="B301" s="2" t="s">
        <v>549</v>
      </c>
      <c r="D301" s="2" t="s">
        <v>551</v>
      </c>
      <c r="E301" s="2"/>
      <c r="F301" s="2">
        <v>375543.25</v>
      </c>
      <c r="G301" s="2">
        <v>1.2274821E7</v>
      </c>
      <c r="H301" s="2">
        <v>32475.8</v>
      </c>
      <c r="I301" s="2">
        <v>1.268284005E7</v>
      </c>
      <c r="J301" s="2">
        <v>8277436.0</v>
      </c>
      <c r="K301" s="2">
        <v>4405404.15</v>
      </c>
    </row>
    <row r="302">
      <c r="A302" s="2">
        <v>2019.0</v>
      </c>
      <c r="B302" s="2" t="s">
        <v>554</v>
      </c>
      <c r="D302" s="2" t="s">
        <v>555</v>
      </c>
      <c r="E302" s="2"/>
      <c r="F302" s="2">
        <v>942504.0</v>
      </c>
      <c r="G302" s="2">
        <v>1634000.0</v>
      </c>
      <c r="H302" s="2">
        <v>6944.0</v>
      </c>
      <c r="I302" s="2">
        <v>2583448.0</v>
      </c>
      <c r="J302" s="2">
        <v>993261.0</v>
      </c>
      <c r="K302" s="2">
        <v>1590187.0</v>
      </c>
    </row>
    <row r="303">
      <c r="A303" s="2">
        <v>2019.0</v>
      </c>
      <c r="B303" s="2" t="s">
        <v>557</v>
      </c>
      <c r="D303" s="2" t="s">
        <v>559</v>
      </c>
      <c r="E303" s="2"/>
      <c r="F303" s="2">
        <v>1528502.0</v>
      </c>
      <c r="G303" s="2">
        <v>1.7819465E7</v>
      </c>
      <c r="H303" s="2">
        <v>71331.0</v>
      </c>
      <c r="I303" s="2">
        <v>1.9419298E7</v>
      </c>
      <c r="J303" s="2">
        <v>1.6083739E7</v>
      </c>
      <c r="K303" s="2">
        <v>3335559.0</v>
      </c>
    </row>
    <row r="304">
      <c r="A304" s="2">
        <v>2019.0</v>
      </c>
      <c r="B304" s="2" t="s">
        <v>561</v>
      </c>
      <c r="D304" s="2" t="s">
        <v>551</v>
      </c>
      <c r="E304" s="2"/>
      <c r="F304" s="2">
        <v>4399574.15</v>
      </c>
      <c r="G304" s="2">
        <v>8508834.0</v>
      </c>
      <c r="H304" s="2">
        <v>126349.6</v>
      </c>
      <c r="I304" s="2">
        <v>1.303475775E7</v>
      </c>
      <c r="J304" s="2">
        <v>9739457.0</v>
      </c>
      <c r="K304" s="2">
        <v>3295300.75</v>
      </c>
    </row>
    <row r="305">
      <c r="A305" s="2">
        <v>2019.0</v>
      </c>
      <c r="B305" s="2" t="s">
        <v>563</v>
      </c>
      <c r="D305" s="2" t="s">
        <v>555</v>
      </c>
      <c r="E305" s="2"/>
      <c r="F305" s="2">
        <v>4593587.0</v>
      </c>
      <c r="G305" s="2">
        <v>1.8914564E7</v>
      </c>
      <c r="H305" s="2">
        <v>145689.0</v>
      </c>
      <c r="I305" s="2">
        <v>2.365384E7</v>
      </c>
      <c r="J305" s="2">
        <v>1.6702869E7</v>
      </c>
      <c r="K305" s="2">
        <v>6950971.0</v>
      </c>
    </row>
    <row r="306">
      <c r="A306" s="2">
        <v>2019.0</v>
      </c>
      <c r="B306" s="2" t="s">
        <v>564</v>
      </c>
      <c r="D306" s="2" t="s">
        <v>559</v>
      </c>
      <c r="E306" s="2"/>
      <c r="F306" s="2">
        <v>5371255.0</v>
      </c>
      <c r="G306" s="2">
        <v>2.2456564E7</v>
      </c>
      <c r="H306" s="2">
        <v>110858.0</v>
      </c>
      <c r="I306" s="2">
        <v>2.7938677E7</v>
      </c>
      <c r="J306" s="2">
        <v>1.8645043E7</v>
      </c>
      <c r="K306" s="2">
        <v>9293634.0</v>
      </c>
    </row>
    <row r="307">
      <c r="A307" s="2">
        <v>2019.0</v>
      </c>
      <c r="B307" s="1" t="s">
        <v>213</v>
      </c>
      <c r="C307" s="1" t="s">
        <v>112</v>
      </c>
      <c r="D307" s="2" t="s">
        <v>566</v>
      </c>
      <c r="E307" s="2"/>
      <c r="F307" s="2">
        <v>1499827.64</v>
      </c>
      <c r="G307" s="2">
        <v>8.8725803E7</v>
      </c>
      <c r="H307" s="2">
        <v>225351.0</v>
      </c>
      <c r="I307" s="2">
        <v>9.04509816E7</v>
      </c>
      <c r="J307" s="2">
        <v>8.0986847E7</v>
      </c>
      <c r="K307" s="2">
        <v>9464134.64</v>
      </c>
    </row>
    <row r="308">
      <c r="A308" s="2">
        <v>2019.0</v>
      </c>
      <c r="B308" s="1" t="s">
        <v>213</v>
      </c>
      <c r="C308" s="1" t="s">
        <v>112</v>
      </c>
      <c r="D308" s="2" t="s">
        <v>568</v>
      </c>
      <c r="E308" s="2"/>
      <c r="F308" s="2">
        <v>6023063.32</v>
      </c>
      <c r="G308" s="2">
        <v>4.2807626E7</v>
      </c>
      <c r="H308" s="2">
        <v>122290.0</v>
      </c>
      <c r="I308" s="2">
        <v>4.89529793E7</v>
      </c>
      <c r="J308" s="2">
        <v>4.29E7</v>
      </c>
      <c r="K308" s="2">
        <v>6052979.32</v>
      </c>
    </row>
    <row r="309">
      <c r="A309" s="2">
        <v>2019.0</v>
      </c>
      <c r="B309" s="1" t="s">
        <v>213</v>
      </c>
      <c r="C309" s="1" t="s">
        <v>112</v>
      </c>
      <c r="D309" s="2" t="s">
        <v>570</v>
      </c>
      <c r="E309" s="2"/>
      <c r="F309" s="2">
        <v>1928453.0</v>
      </c>
      <c r="G309" s="2">
        <v>1153116.0</v>
      </c>
      <c r="H309" s="4">
        <v>48586.0</v>
      </c>
      <c r="I309" s="2">
        <v>3130155.0</v>
      </c>
      <c r="J309" s="2">
        <v>3130155.0</v>
      </c>
      <c r="K309" s="2">
        <v>0.0</v>
      </c>
    </row>
    <row r="310">
      <c r="A310" s="2">
        <v>2019.0</v>
      </c>
      <c r="B310" s="1" t="s">
        <v>213</v>
      </c>
      <c r="C310" s="1" t="s">
        <v>112</v>
      </c>
      <c r="D310" s="2" t="s">
        <v>571</v>
      </c>
      <c r="E310" s="4"/>
      <c r="F310" s="4">
        <v>15282.0</v>
      </c>
      <c r="G310" s="2">
        <v>1316592.0</v>
      </c>
      <c r="H310" s="4">
        <v>38140.0</v>
      </c>
      <c r="I310" s="2">
        <v>1370014.0</v>
      </c>
      <c r="J310" s="2">
        <v>1356930.17</v>
      </c>
      <c r="K310" s="7">
        <v>13083.83</v>
      </c>
    </row>
    <row r="311">
      <c r="A311" s="2">
        <v>2019.0</v>
      </c>
      <c r="B311" s="1" t="s">
        <v>213</v>
      </c>
      <c r="C311" s="1" t="s">
        <v>112</v>
      </c>
      <c r="D311" s="2" t="s">
        <v>574</v>
      </c>
      <c r="E311" s="4"/>
      <c r="F311" s="4">
        <v>50562.0</v>
      </c>
      <c r="G311" s="2">
        <v>969600.0</v>
      </c>
      <c r="H311" s="4">
        <v>2043.0</v>
      </c>
      <c r="I311" s="2">
        <v>1022205.0</v>
      </c>
      <c r="J311" s="2">
        <v>55005.0</v>
      </c>
      <c r="K311" s="2">
        <v>967200.0</v>
      </c>
    </row>
    <row r="312">
      <c r="A312" s="2">
        <v>2019.0</v>
      </c>
      <c r="B312" s="1" t="s">
        <v>213</v>
      </c>
      <c r="C312" s="1" t="s">
        <v>112</v>
      </c>
      <c r="D312" s="2" t="s">
        <v>576</v>
      </c>
      <c r="E312" s="2"/>
      <c r="F312" s="2">
        <v>239017.0</v>
      </c>
      <c r="H312" s="4">
        <v>4307.0</v>
      </c>
      <c r="I312" s="2">
        <v>243324.0</v>
      </c>
      <c r="J312" s="2">
        <v>178520.0</v>
      </c>
      <c r="K312" s="4">
        <v>64804.0</v>
      </c>
    </row>
    <row r="313">
      <c r="A313" s="2">
        <v>2019.0</v>
      </c>
      <c r="B313" s="1" t="s">
        <v>213</v>
      </c>
      <c r="C313" s="1" t="s">
        <v>112</v>
      </c>
      <c r="D313" s="2" t="s">
        <v>578</v>
      </c>
      <c r="E313" s="2"/>
      <c r="F313" s="2">
        <v>1638611.0</v>
      </c>
      <c r="H313" s="4">
        <v>65514.0</v>
      </c>
      <c r="I313" s="2">
        <v>1704125.0</v>
      </c>
      <c r="J313" s="2">
        <v>68793.0</v>
      </c>
      <c r="K313" s="2">
        <v>1635332.0</v>
      </c>
    </row>
    <row r="314">
      <c r="A314" s="2">
        <v>2019.0</v>
      </c>
      <c r="B314" s="1" t="s">
        <v>213</v>
      </c>
      <c r="C314" s="1" t="s">
        <v>112</v>
      </c>
      <c r="D314" s="2" t="s">
        <v>396</v>
      </c>
      <c r="E314" s="2"/>
      <c r="F314" s="2">
        <v>912016.0</v>
      </c>
      <c r="G314" s="2">
        <v>1.05E7</v>
      </c>
      <c r="H314" s="2">
        <v>196651.0</v>
      </c>
      <c r="I314" s="2">
        <v>1.1608667E7</v>
      </c>
      <c r="J314" s="2">
        <v>8960869.0</v>
      </c>
      <c r="K314" s="2">
        <v>2647798.0</v>
      </c>
    </row>
    <row r="315">
      <c r="A315" s="2">
        <v>2019.0</v>
      </c>
      <c r="B315" s="1" t="s">
        <v>213</v>
      </c>
      <c r="C315" s="1" t="s">
        <v>112</v>
      </c>
      <c r="D315" s="2" t="s">
        <v>579</v>
      </c>
      <c r="E315" s="4"/>
      <c r="F315" s="4">
        <v>15973.0</v>
      </c>
      <c r="G315" s="4">
        <v>85346.0</v>
      </c>
      <c r="H315" s="2">
        <v>1.275326E7</v>
      </c>
      <c r="I315" s="2">
        <v>1.2854579E7</v>
      </c>
      <c r="J315" s="2">
        <v>1.2280535E7</v>
      </c>
      <c r="K315" s="2">
        <v>574044.0</v>
      </c>
    </row>
    <row r="316">
      <c r="A316" s="2">
        <v>2019.0</v>
      </c>
      <c r="B316" s="1" t="s">
        <v>213</v>
      </c>
      <c r="C316" s="1" t="s">
        <v>112</v>
      </c>
      <c r="D316" s="2" t="s">
        <v>581</v>
      </c>
      <c r="E316" s="4"/>
      <c r="F316" s="4">
        <v>45627.0</v>
      </c>
      <c r="G316" s="2">
        <v>498.0</v>
      </c>
      <c r="I316" s="2">
        <v>46125.0</v>
      </c>
      <c r="J316" s="2">
        <v>46086.0</v>
      </c>
      <c r="K316" s="2">
        <v>39.0</v>
      </c>
    </row>
    <row r="317">
      <c r="A317" s="2">
        <v>2019.0</v>
      </c>
      <c r="B317" s="1" t="s">
        <v>213</v>
      </c>
      <c r="C317" s="1" t="s">
        <v>112</v>
      </c>
      <c r="D317" s="2" t="s">
        <v>583</v>
      </c>
      <c r="E317" s="2"/>
      <c r="F317" s="2">
        <v>1111703.0</v>
      </c>
      <c r="I317" s="2">
        <v>1111703.0</v>
      </c>
      <c r="J317" s="2">
        <v>1077110.0</v>
      </c>
      <c r="K317" s="2">
        <v>34593.0</v>
      </c>
    </row>
    <row r="318">
      <c r="A318" s="2">
        <v>2019.0</v>
      </c>
      <c r="B318" s="1" t="s">
        <v>332</v>
      </c>
      <c r="C318" s="1" t="s">
        <v>112</v>
      </c>
      <c r="D318" s="2" t="s">
        <v>566</v>
      </c>
      <c r="E318" s="2"/>
      <c r="F318" s="2">
        <v>9464134.6</v>
      </c>
      <c r="G318" s="2">
        <v>8.6625486E7</v>
      </c>
      <c r="H318" s="2">
        <v>230837.0</v>
      </c>
      <c r="I318" s="2">
        <v>9.6320458E7</v>
      </c>
      <c r="J318" s="2">
        <v>8.7569572E7</v>
      </c>
      <c r="K318" s="2">
        <v>8750886.0</v>
      </c>
    </row>
    <row r="319">
      <c r="A319" s="2">
        <v>2019.0</v>
      </c>
      <c r="B319" s="1" t="s">
        <v>332</v>
      </c>
      <c r="C319" s="1" t="s">
        <v>112</v>
      </c>
      <c r="D319" s="2" t="s">
        <v>568</v>
      </c>
      <c r="E319" s="2"/>
      <c r="F319" s="2">
        <v>6052979.3</v>
      </c>
      <c r="G319" s="2">
        <v>5.3487047E7</v>
      </c>
      <c r="H319" s="2">
        <v>268094.0</v>
      </c>
      <c r="I319" s="2">
        <v>5.980812E7</v>
      </c>
      <c r="J319" s="2">
        <v>5.5289E7</v>
      </c>
      <c r="K319" s="2">
        <v>4519120.3</v>
      </c>
    </row>
    <row r="320">
      <c r="A320" s="2">
        <v>2019.0</v>
      </c>
      <c r="B320" s="1" t="s">
        <v>332</v>
      </c>
      <c r="C320" s="1" t="s">
        <v>112</v>
      </c>
      <c r="D320" s="2" t="s">
        <v>587</v>
      </c>
      <c r="E320" s="2"/>
      <c r="F320" s="2">
        <v>0.0</v>
      </c>
      <c r="G320" s="2">
        <v>6.3002E7</v>
      </c>
      <c r="H320" s="2">
        <v>246601.0</v>
      </c>
      <c r="I320" s="2">
        <v>6.3248601E7</v>
      </c>
      <c r="J320" s="2">
        <v>2.6958509E7</v>
      </c>
      <c r="K320" s="2">
        <v>3.6290092E7</v>
      </c>
    </row>
    <row r="321">
      <c r="A321" s="2">
        <v>2019.0</v>
      </c>
      <c r="B321" s="1" t="s">
        <v>332</v>
      </c>
      <c r="C321" s="1" t="s">
        <v>112</v>
      </c>
      <c r="D321" s="2" t="s">
        <v>588</v>
      </c>
      <c r="E321" s="2"/>
      <c r="F321" s="2">
        <v>0.0</v>
      </c>
      <c r="G321" s="2">
        <v>2080000.0</v>
      </c>
      <c r="H321" s="4">
        <v>3706.0</v>
      </c>
      <c r="I321" s="2">
        <v>2083706.0</v>
      </c>
      <c r="J321" s="2">
        <v>511102.0</v>
      </c>
      <c r="K321" s="2">
        <v>1572604.0</v>
      </c>
    </row>
    <row r="322">
      <c r="A322" s="2">
        <v>2019.0</v>
      </c>
      <c r="B322" s="1" t="s">
        <v>332</v>
      </c>
      <c r="C322" s="1" t="s">
        <v>112</v>
      </c>
      <c r="D322" s="2" t="s">
        <v>574</v>
      </c>
      <c r="E322" s="2"/>
      <c r="F322" s="2">
        <v>967200.0</v>
      </c>
      <c r="G322" s="2">
        <v>666000.0</v>
      </c>
      <c r="H322" s="4">
        <v>21601.0</v>
      </c>
      <c r="I322" s="2">
        <v>1654801.0</v>
      </c>
      <c r="J322" s="2">
        <v>947676.0</v>
      </c>
      <c r="K322" s="2">
        <v>707125.0</v>
      </c>
    </row>
    <row r="323">
      <c r="A323" s="2">
        <v>2019.0</v>
      </c>
      <c r="B323" s="1" t="s">
        <v>332</v>
      </c>
      <c r="C323" s="1" t="s">
        <v>112</v>
      </c>
      <c r="D323" s="2" t="s">
        <v>591</v>
      </c>
      <c r="E323" s="2"/>
      <c r="F323" s="2">
        <v>0.0</v>
      </c>
      <c r="G323" s="2">
        <v>1200000.0</v>
      </c>
      <c r="H323" s="4">
        <v>20600.0</v>
      </c>
      <c r="I323" s="2">
        <v>1220600.0</v>
      </c>
      <c r="J323" s="2">
        <v>0.0</v>
      </c>
      <c r="K323" s="2">
        <v>1220600.0</v>
      </c>
    </row>
    <row r="324">
      <c r="A324" s="2">
        <v>2019.0</v>
      </c>
      <c r="B324" s="1" t="s">
        <v>332</v>
      </c>
      <c r="C324" s="1" t="s">
        <v>112</v>
      </c>
      <c r="D324" s="2" t="s">
        <v>578</v>
      </c>
      <c r="E324" s="2"/>
      <c r="F324" s="2">
        <v>1635332.0</v>
      </c>
      <c r="G324" s="2">
        <v>0.0</v>
      </c>
      <c r="H324" s="4">
        <v>66184.0</v>
      </c>
      <c r="I324" s="2">
        <v>1701516.0</v>
      </c>
      <c r="J324" s="2">
        <v>19520.0</v>
      </c>
      <c r="K324" s="2">
        <v>1681996.0</v>
      </c>
    </row>
    <row r="325">
      <c r="A325" s="2">
        <v>2019.0</v>
      </c>
      <c r="B325" s="1" t="s">
        <v>332</v>
      </c>
      <c r="C325" s="1" t="s">
        <v>112</v>
      </c>
      <c r="D325" s="2" t="s">
        <v>396</v>
      </c>
      <c r="E325" s="2"/>
      <c r="F325" s="2">
        <v>2647798.0</v>
      </c>
      <c r="G325" s="2">
        <v>6986000.0</v>
      </c>
      <c r="H325" s="4">
        <v>50222.0</v>
      </c>
      <c r="I325" s="2">
        <v>9684020.0</v>
      </c>
      <c r="J325" s="2">
        <v>5412583.0</v>
      </c>
      <c r="K325" s="2">
        <v>4271437.0</v>
      </c>
    </row>
    <row r="326">
      <c r="A326" s="2">
        <v>2019.0</v>
      </c>
      <c r="B326" s="1" t="s">
        <v>332</v>
      </c>
      <c r="C326" s="1" t="s">
        <v>112</v>
      </c>
      <c r="D326" s="2" t="s">
        <v>579</v>
      </c>
      <c r="E326" s="2"/>
      <c r="F326" s="2">
        <v>574044.0</v>
      </c>
      <c r="H326" s="2">
        <v>655.0</v>
      </c>
      <c r="I326" s="2">
        <v>574699.0</v>
      </c>
      <c r="J326" s="2">
        <v>562842.0</v>
      </c>
      <c r="K326" s="2">
        <v>11857.0</v>
      </c>
    </row>
    <row r="327">
      <c r="A327" s="2">
        <v>2020.0</v>
      </c>
      <c r="B327" s="2" t="s">
        <v>213</v>
      </c>
      <c r="C327" s="2" t="s">
        <v>594</v>
      </c>
      <c r="E327" s="2"/>
      <c r="F327" s="2">
        <v>1.8569357E7</v>
      </c>
      <c r="G327" s="2">
        <v>1.35353778E8</v>
      </c>
      <c r="H327" s="2">
        <v>573770.0</v>
      </c>
      <c r="I327" s="2">
        <v>1.54496905E8</v>
      </c>
      <c r="J327" s="2">
        <v>1.33480014E8</v>
      </c>
      <c r="K327" s="2">
        <v>2.1016891E7</v>
      </c>
    </row>
    <row r="328">
      <c r="A328" s="2">
        <v>2020.0</v>
      </c>
      <c r="B328" s="2" t="s">
        <v>332</v>
      </c>
      <c r="C328" s="2" t="s">
        <v>594</v>
      </c>
      <c r="E328" s="2"/>
      <c r="F328" s="2">
        <v>2.1016891E7</v>
      </c>
      <c r="G328" s="2">
        <v>1.04417661E8</v>
      </c>
      <c r="H328" s="2">
        <v>748062.0</v>
      </c>
      <c r="I328" s="2">
        <v>1.26182614E8</v>
      </c>
      <c r="J328" s="2">
        <v>1.17036852E8</v>
      </c>
      <c r="K328" s="2">
        <v>9145762.0</v>
      </c>
    </row>
    <row r="329">
      <c r="A329" s="2">
        <v>2020.0</v>
      </c>
      <c r="B329" s="2" t="s">
        <v>595</v>
      </c>
      <c r="C329" s="2" t="s">
        <v>594</v>
      </c>
      <c r="E329" s="2"/>
      <c r="F329" s="2">
        <v>9145762.0</v>
      </c>
      <c r="G329" s="2">
        <v>1.43577919E8</v>
      </c>
      <c r="H329" s="2">
        <v>1486613.0</v>
      </c>
      <c r="I329" s="2">
        <v>1.54210294E8</v>
      </c>
      <c r="J329" s="2">
        <v>1.19142944E8</v>
      </c>
      <c r="K329" s="2">
        <v>3.506735E7</v>
      </c>
    </row>
    <row r="330">
      <c r="A330" s="2">
        <v>2020.0</v>
      </c>
      <c r="B330" s="2" t="s">
        <v>596</v>
      </c>
      <c r="C330" s="2" t="s">
        <v>594</v>
      </c>
      <c r="E330" s="2"/>
      <c r="F330" s="2">
        <v>3.506735E7</v>
      </c>
      <c r="G330" s="2">
        <v>1.22048287E8</v>
      </c>
      <c r="H330" s="2">
        <v>2572542.0</v>
      </c>
      <c r="I330" s="2">
        <v>1.59688179E8</v>
      </c>
      <c r="J330" s="2">
        <v>7.4895806E7</v>
      </c>
      <c r="K330" s="2">
        <v>8.4792373E7</v>
      </c>
    </row>
    <row r="331">
      <c r="A331" s="2">
        <v>2020.0</v>
      </c>
      <c r="B331" s="2" t="s">
        <v>595</v>
      </c>
      <c r="C331" s="2" t="s">
        <v>234</v>
      </c>
      <c r="E331" s="2"/>
      <c r="F331" s="2">
        <v>5.7338157E7</v>
      </c>
      <c r="G331" s="2" t="s">
        <v>599</v>
      </c>
      <c r="H331" s="2"/>
      <c r="I331" s="2"/>
      <c r="J331" s="2"/>
      <c r="K331" s="2"/>
    </row>
    <row r="332">
      <c r="A332" s="2">
        <v>2020.0</v>
      </c>
      <c r="B332" s="2" t="s">
        <v>595</v>
      </c>
      <c r="C332" s="2" t="s">
        <v>236</v>
      </c>
      <c r="E332" s="2"/>
      <c r="F332" s="2">
        <v>3.8610809E7</v>
      </c>
      <c r="G332" s="2" t="s">
        <v>599</v>
      </c>
      <c r="H332" s="2"/>
      <c r="I332" s="2"/>
      <c r="J332" s="2"/>
      <c r="K332" s="2"/>
      <c r="L332" s="2"/>
      <c r="M332" s="2"/>
    </row>
    <row r="333">
      <c r="A333" s="2">
        <v>2020.0</v>
      </c>
      <c r="B333" s="2" t="s">
        <v>595</v>
      </c>
      <c r="C333" s="2" t="s">
        <v>532</v>
      </c>
      <c r="E333" s="2"/>
      <c r="F333" s="2">
        <v>4.2715181E7</v>
      </c>
      <c r="G333" s="2" t="s">
        <v>599</v>
      </c>
      <c r="H333" s="2"/>
      <c r="I333" s="2"/>
      <c r="J333" s="2"/>
      <c r="K333" s="2"/>
      <c r="L333" s="2"/>
      <c r="M333" s="2"/>
    </row>
    <row r="334">
      <c r="A334" s="2">
        <v>2020.0</v>
      </c>
      <c r="B334" s="1" t="s">
        <v>213</v>
      </c>
      <c r="C334" s="2" t="s">
        <v>603</v>
      </c>
      <c r="D334" s="2" t="s">
        <v>604</v>
      </c>
      <c r="E334" s="2"/>
      <c r="F334" s="2">
        <v>1783663.0</v>
      </c>
      <c r="G334" s="2">
        <v>1387635.0</v>
      </c>
      <c r="H334" s="2">
        <v>55591.0</v>
      </c>
      <c r="I334" s="2">
        <v>3226889.0</v>
      </c>
      <c r="J334" s="2">
        <v>2289364.0</v>
      </c>
      <c r="K334" s="2">
        <v>937525.0</v>
      </c>
      <c r="P334" s="2"/>
    </row>
    <row r="335">
      <c r="A335" s="2">
        <v>2020.0</v>
      </c>
      <c r="B335" s="1" t="s">
        <v>213</v>
      </c>
      <c r="C335" s="2"/>
      <c r="D335" s="2" t="s">
        <v>607</v>
      </c>
      <c r="E335" s="2"/>
      <c r="F335" s="2">
        <v>575948.0</v>
      </c>
      <c r="G335" s="2">
        <v>2416818.0</v>
      </c>
      <c r="H335" s="2">
        <v>37414.0</v>
      </c>
      <c r="I335" s="2">
        <v>3030180.0</v>
      </c>
      <c r="J335" s="2">
        <v>1909420.0</v>
      </c>
      <c r="K335" s="2">
        <v>1120760.0</v>
      </c>
      <c r="P335" s="2"/>
    </row>
    <row r="336">
      <c r="A336" s="2">
        <v>2020.0</v>
      </c>
      <c r="B336" s="1" t="s">
        <v>213</v>
      </c>
      <c r="C336" s="2"/>
      <c r="D336" s="2" t="s">
        <v>79</v>
      </c>
      <c r="E336" s="2"/>
      <c r="F336" s="2">
        <v>1230876.0</v>
      </c>
      <c r="G336" s="2">
        <v>739145.0</v>
      </c>
      <c r="H336" s="2">
        <v>29534.0</v>
      </c>
      <c r="I336" s="2">
        <v>1999555.0</v>
      </c>
      <c r="J336" s="2">
        <v>1783729.0</v>
      </c>
      <c r="K336" s="2">
        <v>215826.0</v>
      </c>
      <c r="P336" s="2"/>
    </row>
    <row r="337">
      <c r="A337" s="2">
        <v>2020.0</v>
      </c>
      <c r="B337" s="1" t="s">
        <v>213</v>
      </c>
      <c r="C337" s="2"/>
      <c r="D337" s="2" t="s">
        <v>610</v>
      </c>
      <c r="E337" s="2"/>
      <c r="F337" s="2">
        <v>1122510.0</v>
      </c>
      <c r="G337" s="2">
        <v>1180890.0</v>
      </c>
      <c r="H337" s="2">
        <v>21556.0</v>
      </c>
      <c r="I337" s="2">
        <v>2324956.0</v>
      </c>
      <c r="J337" s="2">
        <v>1722727.0</v>
      </c>
      <c r="K337" s="2">
        <v>602229.0</v>
      </c>
      <c r="P337" s="2"/>
    </row>
    <row r="338">
      <c r="A338" s="2">
        <v>2020.0</v>
      </c>
      <c r="B338" s="1" t="s">
        <v>213</v>
      </c>
      <c r="C338" s="2"/>
      <c r="D338" s="2" t="s">
        <v>612</v>
      </c>
      <c r="E338" s="2"/>
      <c r="F338" s="2">
        <v>1325940.0</v>
      </c>
      <c r="G338" s="2">
        <v>1473731.0</v>
      </c>
      <c r="H338" s="2">
        <v>24944.0</v>
      </c>
      <c r="I338" s="2">
        <v>2824615.0</v>
      </c>
      <c r="J338" s="2">
        <v>2453967.0</v>
      </c>
      <c r="K338" s="2">
        <v>370648.0</v>
      </c>
      <c r="P338" s="2"/>
    </row>
    <row r="339">
      <c r="A339" s="2">
        <v>2020.0</v>
      </c>
      <c r="B339" s="1" t="s">
        <v>213</v>
      </c>
      <c r="C339" s="2"/>
      <c r="D339" s="2" t="s">
        <v>615</v>
      </c>
      <c r="E339" s="2"/>
      <c r="F339" s="2">
        <v>362889.0</v>
      </c>
      <c r="G339" s="2">
        <v>1679460.0</v>
      </c>
      <c r="H339" s="2">
        <v>38097.0</v>
      </c>
      <c r="I339" s="2">
        <v>2080446.0</v>
      </c>
      <c r="J339" s="2">
        <v>1085181.0</v>
      </c>
      <c r="K339" s="2">
        <v>995265.0</v>
      </c>
      <c r="P339" s="2"/>
    </row>
    <row r="340">
      <c r="A340" s="2">
        <v>2020.0</v>
      </c>
      <c r="B340" s="1" t="s">
        <v>213</v>
      </c>
      <c r="C340" s="2" t="s">
        <v>618</v>
      </c>
      <c r="D340" s="2" t="s">
        <v>618</v>
      </c>
      <c r="E340" s="2"/>
      <c r="F340" s="2">
        <v>1156998.0</v>
      </c>
      <c r="G340" s="2">
        <v>3753640.0</v>
      </c>
      <c r="H340" s="2">
        <v>64458.0</v>
      </c>
      <c r="I340" s="2">
        <v>4975096.0</v>
      </c>
      <c r="J340" s="2">
        <v>1487023.0</v>
      </c>
      <c r="K340" s="2">
        <v>3488073.0</v>
      </c>
      <c r="P340" s="2"/>
    </row>
    <row r="341">
      <c r="A341" s="2">
        <v>2020.0</v>
      </c>
      <c r="B341" s="1" t="s">
        <v>213</v>
      </c>
      <c r="C341" s="2"/>
      <c r="D341" s="2" t="s">
        <v>619</v>
      </c>
      <c r="E341" s="2"/>
      <c r="F341" s="2">
        <v>867159.0</v>
      </c>
      <c r="G341" s="2">
        <v>1281718.0</v>
      </c>
      <c r="H341" s="2">
        <v>27251.0</v>
      </c>
      <c r="I341" s="2">
        <v>2176128.0</v>
      </c>
      <c r="J341" s="2">
        <v>1113238.0</v>
      </c>
      <c r="K341" s="2">
        <v>1062890.0</v>
      </c>
      <c r="P341" s="2"/>
    </row>
    <row r="342">
      <c r="A342" s="2">
        <v>2020.0</v>
      </c>
      <c r="B342" s="1" t="s">
        <v>213</v>
      </c>
      <c r="C342" s="2"/>
      <c r="D342" s="2" t="s">
        <v>621</v>
      </c>
      <c r="E342" s="2"/>
      <c r="F342" s="2">
        <v>513546.0</v>
      </c>
      <c r="G342" s="2">
        <v>2880915.0</v>
      </c>
      <c r="H342" s="2">
        <v>34940.0</v>
      </c>
      <c r="I342" s="2">
        <v>3429401.0</v>
      </c>
      <c r="J342" s="2">
        <v>1662148.0</v>
      </c>
      <c r="K342" s="2">
        <v>1767253.0</v>
      </c>
      <c r="P342" s="2"/>
    </row>
    <row r="343">
      <c r="A343" s="2">
        <v>2020.0</v>
      </c>
      <c r="B343" s="1" t="s">
        <v>213</v>
      </c>
      <c r="C343" s="2" t="s">
        <v>623</v>
      </c>
      <c r="D343" s="2" t="s">
        <v>624</v>
      </c>
      <c r="E343" s="2"/>
      <c r="F343" s="2">
        <v>152531.0</v>
      </c>
      <c r="G343" s="2">
        <v>1564758.0</v>
      </c>
      <c r="H343" s="2">
        <v>11469.0</v>
      </c>
      <c r="I343" s="2">
        <v>1728758.0</v>
      </c>
      <c r="J343" s="2">
        <v>1688391.0</v>
      </c>
      <c r="K343" s="2">
        <v>40367.0</v>
      </c>
      <c r="P343" s="2"/>
    </row>
    <row r="344">
      <c r="A344" s="2">
        <v>2020.0</v>
      </c>
      <c r="B344" s="1" t="s">
        <v>213</v>
      </c>
      <c r="C344" s="2"/>
      <c r="D344" s="2" t="s">
        <v>626</v>
      </c>
      <c r="E344" s="2"/>
      <c r="F344" s="2">
        <v>142873.0</v>
      </c>
      <c r="G344" s="2">
        <v>1493527.0</v>
      </c>
      <c r="H344" s="2">
        <v>15803.0</v>
      </c>
      <c r="I344" s="2">
        <v>1652203.0</v>
      </c>
      <c r="J344" s="2">
        <v>1365400.0</v>
      </c>
      <c r="K344" s="2">
        <v>286803.0</v>
      </c>
      <c r="P344" s="2"/>
    </row>
    <row r="345">
      <c r="A345" s="2">
        <v>2020.0</v>
      </c>
      <c r="B345" s="1" t="s">
        <v>213</v>
      </c>
      <c r="C345" s="2"/>
      <c r="D345" s="2" t="s">
        <v>628</v>
      </c>
      <c r="E345" s="2"/>
      <c r="F345" s="2">
        <v>11389.0</v>
      </c>
      <c r="G345" s="2">
        <v>1545155.0</v>
      </c>
      <c r="H345" s="2">
        <v>11781.0</v>
      </c>
      <c r="I345" s="2">
        <v>1568325.0</v>
      </c>
      <c r="J345" s="2">
        <v>1226626.0</v>
      </c>
      <c r="K345" s="2">
        <v>341699.0</v>
      </c>
      <c r="P345" s="2"/>
    </row>
    <row r="346">
      <c r="A346" s="2">
        <v>2020.0</v>
      </c>
      <c r="B346" s="1" t="s">
        <v>213</v>
      </c>
      <c r="C346" s="2"/>
      <c r="D346" s="2" t="s">
        <v>630</v>
      </c>
      <c r="E346" s="2"/>
      <c r="F346" s="2">
        <v>211948.0</v>
      </c>
      <c r="G346" s="2">
        <v>1341482.0</v>
      </c>
      <c r="H346" s="2">
        <v>12660.0</v>
      </c>
      <c r="I346" s="2">
        <v>1566090.0</v>
      </c>
      <c r="J346" s="2">
        <v>1451316.0</v>
      </c>
      <c r="K346" s="2">
        <v>114774.0</v>
      </c>
      <c r="P346" s="2"/>
    </row>
    <row r="347">
      <c r="A347" s="2">
        <v>2020.0</v>
      </c>
      <c r="B347" s="1" t="s">
        <v>213</v>
      </c>
      <c r="C347" s="2"/>
      <c r="D347" s="2" t="s">
        <v>633</v>
      </c>
      <c r="E347" s="2"/>
      <c r="F347" s="2">
        <v>40390.0</v>
      </c>
      <c r="G347" s="2">
        <v>1742527.0</v>
      </c>
      <c r="H347" s="2">
        <v>22147.0</v>
      </c>
      <c r="I347" s="2" t="s">
        <v>634</v>
      </c>
      <c r="J347" s="2">
        <v>1275332.0</v>
      </c>
      <c r="K347" s="2" t="s">
        <v>635</v>
      </c>
      <c r="P347" s="2"/>
    </row>
    <row r="348">
      <c r="A348" s="2">
        <v>2020.0</v>
      </c>
      <c r="B348" s="1" t="s">
        <v>213</v>
      </c>
      <c r="C348" s="2"/>
      <c r="D348" s="2" t="s">
        <v>637</v>
      </c>
      <c r="E348" s="2"/>
      <c r="F348" s="2">
        <v>452337.0</v>
      </c>
      <c r="G348" s="2">
        <v>3975140.0</v>
      </c>
      <c r="H348" s="2">
        <v>55344.0</v>
      </c>
      <c r="I348" s="2">
        <v>4482821.0</v>
      </c>
      <c r="J348" s="2">
        <v>3211300.0</v>
      </c>
      <c r="K348" s="2">
        <v>1271521.0</v>
      </c>
      <c r="P348" s="2"/>
    </row>
    <row r="349">
      <c r="A349" s="2">
        <v>2020.0</v>
      </c>
      <c r="B349" s="1" t="s">
        <v>213</v>
      </c>
      <c r="C349" s="2"/>
      <c r="D349" s="2" t="s">
        <v>638</v>
      </c>
      <c r="E349" s="2"/>
      <c r="F349" s="2">
        <v>216771.0</v>
      </c>
      <c r="G349" s="2">
        <v>1291973.0</v>
      </c>
      <c r="H349" s="2">
        <v>4118.0</v>
      </c>
      <c r="I349" s="2">
        <v>1512862.0</v>
      </c>
      <c r="J349" s="2">
        <v>1329932.0</v>
      </c>
      <c r="K349" s="2">
        <v>182930.0</v>
      </c>
      <c r="P349" s="2"/>
    </row>
    <row r="350">
      <c r="A350" s="2">
        <v>2020.0</v>
      </c>
      <c r="B350" s="1" t="s">
        <v>213</v>
      </c>
      <c r="C350" s="2"/>
      <c r="D350" s="2" t="s">
        <v>640</v>
      </c>
      <c r="E350" s="2"/>
      <c r="F350" s="2">
        <v>680644.0</v>
      </c>
      <c r="G350" s="2">
        <v>1740607.0</v>
      </c>
      <c r="H350" s="2">
        <v>28995.0</v>
      </c>
      <c r="I350" s="2">
        <v>2450246.0</v>
      </c>
      <c r="J350" s="2">
        <v>1758529.0</v>
      </c>
      <c r="K350" s="2">
        <v>691717.0</v>
      </c>
      <c r="P350" s="2"/>
    </row>
    <row r="351">
      <c r="A351" s="2">
        <v>2020.0</v>
      </c>
      <c r="B351" s="1" t="s">
        <v>213</v>
      </c>
      <c r="C351" s="2" t="s">
        <v>641</v>
      </c>
      <c r="D351" s="2" t="s">
        <v>642</v>
      </c>
      <c r="E351" s="2"/>
      <c r="F351" s="2">
        <v>816883.0</v>
      </c>
      <c r="G351" s="2">
        <v>1807340.75</v>
      </c>
      <c r="H351" s="2">
        <v>42493.0</v>
      </c>
      <c r="I351" s="2">
        <v>2666716.78</v>
      </c>
      <c r="J351" s="2">
        <v>903066.5</v>
      </c>
      <c r="K351" s="2">
        <v>1763650.28</v>
      </c>
      <c r="P351" s="2"/>
    </row>
    <row r="352">
      <c r="A352" s="2">
        <v>2020.0</v>
      </c>
      <c r="B352" s="1" t="s">
        <v>213</v>
      </c>
      <c r="C352" s="2"/>
      <c r="D352" s="2" t="s">
        <v>644</v>
      </c>
      <c r="E352" s="2"/>
      <c r="F352" s="2">
        <v>1007175.6</v>
      </c>
      <c r="G352" s="2">
        <v>1952213.0</v>
      </c>
      <c r="H352" s="2">
        <v>59644.0</v>
      </c>
      <c r="I352" s="2">
        <v>3019032.6</v>
      </c>
      <c r="J352" s="2">
        <v>1843458.0</v>
      </c>
      <c r="K352" s="2">
        <v>1175574.6</v>
      </c>
      <c r="P352" s="2"/>
    </row>
    <row r="353">
      <c r="A353" s="2">
        <v>2020.0</v>
      </c>
      <c r="B353" s="1" t="s">
        <v>213</v>
      </c>
      <c r="C353" s="2"/>
      <c r="D353" s="2" t="s">
        <v>646</v>
      </c>
      <c r="E353" s="2"/>
      <c r="F353" s="2">
        <v>797866.0</v>
      </c>
      <c r="G353" s="2">
        <v>2969020.0</v>
      </c>
      <c r="H353" s="2">
        <v>48831.0</v>
      </c>
      <c r="I353" s="2">
        <v>3815717.0</v>
      </c>
      <c r="J353" s="2">
        <v>2151280.0</v>
      </c>
      <c r="K353" s="2">
        <v>1664437.0</v>
      </c>
      <c r="P353" s="2"/>
    </row>
    <row r="354">
      <c r="A354" s="2">
        <v>2020.0</v>
      </c>
      <c r="B354" s="1" t="s">
        <v>213</v>
      </c>
      <c r="C354" s="2"/>
      <c r="D354" s="2" t="s">
        <v>647</v>
      </c>
      <c r="E354" s="2"/>
      <c r="F354" s="2">
        <v>844830.0</v>
      </c>
      <c r="G354" s="2">
        <v>2116961.0</v>
      </c>
      <c r="H354" s="2">
        <v>45171.0</v>
      </c>
      <c r="I354" s="2">
        <v>3006962.0</v>
      </c>
      <c r="J354" s="2">
        <v>1743056.0</v>
      </c>
      <c r="K354" s="2">
        <v>1263906.0</v>
      </c>
      <c r="P354" s="2"/>
    </row>
    <row r="355">
      <c r="A355" s="2">
        <v>2020.0</v>
      </c>
      <c r="B355" s="1" t="s">
        <v>213</v>
      </c>
      <c r="C355" s="2"/>
      <c r="D355" s="2" t="s">
        <v>649</v>
      </c>
      <c r="E355" s="2"/>
      <c r="F355" s="2">
        <v>566257.0</v>
      </c>
      <c r="G355" s="2">
        <v>2687845.0</v>
      </c>
      <c r="H355" s="2">
        <v>46770.0</v>
      </c>
      <c r="I355" s="2">
        <v>3300872.0</v>
      </c>
      <c r="J355" s="2">
        <v>1563096.0</v>
      </c>
      <c r="K355" s="2">
        <v>1737776.0</v>
      </c>
      <c r="P355" s="2"/>
    </row>
    <row r="356">
      <c r="A356" s="2">
        <v>2020.0</v>
      </c>
      <c r="B356" s="1" t="s">
        <v>213</v>
      </c>
      <c r="C356" s="2"/>
      <c r="D356" s="2" t="s">
        <v>652</v>
      </c>
      <c r="E356" s="2"/>
      <c r="F356" s="2">
        <v>771179.0</v>
      </c>
      <c r="G356" s="2">
        <v>1614470.0</v>
      </c>
      <c r="H356" s="2">
        <v>35146.0</v>
      </c>
      <c r="I356" s="2">
        <v>2420795.0</v>
      </c>
      <c r="J356" s="2">
        <v>1625843.0</v>
      </c>
      <c r="K356" s="2">
        <v>794952.0</v>
      </c>
      <c r="P356" s="2"/>
    </row>
    <row r="357">
      <c r="A357" s="2">
        <v>2020.0</v>
      </c>
      <c r="B357" s="1" t="s">
        <v>213</v>
      </c>
      <c r="C357" s="2"/>
      <c r="D357" s="2" t="s">
        <v>655</v>
      </c>
      <c r="E357" s="2"/>
      <c r="F357" s="2">
        <v>884546.0</v>
      </c>
      <c r="G357" s="2">
        <v>2073696.0</v>
      </c>
      <c r="H357" s="2">
        <v>51743.0</v>
      </c>
      <c r="I357" s="2">
        <v>3009985.0</v>
      </c>
      <c r="J357" s="2">
        <v>1082483.0</v>
      </c>
      <c r="K357" s="2">
        <v>1927502.0</v>
      </c>
      <c r="P357" s="2"/>
    </row>
    <row r="358">
      <c r="A358" s="2">
        <v>2020.0</v>
      </c>
      <c r="B358" s="1" t="s">
        <v>213</v>
      </c>
      <c r="C358" s="2"/>
      <c r="D358" s="2" t="s">
        <v>656</v>
      </c>
      <c r="E358" s="2"/>
      <c r="F358" s="2">
        <v>196648.23</v>
      </c>
      <c r="G358" s="2">
        <v>1600080.0</v>
      </c>
      <c r="H358" s="2">
        <v>25682.0</v>
      </c>
      <c r="I358" s="2">
        <v>1822410.23</v>
      </c>
      <c r="J358" s="2">
        <v>638806.0</v>
      </c>
      <c r="K358" s="2">
        <v>1183604.23</v>
      </c>
      <c r="P358" s="2"/>
    </row>
    <row r="359">
      <c r="A359" s="2">
        <v>2020.0</v>
      </c>
      <c r="B359" s="1" t="s">
        <v>213</v>
      </c>
      <c r="C359" s="2"/>
      <c r="D359" s="2" t="s">
        <v>658</v>
      </c>
      <c r="E359" s="2"/>
      <c r="F359" s="2">
        <v>156702.0</v>
      </c>
      <c r="G359" s="2">
        <v>1479725.0</v>
      </c>
      <c r="H359" s="2">
        <v>17322.0</v>
      </c>
      <c r="I359" s="2">
        <v>1653749.0</v>
      </c>
      <c r="J359" s="2">
        <v>1023026.0</v>
      </c>
      <c r="K359" s="2">
        <v>630723.0</v>
      </c>
      <c r="P359" s="2"/>
    </row>
    <row r="360">
      <c r="A360" s="2">
        <v>2020.0</v>
      </c>
      <c r="B360" s="1" t="s">
        <v>332</v>
      </c>
      <c r="C360" s="2" t="s">
        <v>603</v>
      </c>
      <c r="D360" s="2" t="s">
        <v>604</v>
      </c>
      <c r="E360" s="2"/>
      <c r="F360" s="2">
        <v>937525.0</v>
      </c>
      <c r="G360" s="2">
        <v>2508907.0</v>
      </c>
      <c r="H360" s="2">
        <v>20712.0</v>
      </c>
      <c r="I360" s="2">
        <v>3467144.0</v>
      </c>
      <c r="J360" s="2">
        <v>1759132.0</v>
      </c>
      <c r="K360" s="2">
        <v>1708012.0</v>
      </c>
      <c r="M360" s="2"/>
      <c r="O360" s="2"/>
    </row>
    <row r="361">
      <c r="A361" s="2">
        <v>2020.0</v>
      </c>
      <c r="B361" s="1" t="s">
        <v>332</v>
      </c>
      <c r="C361" s="2"/>
      <c r="D361" s="2" t="s">
        <v>607</v>
      </c>
      <c r="E361" s="2"/>
      <c r="F361" s="2">
        <v>1120760.0</v>
      </c>
      <c r="G361" s="2">
        <v>1787720.0</v>
      </c>
      <c r="H361" s="2">
        <v>36160.0</v>
      </c>
      <c r="I361" s="2">
        <v>2944640.0</v>
      </c>
      <c r="J361" s="2">
        <v>1584834.0</v>
      </c>
      <c r="K361" s="2">
        <v>1359806.0</v>
      </c>
      <c r="M361" s="2"/>
      <c r="O361" s="2"/>
    </row>
    <row r="362">
      <c r="A362" s="2">
        <v>2020.0</v>
      </c>
      <c r="B362" s="1" t="s">
        <v>332</v>
      </c>
      <c r="C362" s="2"/>
      <c r="D362" s="2" t="s">
        <v>79</v>
      </c>
      <c r="E362" s="2"/>
      <c r="F362" s="2">
        <v>215826.0</v>
      </c>
      <c r="G362" s="2">
        <v>1683793.0</v>
      </c>
      <c r="H362" s="2">
        <v>9737.0</v>
      </c>
      <c r="I362" s="2">
        <v>1909356.0</v>
      </c>
      <c r="J362" s="2">
        <v>1217230.0</v>
      </c>
      <c r="K362" s="2">
        <v>692126.0</v>
      </c>
      <c r="M362" s="2"/>
      <c r="O362" s="2"/>
    </row>
    <row r="363">
      <c r="A363" s="2">
        <v>2020.0</v>
      </c>
      <c r="B363" s="1" t="s">
        <v>332</v>
      </c>
      <c r="C363" s="2"/>
      <c r="D363" s="2" t="s">
        <v>670</v>
      </c>
      <c r="E363" s="2"/>
      <c r="F363" s="2">
        <v>602229.0</v>
      </c>
      <c r="G363" s="2">
        <v>1965974.0</v>
      </c>
      <c r="H363" s="2">
        <v>6731.0</v>
      </c>
      <c r="I363" s="2">
        <v>2572006.0</v>
      </c>
      <c r="J363" s="2">
        <v>1496963.0</v>
      </c>
      <c r="K363" s="2">
        <v>1075043.0</v>
      </c>
      <c r="M363" s="2"/>
      <c r="O363" s="2"/>
    </row>
    <row r="364">
      <c r="A364" s="2">
        <v>2020.0</v>
      </c>
      <c r="B364" s="1" t="s">
        <v>332</v>
      </c>
      <c r="C364" s="2"/>
      <c r="D364" s="2" t="s">
        <v>612</v>
      </c>
      <c r="E364" s="2"/>
      <c r="F364" s="2">
        <v>370648.0</v>
      </c>
      <c r="G364" s="2">
        <v>1944973.0</v>
      </c>
      <c r="H364" s="2">
        <v>11977.0</v>
      </c>
      <c r="I364" s="2">
        <v>2327598.0</v>
      </c>
      <c r="J364" s="2">
        <v>1326888.0</v>
      </c>
      <c r="K364" s="2">
        <v>1000710.0</v>
      </c>
      <c r="M364" s="2"/>
      <c r="O364" s="2"/>
    </row>
    <row r="365">
      <c r="A365" s="2">
        <v>2020.0</v>
      </c>
      <c r="B365" s="1" t="s">
        <v>332</v>
      </c>
      <c r="C365" s="2"/>
      <c r="D365" s="2" t="s">
        <v>615</v>
      </c>
      <c r="E365" s="2"/>
      <c r="F365" s="2">
        <v>995265.0</v>
      </c>
      <c r="G365" s="2">
        <v>1257520.0</v>
      </c>
      <c r="H365" s="2">
        <v>40551.0</v>
      </c>
      <c r="I365" s="2">
        <v>2293336.0</v>
      </c>
      <c r="J365" s="2">
        <v>974842.0</v>
      </c>
      <c r="K365" s="2">
        <v>1318494.0</v>
      </c>
      <c r="M365" s="2"/>
      <c r="O365" s="2"/>
    </row>
    <row r="366">
      <c r="A366" s="2">
        <v>2020.0</v>
      </c>
      <c r="B366" s="1" t="s">
        <v>332</v>
      </c>
      <c r="C366" s="2" t="s">
        <v>618</v>
      </c>
      <c r="D366" s="2" t="s">
        <v>618</v>
      </c>
      <c r="E366" s="2"/>
      <c r="F366" s="2">
        <v>3488072.0</v>
      </c>
      <c r="G366" s="2">
        <v>4232487.0</v>
      </c>
      <c r="H366" s="2">
        <v>141868.0</v>
      </c>
      <c r="I366" s="2">
        <v>7862427.0</v>
      </c>
      <c r="J366" s="2">
        <v>1403303.9</v>
      </c>
      <c r="K366" s="2">
        <v>6459123.0</v>
      </c>
      <c r="M366" s="2"/>
      <c r="O366" s="2"/>
    </row>
    <row r="367">
      <c r="A367" s="2">
        <v>2020.0</v>
      </c>
      <c r="B367" s="1" t="s">
        <v>332</v>
      </c>
      <c r="C367" s="2"/>
      <c r="D367" s="2" t="s">
        <v>619</v>
      </c>
      <c r="E367" s="2"/>
      <c r="F367" s="2">
        <v>1062890.0</v>
      </c>
      <c r="G367" s="2">
        <v>2410380.0</v>
      </c>
      <c r="H367" s="2">
        <v>42161.0</v>
      </c>
      <c r="I367" s="2">
        <v>3515431.0</v>
      </c>
      <c r="J367" s="2">
        <v>1791225.0</v>
      </c>
      <c r="K367" s="2">
        <v>1724206.0</v>
      </c>
      <c r="M367" s="2"/>
      <c r="O367" s="2"/>
    </row>
    <row r="368">
      <c r="A368" s="2">
        <v>2020.0</v>
      </c>
      <c r="B368" s="1" t="s">
        <v>332</v>
      </c>
      <c r="C368" s="2"/>
      <c r="D368" s="2" t="s">
        <v>621</v>
      </c>
      <c r="E368" s="2"/>
      <c r="F368" s="2">
        <v>1767253.0</v>
      </c>
      <c r="G368" s="2">
        <v>3789549.0</v>
      </c>
      <c r="H368" s="2">
        <v>87443.0</v>
      </c>
      <c r="I368" s="2">
        <v>5644245.0</v>
      </c>
      <c r="J368" s="2">
        <v>899269.0</v>
      </c>
      <c r="K368" s="2">
        <v>4744976.0</v>
      </c>
      <c r="M368" s="2"/>
      <c r="O368" s="2"/>
    </row>
    <row r="369">
      <c r="A369" s="2">
        <v>2020.0</v>
      </c>
      <c r="B369" s="1" t="s">
        <v>332</v>
      </c>
      <c r="C369" s="2" t="s">
        <v>623</v>
      </c>
      <c r="D369" s="2" t="s">
        <v>682</v>
      </c>
      <c r="E369" s="2"/>
      <c r="F369" s="2">
        <v>40367.0</v>
      </c>
      <c r="G369" s="2">
        <v>1077785.0</v>
      </c>
      <c r="H369" s="2">
        <v>900.0</v>
      </c>
      <c r="I369" s="2">
        <v>1116040.0</v>
      </c>
      <c r="J369" s="2">
        <v>741946.0</v>
      </c>
      <c r="K369" s="2">
        <v>374094.0</v>
      </c>
      <c r="M369" s="2"/>
      <c r="O369" s="2"/>
    </row>
    <row r="370">
      <c r="A370" s="2">
        <v>2020.0</v>
      </c>
      <c r="B370" s="1" t="s">
        <v>332</v>
      </c>
      <c r="C370" s="2"/>
      <c r="D370" s="2" t="s">
        <v>626</v>
      </c>
      <c r="E370" s="2"/>
      <c r="F370" s="2">
        <v>286803.0</v>
      </c>
      <c r="G370" s="2">
        <v>977500.0</v>
      </c>
      <c r="H370" s="2">
        <v>248.0</v>
      </c>
      <c r="I370" s="2">
        <v>1341478.0</v>
      </c>
      <c r="J370" s="2">
        <v>857580.0</v>
      </c>
      <c r="K370" s="2">
        <v>483898.0</v>
      </c>
      <c r="M370" s="2"/>
      <c r="O370" s="2"/>
    </row>
    <row r="371">
      <c r="A371" s="2">
        <v>2020.0</v>
      </c>
      <c r="B371" s="1" t="s">
        <v>332</v>
      </c>
      <c r="C371" s="2"/>
      <c r="D371" s="2" t="s">
        <v>628</v>
      </c>
      <c r="E371" s="2"/>
      <c r="F371" s="2">
        <v>341699.0</v>
      </c>
      <c r="G371" s="2">
        <v>1530527.0</v>
      </c>
      <c r="H371" s="2">
        <v>2995.0</v>
      </c>
      <c r="I371" s="2">
        <v>1875211.0</v>
      </c>
      <c r="J371" s="2">
        <v>884608.0</v>
      </c>
      <c r="K371" s="2">
        <v>990603.0</v>
      </c>
      <c r="M371" s="2"/>
      <c r="O371" s="2"/>
    </row>
    <row r="372">
      <c r="A372" s="2">
        <v>2020.0</v>
      </c>
      <c r="B372" s="1" t="s">
        <v>332</v>
      </c>
      <c r="C372" s="2"/>
      <c r="D372" s="2" t="s">
        <v>630</v>
      </c>
      <c r="E372" s="2"/>
      <c r="F372" s="2">
        <v>114774.0</v>
      </c>
      <c r="G372" s="2">
        <v>1370100.0</v>
      </c>
      <c r="H372" s="2">
        <v>4301.0</v>
      </c>
      <c r="I372" s="2">
        <v>1426372.0</v>
      </c>
      <c r="J372" s="2">
        <v>634483.0</v>
      </c>
      <c r="K372" s="2">
        <v>791889.0</v>
      </c>
      <c r="M372" s="2"/>
      <c r="O372" s="2"/>
    </row>
    <row r="373">
      <c r="A373" s="2">
        <v>2020.0</v>
      </c>
      <c r="B373" s="1" t="s">
        <v>332</v>
      </c>
      <c r="C373" s="2"/>
      <c r="D373" s="2" t="s">
        <v>633</v>
      </c>
      <c r="E373" s="2"/>
      <c r="F373" s="2">
        <v>529732.0</v>
      </c>
      <c r="G373" s="2">
        <v>1846300.0</v>
      </c>
      <c r="H373" s="2">
        <v>10214.0</v>
      </c>
      <c r="I373" s="2">
        <v>2386246.0</v>
      </c>
      <c r="J373" s="2">
        <v>788165.0</v>
      </c>
      <c r="K373" s="2">
        <v>1598081.0</v>
      </c>
      <c r="M373" s="2"/>
      <c r="O373" s="2"/>
    </row>
    <row r="374">
      <c r="A374" s="2">
        <v>2020.0</v>
      </c>
      <c r="B374" s="1" t="s">
        <v>332</v>
      </c>
      <c r="C374" s="2"/>
      <c r="D374" s="2" t="s">
        <v>637</v>
      </c>
      <c r="E374" s="2"/>
      <c r="F374" s="2">
        <v>1271521.0</v>
      </c>
      <c r="G374" s="2">
        <v>2829537.0</v>
      </c>
      <c r="H374" s="2">
        <v>37865.0</v>
      </c>
      <c r="I374" s="2">
        <v>3925095.0</v>
      </c>
      <c r="J374" s="2">
        <v>1932925.0</v>
      </c>
      <c r="K374" s="2">
        <v>1992170.0</v>
      </c>
      <c r="M374" s="2"/>
      <c r="O374" s="2"/>
    </row>
    <row r="375">
      <c r="A375" s="2">
        <v>2020.0</v>
      </c>
      <c r="B375" s="1" t="s">
        <v>332</v>
      </c>
      <c r="C375" s="2"/>
      <c r="D375" s="2" t="s">
        <v>638</v>
      </c>
      <c r="E375" s="2"/>
      <c r="F375" s="2">
        <v>182930.0</v>
      </c>
      <c r="G375" s="2">
        <v>934405.0</v>
      </c>
      <c r="H375" s="2">
        <v>3329.0</v>
      </c>
      <c r="I375" s="2">
        <v>1122220.0</v>
      </c>
      <c r="J375" s="2">
        <v>606767.0</v>
      </c>
      <c r="K375" s="2">
        <v>515453.0</v>
      </c>
      <c r="M375" s="2"/>
      <c r="O375" s="2"/>
    </row>
    <row r="376">
      <c r="A376" s="2">
        <v>2020.0</v>
      </c>
      <c r="B376" s="1" t="s">
        <v>332</v>
      </c>
      <c r="C376" s="2"/>
      <c r="D376" s="2" t="s">
        <v>640</v>
      </c>
      <c r="E376" s="2"/>
      <c r="F376" s="2">
        <v>691717.0</v>
      </c>
      <c r="G376" s="2">
        <v>1581371.0</v>
      </c>
      <c r="H376" s="2">
        <v>16470.0</v>
      </c>
      <c r="I376" s="2">
        <v>2289556.0</v>
      </c>
      <c r="J376" s="2">
        <v>908266.0</v>
      </c>
      <c r="K376" s="2">
        <v>1381290.0</v>
      </c>
      <c r="M376" s="2"/>
      <c r="O376" s="2"/>
    </row>
    <row r="377">
      <c r="A377" s="2">
        <v>2020.0</v>
      </c>
      <c r="B377" s="1" t="s">
        <v>332</v>
      </c>
      <c r="C377" s="2" t="s">
        <v>641</v>
      </c>
      <c r="D377" s="2" t="s">
        <v>642</v>
      </c>
      <c r="E377" s="2"/>
      <c r="F377" s="2">
        <v>1763650.3</v>
      </c>
      <c r="G377" s="2">
        <v>4239731.69</v>
      </c>
      <c r="H377" s="2">
        <v>106098.0</v>
      </c>
      <c r="I377" s="2">
        <v>6109479.97</v>
      </c>
      <c r="J377" s="2">
        <v>1126940.0</v>
      </c>
      <c r="K377" s="2">
        <v>4982539.97</v>
      </c>
      <c r="M377" s="2"/>
      <c r="O377" s="2"/>
    </row>
    <row r="378">
      <c r="A378" s="2">
        <v>2020.0</v>
      </c>
      <c r="B378" s="1" t="s">
        <v>332</v>
      </c>
      <c r="C378" s="2"/>
      <c r="D378" s="2" t="s">
        <v>644</v>
      </c>
      <c r="E378" s="2"/>
      <c r="F378" s="2">
        <v>1175574.6</v>
      </c>
      <c r="G378" s="2">
        <v>2233837.0</v>
      </c>
      <c r="H378" s="2">
        <v>50485.0</v>
      </c>
      <c r="I378" s="2">
        <v>3459896.6</v>
      </c>
      <c r="J378" s="2">
        <v>1904572.0</v>
      </c>
      <c r="K378" s="2">
        <v>1555324.6</v>
      </c>
      <c r="M378" s="2"/>
      <c r="O378" s="2"/>
    </row>
    <row r="379">
      <c r="A379" s="2">
        <v>2020.0</v>
      </c>
      <c r="B379" s="1" t="s">
        <v>332</v>
      </c>
      <c r="C379" s="2"/>
      <c r="D379" s="2" t="s">
        <v>646</v>
      </c>
      <c r="E379" s="2"/>
      <c r="F379" s="2">
        <v>1664437.0</v>
      </c>
      <c r="G379" s="2">
        <v>4342017.0</v>
      </c>
      <c r="H379" s="2">
        <v>51942.0</v>
      </c>
      <c r="I379" s="2">
        <v>6058396.0</v>
      </c>
      <c r="J379" s="2">
        <v>2621874.0</v>
      </c>
      <c r="K379" s="2">
        <v>3305890.0</v>
      </c>
      <c r="M379" s="2"/>
      <c r="O379" s="2"/>
    </row>
    <row r="380">
      <c r="A380" s="2">
        <v>2020.0</v>
      </c>
      <c r="B380" s="1" t="s">
        <v>332</v>
      </c>
      <c r="C380" s="2"/>
      <c r="D380" s="2" t="s">
        <v>647</v>
      </c>
      <c r="E380" s="2"/>
      <c r="F380" s="2">
        <v>1263906.0</v>
      </c>
      <c r="G380" s="2">
        <v>5030598.0</v>
      </c>
      <c r="H380" s="2">
        <v>68485.0</v>
      </c>
      <c r="I380" s="2">
        <v>6362989.0</v>
      </c>
      <c r="J380" s="2">
        <v>4482565.0</v>
      </c>
      <c r="K380" s="2">
        <v>1880424.0</v>
      </c>
      <c r="M380" s="2"/>
      <c r="O380" s="2"/>
    </row>
    <row r="381">
      <c r="A381" s="2">
        <v>2020.0</v>
      </c>
      <c r="B381" s="1" t="s">
        <v>332</v>
      </c>
      <c r="C381" s="2"/>
      <c r="D381" s="2" t="s">
        <v>649</v>
      </c>
      <c r="E381" s="2"/>
      <c r="F381" s="2">
        <v>1737776.0</v>
      </c>
      <c r="G381" s="2">
        <v>3046812.0</v>
      </c>
      <c r="H381" s="2">
        <v>65922.0</v>
      </c>
      <c r="I381" s="2">
        <v>4850510.0</v>
      </c>
      <c r="J381" s="2">
        <v>1648776.0</v>
      </c>
      <c r="K381" s="2">
        <v>3201734.0</v>
      </c>
      <c r="M381" s="2"/>
      <c r="O381" s="2"/>
    </row>
    <row r="382">
      <c r="A382" s="2">
        <v>2020.0</v>
      </c>
      <c r="B382" s="1" t="s">
        <v>332</v>
      </c>
      <c r="C382" s="2"/>
      <c r="D382" s="2" t="s">
        <v>652</v>
      </c>
      <c r="E382" s="2"/>
      <c r="F382" s="2">
        <v>794952.0</v>
      </c>
      <c r="G382" s="2">
        <v>2332417.0</v>
      </c>
      <c r="H382" s="2">
        <v>29389.0</v>
      </c>
      <c r="I382" s="2">
        <v>3156758.0</v>
      </c>
      <c r="J382" s="2">
        <v>1349513.0</v>
      </c>
      <c r="K382" s="2">
        <v>1807245.0</v>
      </c>
      <c r="M382" s="2"/>
      <c r="O382" s="2"/>
    </row>
    <row r="383">
      <c r="A383" s="2">
        <v>2020.0</v>
      </c>
      <c r="B383" s="1" t="s">
        <v>332</v>
      </c>
      <c r="C383" s="2"/>
      <c r="D383" s="2" t="s">
        <v>655</v>
      </c>
      <c r="E383" s="2"/>
      <c r="F383" s="2">
        <v>1927502.0</v>
      </c>
      <c r="G383" s="2">
        <v>3626905.0</v>
      </c>
      <c r="H383" s="2">
        <v>67072.0</v>
      </c>
      <c r="I383" s="2">
        <v>5588515.0</v>
      </c>
      <c r="J383" s="2">
        <v>2253851.0</v>
      </c>
      <c r="K383" s="2">
        <v>3334664.0</v>
      </c>
      <c r="M383" s="2"/>
      <c r="O383" s="2"/>
    </row>
    <row r="384">
      <c r="A384" s="2">
        <v>2020.0</v>
      </c>
      <c r="B384" s="1" t="s">
        <v>332</v>
      </c>
      <c r="C384" s="2"/>
      <c r="D384" s="2" t="s">
        <v>656</v>
      </c>
      <c r="E384" s="2"/>
      <c r="F384" s="2">
        <v>1188190.2</v>
      </c>
      <c r="G384" s="2">
        <v>2360926.0</v>
      </c>
      <c r="H384" s="2">
        <v>57801.0</v>
      </c>
      <c r="I384" s="2">
        <v>3604917.23</v>
      </c>
      <c r="J384" s="2">
        <v>1507932.0</v>
      </c>
      <c r="K384" s="2">
        <v>2096985.23</v>
      </c>
      <c r="M384" s="2"/>
      <c r="O384" s="2"/>
    </row>
    <row r="385">
      <c r="A385" s="2">
        <v>2020.0</v>
      </c>
      <c r="B385" s="1" t="s">
        <v>332</v>
      </c>
      <c r="C385" s="2"/>
      <c r="D385" s="2" t="s">
        <v>658</v>
      </c>
      <c r="E385" s="2"/>
      <c r="F385" s="2">
        <v>582491.0</v>
      </c>
      <c r="G385" s="2">
        <v>1756863.0</v>
      </c>
      <c r="H385" s="2">
        <v>18570.0</v>
      </c>
      <c r="I385" s="2">
        <v>2357924.0</v>
      </c>
      <c r="J385" s="2">
        <v>1402836.0</v>
      </c>
      <c r="K385" s="2">
        <v>955088.0</v>
      </c>
      <c r="M385" s="2"/>
      <c r="O385" s="2"/>
    </row>
    <row r="386">
      <c r="A386" s="2">
        <v>2020.0</v>
      </c>
      <c r="B386" s="1" t="s">
        <v>595</v>
      </c>
      <c r="C386" s="2" t="s">
        <v>603</v>
      </c>
      <c r="D386" s="2" t="s">
        <v>604</v>
      </c>
      <c r="E386" s="2"/>
      <c r="F386" s="2">
        <v>1708012.0</v>
      </c>
      <c r="G386" s="2">
        <v>2309103.0</v>
      </c>
      <c r="H386" s="2">
        <v>57487.0</v>
      </c>
      <c r="I386" s="2">
        <v>4074602.0</v>
      </c>
      <c r="J386" s="2">
        <v>2443824.0</v>
      </c>
      <c r="K386" s="2">
        <v>1630778.0</v>
      </c>
      <c r="L386" s="2"/>
    </row>
    <row r="387">
      <c r="A387" s="2">
        <v>2020.0</v>
      </c>
      <c r="B387" s="1" t="s">
        <v>595</v>
      </c>
      <c r="C387" s="2"/>
      <c r="D387" s="2" t="s">
        <v>607</v>
      </c>
      <c r="E387" s="2"/>
      <c r="F387" s="2">
        <v>1359806.0</v>
      </c>
      <c r="G387" s="2">
        <v>3176095.0</v>
      </c>
      <c r="H387" s="2">
        <v>54648.0</v>
      </c>
      <c r="I387" s="2">
        <v>4590549.0</v>
      </c>
      <c r="J387" s="2">
        <v>2080764.0</v>
      </c>
      <c r="K387" s="2">
        <v>2509785.0</v>
      </c>
      <c r="L387" s="2"/>
    </row>
    <row r="388">
      <c r="A388" s="2">
        <v>2020.0</v>
      </c>
      <c r="B388" s="1" t="s">
        <v>595</v>
      </c>
      <c r="C388" s="2"/>
      <c r="D388" s="2" t="s">
        <v>79</v>
      </c>
      <c r="E388" s="2"/>
      <c r="F388" s="2">
        <v>692126.0</v>
      </c>
      <c r="G388" s="2">
        <v>1910781.0</v>
      </c>
      <c r="H388" s="2">
        <v>26254.0</v>
      </c>
      <c r="I388" s="2">
        <v>2629161.0</v>
      </c>
      <c r="J388" s="2">
        <v>1814423.0</v>
      </c>
      <c r="K388" s="2">
        <v>814738.0</v>
      </c>
      <c r="L388" s="2"/>
    </row>
    <row r="389">
      <c r="A389" s="2">
        <v>2020.0</v>
      </c>
      <c r="B389" s="1" t="s">
        <v>595</v>
      </c>
      <c r="C389" s="2"/>
      <c r="D389" s="2" t="s">
        <v>610</v>
      </c>
      <c r="E389" s="2"/>
      <c r="F389" s="2">
        <v>1075043.0</v>
      </c>
      <c r="G389" s="2">
        <v>1982779.0</v>
      </c>
      <c r="H389" s="2">
        <v>6977.0</v>
      </c>
      <c r="I389" s="2">
        <v>3064799.0</v>
      </c>
      <c r="J389" s="2">
        <v>1654778.0</v>
      </c>
      <c r="K389" s="2">
        <v>1410021.0</v>
      </c>
      <c r="L389" s="2"/>
    </row>
    <row r="390">
      <c r="A390" s="2">
        <v>2020.0</v>
      </c>
      <c r="B390" s="1" t="s">
        <v>595</v>
      </c>
      <c r="C390" s="2"/>
      <c r="D390" s="2" t="s">
        <v>612</v>
      </c>
      <c r="E390" s="2"/>
      <c r="F390" s="2">
        <v>1000710.0</v>
      </c>
      <c r="G390" s="2">
        <v>2061332.0</v>
      </c>
      <c r="H390" s="2">
        <v>41282.0</v>
      </c>
      <c r="I390" s="2">
        <v>3103324.0</v>
      </c>
      <c r="J390" s="2">
        <v>1335292.0</v>
      </c>
      <c r="K390" s="2">
        <v>1768032.0</v>
      </c>
      <c r="L390" s="2"/>
    </row>
    <row r="391">
      <c r="A391" s="2">
        <v>2020.0</v>
      </c>
      <c r="B391" s="1" t="s">
        <v>595</v>
      </c>
      <c r="C391" s="2"/>
      <c r="D391" s="2" t="s">
        <v>615</v>
      </c>
      <c r="E391" s="2"/>
      <c r="F391" s="2">
        <v>1318494.0</v>
      </c>
      <c r="G391" s="2">
        <v>2691086.0</v>
      </c>
      <c r="H391" s="2">
        <v>38719.0</v>
      </c>
      <c r="I391" s="2">
        <v>4048299.0</v>
      </c>
      <c r="J391" s="2">
        <v>1039558.0</v>
      </c>
      <c r="K391" s="2">
        <v>3008741.0</v>
      </c>
      <c r="L391" s="2"/>
    </row>
    <row r="392">
      <c r="A392" s="2">
        <v>2020.0</v>
      </c>
      <c r="B392" s="1" t="s">
        <v>595</v>
      </c>
      <c r="C392" s="2" t="s">
        <v>618</v>
      </c>
      <c r="D392" s="2" t="s">
        <v>618</v>
      </c>
      <c r="E392" s="2"/>
      <c r="F392" s="2">
        <v>6459123.0</v>
      </c>
      <c r="G392" s="2">
        <v>3624975.0</v>
      </c>
      <c r="H392" s="2">
        <v>270472.0</v>
      </c>
      <c r="I392" s="2">
        <v>1.035457E7</v>
      </c>
      <c r="J392" s="2">
        <v>3922002.0</v>
      </c>
      <c r="K392" s="2">
        <v>6432568.0</v>
      </c>
      <c r="L392" s="2"/>
    </row>
    <row r="393">
      <c r="A393" s="2">
        <v>2020.0</v>
      </c>
      <c r="B393" s="1" t="s">
        <v>595</v>
      </c>
      <c r="C393" s="2"/>
      <c r="D393" s="2" t="s">
        <v>619</v>
      </c>
      <c r="E393" s="2"/>
      <c r="F393" s="2">
        <v>1724206.0</v>
      </c>
      <c r="G393" s="2">
        <v>1905561.0</v>
      </c>
      <c r="H393" s="2">
        <v>50942.0</v>
      </c>
      <c r="I393" s="2">
        <v>3680709.0</v>
      </c>
      <c r="J393" s="2">
        <v>2300578.0</v>
      </c>
      <c r="K393" s="2">
        <v>1380131.0</v>
      </c>
      <c r="L393" s="2"/>
    </row>
    <row r="394">
      <c r="A394" s="2">
        <v>2020.0</v>
      </c>
      <c r="B394" s="1" t="s">
        <v>595</v>
      </c>
      <c r="C394" s="2"/>
      <c r="D394" s="2" t="s">
        <v>621</v>
      </c>
      <c r="E394" s="2"/>
      <c r="F394" s="2">
        <v>4744976.0</v>
      </c>
      <c r="G394" s="2">
        <v>2669528.0</v>
      </c>
      <c r="H394" s="2">
        <v>198299.0</v>
      </c>
      <c r="I394" s="2">
        <v>7612803.0</v>
      </c>
      <c r="J394" s="2">
        <v>721662.0</v>
      </c>
      <c r="K394" s="2">
        <v>6891141.0</v>
      </c>
      <c r="L394" s="2"/>
    </row>
    <row r="395">
      <c r="A395" s="2">
        <v>2020.0</v>
      </c>
      <c r="B395" s="1" t="s">
        <v>595</v>
      </c>
      <c r="C395" s="2" t="s">
        <v>623</v>
      </c>
      <c r="D395" s="2" t="s">
        <v>725</v>
      </c>
      <c r="E395" s="2"/>
      <c r="F395" s="2">
        <v>0.0</v>
      </c>
      <c r="G395" s="2">
        <v>360725.0</v>
      </c>
      <c r="H395" s="2">
        <v>0.0</v>
      </c>
      <c r="I395" s="2">
        <v>360725.0</v>
      </c>
      <c r="J395" s="2">
        <v>0.0</v>
      </c>
      <c r="K395" s="2">
        <v>360725.0</v>
      </c>
      <c r="L395" s="2"/>
    </row>
    <row r="396">
      <c r="A396" s="2">
        <v>2020.0</v>
      </c>
      <c r="B396" s="1" t="s">
        <v>595</v>
      </c>
      <c r="C396" s="2"/>
      <c r="D396" s="2" t="s">
        <v>624</v>
      </c>
      <c r="E396" s="2"/>
      <c r="F396" s="2">
        <v>374094.0</v>
      </c>
      <c r="G396" s="2">
        <v>1151053.0</v>
      </c>
      <c r="H396" s="2">
        <v>9991.0</v>
      </c>
      <c r="I396" s="2">
        <v>1536201.0</v>
      </c>
      <c r="J396" s="2">
        <v>919693.0</v>
      </c>
      <c r="K396" s="2">
        <v>616508.0</v>
      </c>
      <c r="L396" s="2"/>
    </row>
    <row r="397">
      <c r="A397" s="2">
        <v>2020.0</v>
      </c>
      <c r="B397" s="1" t="s">
        <v>595</v>
      </c>
      <c r="C397" s="2"/>
      <c r="D397" s="2" t="s">
        <v>731</v>
      </c>
      <c r="E397" s="2"/>
      <c r="F397" s="2">
        <v>483898.0</v>
      </c>
      <c r="G397" s="2">
        <v>1354413.0</v>
      </c>
      <c r="H397" s="2">
        <v>12866.0</v>
      </c>
      <c r="I397" s="2">
        <v>1878413.0</v>
      </c>
      <c r="J397" s="2">
        <v>1044030.0</v>
      </c>
      <c r="K397" s="2">
        <v>834383.0</v>
      </c>
      <c r="L397" s="2"/>
    </row>
    <row r="398">
      <c r="A398" s="2">
        <v>2020.0</v>
      </c>
      <c r="B398" s="1" t="s">
        <v>595</v>
      </c>
      <c r="C398" s="2"/>
      <c r="D398" s="2" t="s">
        <v>628</v>
      </c>
      <c r="E398" s="2"/>
      <c r="F398" s="2">
        <v>990603.0</v>
      </c>
      <c r="G398" s="2">
        <v>1204313.0</v>
      </c>
      <c r="H398" s="2">
        <v>12354.0</v>
      </c>
      <c r="I398" s="2">
        <v>2207270.0</v>
      </c>
      <c r="J398" s="2">
        <v>1490375.0</v>
      </c>
      <c r="K398" s="2">
        <v>716895.0</v>
      </c>
      <c r="L398" s="2"/>
    </row>
    <row r="399">
      <c r="A399" s="2">
        <v>2020.0</v>
      </c>
      <c r="B399" s="1" t="s">
        <v>595</v>
      </c>
      <c r="C399" s="2"/>
      <c r="D399" s="2" t="s">
        <v>630</v>
      </c>
      <c r="E399" s="2"/>
      <c r="F399" s="2">
        <v>791889.0</v>
      </c>
      <c r="G399" s="2">
        <v>1391272.0</v>
      </c>
      <c r="H399" s="2">
        <v>16936.0</v>
      </c>
      <c r="I399" s="2">
        <v>2200097.0</v>
      </c>
      <c r="J399" s="2">
        <v>1486678.0</v>
      </c>
      <c r="K399" s="2">
        <v>713419.0</v>
      </c>
      <c r="L399" s="2"/>
    </row>
    <row r="400">
      <c r="A400" s="2">
        <v>2020.0</v>
      </c>
      <c r="B400" s="1" t="s">
        <v>595</v>
      </c>
      <c r="C400" s="2"/>
      <c r="D400" s="2" t="s">
        <v>633</v>
      </c>
      <c r="E400" s="2"/>
      <c r="F400" s="2">
        <v>1598081.0</v>
      </c>
      <c r="G400" s="2">
        <v>923850.0</v>
      </c>
      <c r="H400" s="2">
        <v>21639.0</v>
      </c>
      <c r="I400" s="2">
        <v>2543570.0</v>
      </c>
      <c r="J400" s="2">
        <v>2174257.0</v>
      </c>
      <c r="K400" s="2">
        <v>369313.0</v>
      </c>
      <c r="L400" s="2"/>
    </row>
    <row r="401">
      <c r="A401" s="2">
        <v>2020.0</v>
      </c>
      <c r="B401" s="1" t="s">
        <v>595</v>
      </c>
      <c r="C401" s="2"/>
      <c r="D401" s="2" t="s">
        <v>748</v>
      </c>
      <c r="E401" s="2"/>
      <c r="F401" s="2">
        <v>758882.0</v>
      </c>
      <c r="G401" s="2">
        <v>1145995.0</v>
      </c>
      <c r="H401" s="2">
        <v>6729.0</v>
      </c>
      <c r="I401" s="2">
        <v>1911606.0</v>
      </c>
      <c r="J401" s="2">
        <v>1158179.0</v>
      </c>
      <c r="K401" s="2">
        <v>753427.0</v>
      </c>
      <c r="L401" s="2"/>
    </row>
    <row r="402">
      <c r="A402" s="2">
        <v>2020.0</v>
      </c>
      <c r="B402" s="1" t="s">
        <v>595</v>
      </c>
      <c r="C402" s="2"/>
      <c r="D402" s="2" t="s">
        <v>637</v>
      </c>
      <c r="E402" s="2"/>
      <c r="F402" s="2">
        <v>1992170.0</v>
      </c>
      <c r="G402" s="2">
        <v>1390755.0</v>
      </c>
      <c r="H402" s="2">
        <v>58688.0</v>
      </c>
      <c r="I402" s="2">
        <v>3441613.0</v>
      </c>
      <c r="J402" s="2">
        <v>2049353.0</v>
      </c>
      <c r="K402" s="2">
        <v>1392260.0</v>
      </c>
      <c r="L402" s="2"/>
    </row>
    <row r="403">
      <c r="A403" s="2">
        <v>2020.0</v>
      </c>
      <c r="B403" s="1" t="s">
        <v>595</v>
      </c>
      <c r="C403" s="2"/>
      <c r="D403" s="2" t="s">
        <v>638</v>
      </c>
      <c r="E403" s="2"/>
      <c r="F403" s="2">
        <v>515453.0</v>
      </c>
      <c r="G403" s="2">
        <v>1978879.0</v>
      </c>
      <c r="H403" s="2">
        <v>16567.0</v>
      </c>
      <c r="I403" s="2">
        <v>2510899.0</v>
      </c>
      <c r="J403" s="2">
        <v>2225927.0</v>
      </c>
      <c r="K403" s="2">
        <v>284972.0</v>
      </c>
      <c r="L403" s="2"/>
    </row>
    <row r="404">
      <c r="A404" s="2">
        <v>2020.0</v>
      </c>
      <c r="B404" s="1" t="s">
        <v>595</v>
      </c>
      <c r="C404" s="2"/>
      <c r="D404" s="2" t="s">
        <v>640</v>
      </c>
      <c r="E404" s="2"/>
      <c r="F404" s="2">
        <v>1381290.0</v>
      </c>
      <c r="G404" s="2">
        <v>1606953.0</v>
      </c>
      <c r="H404" s="2">
        <v>32296.0</v>
      </c>
      <c r="I404" s="2">
        <v>3020541.0</v>
      </c>
      <c r="J404" s="2">
        <v>2098491.0</v>
      </c>
      <c r="K404" s="2">
        <v>922050.0</v>
      </c>
      <c r="L404" s="2"/>
    </row>
    <row r="405">
      <c r="A405" s="2">
        <v>2020.0</v>
      </c>
      <c r="B405" s="1" t="s">
        <v>595</v>
      </c>
      <c r="C405" s="2" t="s">
        <v>753</v>
      </c>
      <c r="D405" s="2" t="s">
        <v>754</v>
      </c>
      <c r="E405" s="2"/>
      <c r="F405" s="2">
        <v>3583724.0</v>
      </c>
      <c r="G405" s="2">
        <v>3156875.0</v>
      </c>
      <c r="H405" s="2">
        <v>100096.0</v>
      </c>
      <c r="I405" s="2">
        <v>6840695.0</v>
      </c>
      <c r="J405" s="2">
        <v>3798450.0</v>
      </c>
      <c r="K405" s="2">
        <v>3042245.0</v>
      </c>
      <c r="L405" s="2"/>
    </row>
    <row r="406">
      <c r="A406" s="2">
        <v>2020.0</v>
      </c>
      <c r="B406" s="1" t="s">
        <v>595</v>
      </c>
      <c r="C406" s="2"/>
      <c r="D406" s="2" t="s">
        <v>756</v>
      </c>
      <c r="E406" s="2"/>
      <c r="F406" s="2">
        <v>1392483.0</v>
      </c>
      <c r="G406" s="2">
        <v>2564222.0</v>
      </c>
      <c r="H406" s="2">
        <v>53161.0</v>
      </c>
      <c r="I406" s="2">
        <v>4009866.0</v>
      </c>
      <c r="J406" s="2">
        <v>1302436.0</v>
      </c>
      <c r="K406" s="2">
        <v>2707430.0</v>
      </c>
      <c r="L406" s="2"/>
    </row>
    <row r="407">
      <c r="A407" s="2">
        <v>2020.0</v>
      </c>
      <c r="B407" s="1" t="s">
        <v>595</v>
      </c>
      <c r="C407" s="2"/>
      <c r="D407" s="2" t="s">
        <v>758</v>
      </c>
      <c r="E407" s="2"/>
      <c r="F407" s="2">
        <v>1434011.0</v>
      </c>
      <c r="G407" s="2">
        <v>875693.0</v>
      </c>
      <c r="H407" s="2">
        <v>47529.0</v>
      </c>
      <c r="I407" s="2">
        <v>2357233.0</v>
      </c>
      <c r="J407" s="2">
        <v>1741630.0</v>
      </c>
      <c r="K407" s="2">
        <v>615603.0</v>
      </c>
      <c r="L407" s="2"/>
    </row>
    <row r="408">
      <c r="A408" s="2">
        <v>2020.0</v>
      </c>
      <c r="B408" s="1" t="s">
        <v>595</v>
      </c>
      <c r="C408" s="2"/>
      <c r="D408" s="2" t="s">
        <v>762</v>
      </c>
      <c r="E408" s="2"/>
      <c r="F408" s="2">
        <v>764760.0</v>
      </c>
      <c r="G408" s="2">
        <v>29677.0</v>
      </c>
      <c r="H408" s="2">
        <v>2076733.0</v>
      </c>
      <c r="I408" s="2">
        <v>2871170.0</v>
      </c>
      <c r="J408" s="2">
        <v>1604140.0</v>
      </c>
      <c r="K408" s="2">
        <v>1267030.0</v>
      </c>
      <c r="L408" s="2"/>
    </row>
    <row r="409">
      <c r="A409" s="2">
        <v>2020.0</v>
      </c>
      <c r="B409" s="1" t="s">
        <v>595</v>
      </c>
      <c r="C409" s="2" t="s">
        <v>764</v>
      </c>
      <c r="D409" s="2" t="s">
        <v>765</v>
      </c>
      <c r="E409" s="2"/>
      <c r="F409" s="2">
        <v>646916.0</v>
      </c>
      <c r="G409" s="2">
        <v>2122413.0</v>
      </c>
      <c r="H409" s="2">
        <v>43537.0</v>
      </c>
      <c r="I409" s="2">
        <v>2812866.0</v>
      </c>
      <c r="J409" s="2">
        <v>1144786.0</v>
      </c>
      <c r="K409" s="2">
        <v>1668080.0</v>
      </c>
      <c r="L409" s="2"/>
    </row>
    <row r="410">
      <c r="A410" s="2">
        <v>2020.0</v>
      </c>
      <c r="B410" s="1" t="s">
        <v>595</v>
      </c>
      <c r="C410" s="2"/>
      <c r="D410" s="2" t="s">
        <v>487</v>
      </c>
      <c r="E410" s="2"/>
      <c r="F410" s="2">
        <v>166576.0</v>
      </c>
      <c r="G410" s="2">
        <v>1677389.0</v>
      </c>
      <c r="H410" s="2">
        <v>17268.0</v>
      </c>
      <c r="I410" s="2">
        <v>1861233.0</v>
      </c>
      <c r="J410" s="2">
        <v>676705.0</v>
      </c>
      <c r="K410" s="2">
        <v>1184528.0</v>
      </c>
      <c r="L410" s="2"/>
    </row>
    <row r="411">
      <c r="A411" s="2">
        <v>2020.0</v>
      </c>
      <c r="B411" s="1" t="s">
        <v>595</v>
      </c>
      <c r="C411" s="2" t="s">
        <v>641</v>
      </c>
      <c r="D411" s="2" t="s">
        <v>642</v>
      </c>
      <c r="E411" s="2"/>
      <c r="F411" s="2">
        <v>4982540.0</v>
      </c>
      <c r="G411" s="2">
        <v>3283053.0</v>
      </c>
      <c r="H411" s="2">
        <v>227866.0</v>
      </c>
      <c r="I411" s="2">
        <v>8393102.77</v>
      </c>
      <c r="J411" s="2">
        <v>1588770.0</v>
      </c>
      <c r="K411" s="2">
        <v>6804332.77</v>
      </c>
      <c r="L411" s="2"/>
    </row>
    <row r="412">
      <c r="A412" s="2">
        <v>2020.0</v>
      </c>
      <c r="B412" s="1" t="s">
        <v>595</v>
      </c>
      <c r="C412" s="2"/>
      <c r="D412" s="2" t="s">
        <v>644</v>
      </c>
      <c r="E412" s="2"/>
      <c r="F412" s="2">
        <v>1555324.6</v>
      </c>
      <c r="G412" s="2">
        <v>2795538.0</v>
      </c>
      <c r="H412" s="2">
        <v>59425.0</v>
      </c>
      <c r="I412" s="2">
        <v>4410287.6</v>
      </c>
      <c r="J412" s="2">
        <v>1768849.0</v>
      </c>
      <c r="K412" s="2">
        <v>2641438.6</v>
      </c>
      <c r="L412" s="2"/>
    </row>
    <row r="413">
      <c r="A413" s="2">
        <v>2020.0</v>
      </c>
      <c r="B413" s="1" t="s">
        <v>595</v>
      </c>
      <c r="C413" s="2"/>
      <c r="D413" s="2" t="s">
        <v>646</v>
      </c>
      <c r="E413" s="2"/>
      <c r="F413" s="2">
        <v>3305890.0</v>
      </c>
      <c r="G413" s="2">
        <v>737158.0</v>
      </c>
      <c r="H413" s="2">
        <v>6856.0</v>
      </c>
      <c r="I413" s="2">
        <v>4049904.0</v>
      </c>
      <c r="J413" s="2">
        <v>224408.5</v>
      </c>
      <c r="K413" s="2">
        <v>3825495.5</v>
      </c>
      <c r="L413" s="2"/>
    </row>
    <row r="414">
      <c r="A414" s="2">
        <v>2020.0</v>
      </c>
      <c r="B414" s="1" t="s">
        <v>595</v>
      </c>
      <c r="C414" s="2"/>
      <c r="D414" s="2" t="s">
        <v>647</v>
      </c>
      <c r="E414" s="2"/>
      <c r="F414" s="2">
        <v>1880424.0</v>
      </c>
      <c r="G414" s="2">
        <v>4155831.0</v>
      </c>
      <c r="H414" s="2">
        <v>94041.0</v>
      </c>
      <c r="I414" s="2">
        <v>5809970.0</v>
      </c>
      <c r="J414" s="2">
        <v>2726564.0</v>
      </c>
      <c r="K414" s="2">
        <v>3403732.0</v>
      </c>
      <c r="L414" s="2"/>
    </row>
    <row r="415">
      <c r="A415" s="2">
        <v>2020.0</v>
      </c>
      <c r="B415" s="1" t="s">
        <v>595</v>
      </c>
      <c r="C415" s="2"/>
      <c r="D415" s="2" t="s">
        <v>649</v>
      </c>
      <c r="E415" s="2"/>
      <c r="F415" s="2">
        <v>3201734.0</v>
      </c>
      <c r="G415" s="2">
        <v>2899020.0</v>
      </c>
      <c r="H415" s="2">
        <v>97677.0</v>
      </c>
      <c r="I415" s="2">
        <v>6175404.0</v>
      </c>
      <c r="J415" s="2">
        <v>3863669.0</v>
      </c>
      <c r="K415" s="2">
        <v>2311735.0</v>
      </c>
      <c r="L415" s="2"/>
    </row>
    <row r="416">
      <c r="A416" s="2">
        <v>2020.0</v>
      </c>
      <c r="B416" s="1" t="s">
        <v>595</v>
      </c>
      <c r="C416" s="2"/>
      <c r="D416" s="2" t="s">
        <v>652</v>
      </c>
      <c r="E416" s="2"/>
      <c r="F416" s="2">
        <v>50708.0</v>
      </c>
      <c r="G416" s="2">
        <v>716080.0</v>
      </c>
      <c r="H416" s="2">
        <v>5451.0</v>
      </c>
      <c r="I416" s="2">
        <v>772239.0</v>
      </c>
      <c r="J416" s="2">
        <v>245110.0</v>
      </c>
      <c r="K416" s="2">
        <v>527129.0</v>
      </c>
      <c r="L416" s="2"/>
    </row>
    <row r="417">
      <c r="A417" s="2">
        <v>2020.0</v>
      </c>
      <c r="B417" s="1" t="s">
        <v>595</v>
      </c>
      <c r="C417" s="2"/>
      <c r="D417" s="2" t="s">
        <v>655</v>
      </c>
      <c r="E417" s="2"/>
      <c r="F417" s="2">
        <v>3334664.0</v>
      </c>
      <c r="G417" s="2">
        <v>3292562.0</v>
      </c>
      <c r="H417" s="2">
        <v>154640.0</v>
      </c>
      <c r="I417" s="2">
        <v>6781866.0</v>
      </c>
      <c r="J417" s="2">
        <v>1565731.5</v>
      </c>
      <c r="K417" s="2">
        <v>5216134.5</v>
      </c>
      <c r="L417" s="2"/>
    </row>
    <row r="418">
      <c r="A418" s="2">
        <v>2020.0</v>
      </c>
      <c r="B418" s="1" t="s">
        <v>595</v>
      </c>
      <c r="C418" s="2"/>
      <c r="D418" s="2" t="s">
        <v>656</v>
      </c>
      <c r="E418" s="2"/>
      <c r="F418" s="2">
        <v>2096985.2</v>
      </c>
      <c r="G418" s="2">
        <v>2363818.0</v>
      </c>
      <c r="H418" s="2">
        <v>64845.0</v>
      </c>
      <c r="I418" s="2">
        <v>4522784.23</v>
      </c>
      <c r="J418" s="2">
        <v>2308872.7</v>
      </c>
      <c r="K418" s="2">
        <v>2213911.53</v>
      </c>
      <c r="L418" s="2"/>
    </row>
    <row r="419">
      <c r="A419" s="2">
        <v>2020.0</v>
      </c>
      <c r="B419" s="1" t="s">
        <v>595</v>
      </c>
      <c r="C419" s="2"/>
      <c r="D419" s="2" t="s">
        <v>658</v>
      </c>
      <c r="E419" s="2"/>
      <c r="F419" s="2">
        <v>1063548.0</v>
      </c>
      <c r="G419" s="2">
        <v>3355313.0</v>
      </c>
      <c r="H419" s="2">
        <v>47811.0</v>
      </c>
      <c r="I419" s="2">
        <v>4466672.0</v>
      </c>
      <c r="J419" s="2">
        <v>2378409.0</v>
      </c>
      <c r="K419" s="2">
        <v>2088263.0</v>
      </c>
      <c r="L419" s="2"/>
    </row>
    <row r="420">
      <c r="A420" s="2">
        <v>2020.0</v>
      </c>
      <c r="B420" s="1" t="s">
        <v>596</v>
      </c>
      <c r="C420" s="2" t="s">
        <v>603</v>
      </c>
      <c r="D420" s="2" t="s">
        <v>604</v>
      </c>
      <c r="E420" s="2"/>
      <c r="F420" s="2">
        <v>1630778.0</v>
      </c>
      <c r="G420" s="2">
        <v>2236605.0</v>
      </c>
      <c r="H420" s="2">
        <v>50699.0</v>
      </c>
      <c r="I420" s="2">
        <v>3918082.0</v>
      </c>
      <c r="J420" s="2">
        <v>3004962.0</v>
      </c>
      <c r="K420" s="2">
        <v>913120.0</v>
      </c>
    </row>
    <row r="421">
      <c r="A421" s="2">
        <v>2020.0</v>
      </c>
      <c r="B421" s="1" t="s">
        <v>596</v>
      </c>
      <c r="C421" s="2"/>
      <c r="D421" s="2" t="s">
        <v>778</v>
      </c>
      <c r="E421" s="2"/>
      <c r="F421" s="2">
        <v>0.0</v>
      </c>
      <c r="G421" s="2">
        <v>2804490.0</v>
      </c>
      <c r="H421" s="2">
        <v>18855.0</v>
      </c>
      <c r="I421" s="2">
        <v>2823345.0</v>
      </c>
      <c r="J421" s="2">
        <v>1732632.0</v>
      </c>
      <c r="K421" s="2">
        <v>1090713.0</v>
      </c>
    </row>
    <row r="422">
      <c r="A422" s="2">
        <v>2020.0</v>
      </c>
      <c r="B422" s="1" t="s">
        <v>596</v>
      </c>
      <c r="C422" s="2"/>
      <c r="D422" s="2" t="s">
        <v>610</v>
      </c>
      <c r="E422" s="2"/>
      <c r="F422" s="2">
        <v>1410021.0</v>
      </c>
      <c r="G422" s="2">
        <v>4088609.0</v>
      </c>
      <c r="H422" s="2">
        <v>7418.0</v>
      </c>
      <c r="I422" s="2">
        <v>5470982.0</v>
      </c>
      <c r="J422" s="2">
        <v>2398363.0</v>
      </c>
      <c r="K422" s="2">
        <v>3072619.0</v>
      </c>
    </row>
    <row r="423">
      <c r="A423" s="2">
        <v>2020.0</v>
      </c>
      <c r="B423" s="1" t="s">
        <v>596</v>
      </c>
      <c r="C423" s="2"/>
      <c r="D423" s="2" t="s">
        <v>612</v>
      </c>
      <c r="E423" s="2"/>
      <c r="F423" s="2">
        <v>1768032.0</v>
      </c>
      <c r="G423" s="2">
        <v>3896659.0</v>
      </c>
      <c r="H423" s="2">
        <v>85168.0</v>
      </c>
      <c r="I423" s="2">
        <v>5749859.0</v>
      </c>
      <c r="J423" s="2">
        <v>3467779.0</v>
      </c>
      <c r="K423" s="2">
        <v>2282080.0</v>
      </c>
    </row>
    <row r="424">
      <c r="A424" s="2">
        <v>2020.0</v>
      </c>
      <c r="B424" s="1" t="s">
        <v>596</v>
      </c>
      <c r="C424" s="2"/>
      <c r="D424" s="2" t="s">
        <v>607</v>
      </c>
      <c r="E424" s="2"/>
      <c r="F424" s="2">
        <v>2509785.0</v>
      </c>
      <c r="G424" s="2">
        <v>5690255.0</v>
      </c>
      <c r="H424" s="2">
        <v>0.0</v>
      </c>
      <c r="I424" s="2">
        <v>8200040.0</v>
      </c>
      <c r="J424" s="2">
        <v>3748182.0</v>
      </c>
      <c r="K424" s="2">
        <v>4451858.0</v>
      </c>
    </row>
    <row r="425">
      <c r="A425" s="2">
        <v>2020.0</v>
      </c>
      <c r="B425" s="1" t="s">
        <v>596</v>
      </c>
      <c r="C425" s="2"/>
      <c r="D425" s="2" t="s">
        <v>79</v>
      </c>
      <c r="E425" s="2"/>
      <c r="F425" s="2">
        <v>814738.0</v>
      </c>
      <c r="G425" s="2">
        <v>75706.0</v>
      </c>
      <c r="H425" s="2">
        <v>12513.0</v>
      </c>
      <c r="I425" s="2">
        <v>902957.0</v>
      </c>
      <c r="J425" s="2">
        <v>792940.0</v>
      </c>
      <c r="K425" s="2">
        <v>110017.0</v>
      </c>
    </row>
    <row r="426">
      <c r="A426" s="2">
        <v>2020.0</v>
      </c>
      <c r="B426" s="1" t="s">
        <v>596</v>
      </c>
      <c r="C426" s="2"/>
      <c r="D426" s="2" t="s">
        <v>615</v>
      </c>
      <c r="E426" s="2"/>
      <c r="F426" s="2">
        <v>3008741.0</v>
      </c>
      <c r="G426" s="2">
        <v>3913856.0</v>
      </c>
      <c r="H426" s="2">
        <v>121932.0</v>
      </c>
      <c r="I426" s="2">
        <v>7044529.0</v>
      </c>
      <c r="J426" s="2">
        <v>3531478.0</v>
      </c>
      <c r="K426" s="2">
        <v>3513051.0</v>
      </c>
    </row>
    <row r="427">
      <c r="A427" s="2">
        <v>2020.0</v>
      </c>
      <c r="B427" s="1" t="s">
        <v>596</v>
      </c>
      <c r="C427" s="2" t="s">
        <v>618</v>
      </c>
      <c r="D427" s="2" t="s">
        <v>618</v>
      </c>
      <c r="E427" s="2"/>
      <c r="F427" s="2">
        <v>6432568.0</v>
      </c>
      <c r="G427" s="2">
        <v>9447839.0</v>
      </c>
      <c r="H427" s="2">
        <v>359955.0</v>
      </c>
      <c r="I427" s="2">
        <v>1.6240362E7</v>
      </c>
      <c r="J427" s="2">
        <v>5203416.0</v>
      </c>
      <c r="K427" s="2">
        <v>1.1036946E7</v>
      </c>
    </row>
    <row r="428">
      <c r="A428" s="2">
        <v>2020.0</v>
      </c>
      <c r="B428" s="1" t="s">
        <v>596</v>
      </c>
      <c r="C428" s="2"/>
      <c r="D428" s="2" t="s">
        <v>619</v>
      </c>
      <c r="E428" s="2"/>
      <c r="F428" s="2">
        <v>1380131.0</v>
      </c>
      <c r="G428" s="2">
        <v>4196523.0</v>
      </c>
      <c r="H428" s="2">
        <v>89531.0</v>
      </c>
      <c r="I428" s="2">
        <v>5666185.0</v>
      </c>
      <c r="J428" s="2">
        <v>2243876.0</v>
      </c>
      <c r="K428" s="2">
        <v>3422309.0</v>
      </c>
    </row>
    <row r="429">
      <c r="A429" s="2">
        <v>2020.0</v>
      </c>
      <c r="B429" s="1" t="s">
        <v>596</v>
      </c>
      <c r="C429" s="2"/>
      <c r="D429" s="2" t="s">
        <v>621</v>
      </c>
      <c r="E429" s="2"/>
      <c r="F429" s="2">
        <v>6891141.0</v>
      </c>
      <c r="G429" s="2">
        <v>9881398.0</v>
      </c>
      <c r="H429" s="2">
        <v>310868.0</v>
      </c>
      <c r="I429" s="2">
        <v>1.7082325E7</v>
      </c>
      <c r="J429" s="2">
        <v>4214587.0</v>
      </c>
      <c r="K429" s="2">
        <v>1.2867738E7</v>
      </c>
    </row>
    <row r="430">
      <c r="A430" s="2">
        <v>2020.0</v>
      </c>
      <c r="B430" s="1" t="s">
        <v>596</v>
      </c>
      <c r="C430" s="2" t="s">
        <v>623</v>
      </c>
      <c r="D430" s="2" t="s">
        <v>725</v>
      </c>
      <c r="E430" s="2"/>
      <c r="F430" s="2">
        <v>360725.0</v>
      </c>
      <c r="G430" s="2">
        <v>2940350.0</v>
      </c>
      <c r="H430" s="2">
        <v>35318.0</v>
      </c>
      <c r="I430" s="2">
        <v>3336393.0</v>
      </c>
      <c r="J430" s="2">
        <v>2271707.0</v>
      </c>
      <c r="K430" s="2">
        <v>1064686.0</v>
      </c>
    </row>
    <row r="431">
      <c r="A431" s="2">
        <v>2020.0</v>
      </c>
      <c r="B431" s="1" t="s">
        <v>596</v>
      </c>
      <c r="C431" s="2"/>
      <c r="D431" s="2" t="s">
        <v>624</v>
      </c>
      <c r="E431" s="2"/>
      <c r="F431" s="2">
        <v>616508.0</v>
      </c>
      <c r="G431" s="2">
        <v>106450.0</v>
      </c>
      <c r="H431" s="2">
        <v>52488.0</v>
      </c>
      <c r="I431" s="2">
        <v>3859266.0</v>
      </c>
      <c r="J431" s="2">
        <v>2413144.0</v>
      </c>
      <c r="K431" s="2">
        <v>1446122.0</v>
      </c>
    </row>
    <row r="432">
      <c r="A432" s="2">
        <v>2020.0</v>
      </c>
      <c r="B432" s="1" t="s">
        <v>596</v>
      </c>
      <c r="C432" s="2"/>
      <c r="D432" s="2" t="s">
        <v>731</v>
      </c>
      <c r="E432" s="2"/>
      <c r="F432" s="2">
        <v>834383.0</v>
      </c>
      <c r="G432" s="2">
        <v>1626662.0</v>
      </c>
      <c r="H432" s="2">
        <v>11944.0</v>
      </c>
      <c r="I432" s="2">
        <v>2214604.0</v>
      </c>
      <c r="J432" s="2">
        <v>536000.0</v>
      </c>
      <c r="K432" s="2">
        <v>1678604.0</v>
      </c>
    </row>
    <row r="433">
      <c r="A433" s="2">
        <v>2020.0</v>
      </c>
      <c r="B433" s="1" t="s">
        <v>596</v>
      </c>
      <c r="C433" s="2"/>
      <c r="D433" s="2" t="s">
        <v>628</v>
      </c>
      <c r="E433" s="2"/>
      <c r="F433" s="2">
        <v>716895.0</v>
      </c>
      <c r="G433" s="2">
        <v>2903080.0</v>
      </c>
      <c r="H433" s="2">
        <v>20702.0</v>
      </c>
      <c r="I433" s="2">
        <v>2944331.0</v>
      </c>
      <c r="J433" s="2">
        <v>2461657.0</v>
      </c>
      <c r="K433" s="2">
        <v>482674.0</v>
      </c>
    </row>
    <row r="434">
      <c r="A434" s="2">
        <v>2020.0</v>
      </c>
      <c r="B434" s="1" t="s">
        <v>596</v>
      </c>
      <c r="C434" s="2"/>
      <c r="D434" s="2" t="s">
        <v>630</v>
      </c>
      <c r="E434" s="2"/>
      <c r="F434" s="2">
        <v>713419.0</v>
      </c>
      <c r="G434" s="2">
        <v>3144996.0</v>
      </c>
      <c r="H434" s="2">
        <v>52389.0</v>
      </c>
      <c r="I434" s="2">
        <v>3910997.0</v>
      </c>
      <c r="J434" s="2">
        <v>2501261.0</v>
      </c>
      <c r="K434" s="2">
        <v>1409736.0</v>
      </c>
    </row>
    <row r="435">
      <c r="A435" s="2">
        <v>2020.0</v>
      </c>
      <c r="B435" s="1" t="s">
        <v>596</v>
      </c>
      <c r="C435" s="2"/>
      <c r="D435" s="2" t="s">
        <v>791</v>
      </c>
      <c r="E435" s="2"/>
      <c r="F435" s="2">
        <v>0.0</v>
      </c>
      <c r="G435" s="2">
        <v>2984702.0</v>
      </c>
      <c r="H435" s="2">
        <v>30113.0</v>
      </c>
      <c r="I435" s="2">
        <v>3014815.0</v>
      </c>
      <c r="J435" s="2">
        <v>1807350.0</v>
      </c>
      <c r="K435" s="2">
        <v>1207465.0</v>
      </c>
    </row>
    <row r="436">
      <c r="A436" s="2">
        <v>2020.0</v>
      </c>
      <c r="B436" s="1" t="s">
        <v>596</v>
      </c>
      <c r="C436" s="2"/>
      <c r="D436" s="2" t="s">
        <v>748</v>
      </c>
      <c r="E436" s="2"/>
      <c r="F436" s="2">
        <v>753427.0</v>
      </c>
      <c r="G436" s="2">
        <v>3357105.0</v>
      </c>
      <c r="H436" s="2">
        <v>34851.0</v>
      </c>
      <c r="I436" s="2">
        <v>4145383.0</v>
      </c>
      <c r="J436" s="2">
        <v>2311836.0</v>
      </c>
      <c r="K436" s="2">
        <v>1833547.0</v>
      </c>
    </row>
    <row r="437">
      <c r="A437" s="2">
        <v>2020.0</v>
      </c>
      <c r="B437" s="1" t="s">
        <v>596</v>
      </c>
      <c r="C437" s="2"/>
      <c r="D437" s="2" t="s">
        <v>637</v>
      </c>
      <c r="E437" s="2"/>
      <c r="F437" s="2">
        <v>1392260.0</v>
      </c>
      <c r="G437" s="2">
        <v>5218477.0</v>
      </c>
      <c r="H437" s="2">
        <v>81682.0</v>
      </c>
      <c r="I437" s="2">
        <v>6692420.0</v>
      </c>
      <c r="J437" s="2">
        <v>4975624.0</v>
      </c>
      <c r="K437" s="2">
        <v>1716796.0</v>
      </c>
    </row>
    <row r="438">
      <c r="A438" s="2">
        <v>2020.0</v>
      </c>
      <c r="B438" s="1" t="s">
        <v>596</v>
      </c>
      <c r="C438" s="2"/>
      <c r="D438" s="2" t="s">
        <v>638</v>
      </c>
      <c r="E438" s="2"/>
      <c r="F438" s="2">
        <v>284972.0</v>
      </c>
      <c r="G438" s="2">
        <v>3811429.0</v>
      </c>
      <c r="H438" s="2">
        <v>40857.0</v>
      </c>
      <c r="I438" s="2">
        <v>4131473.0</v>
      </c>
      <c r="J438" s="2">
        <v>2801034.0</v>
      </c>
      <c r="K438" s="2">
        <v>1330439.0</v>
      </c>
    </row>
    <row r="439">
      <c r="A439" s="2">
        <v>2020.0</v>
      </c>
      <c r="B439" s="1" t="s">
        <v>596</v>
      </c>
      <c r="C439" s="2"/>
      <c r="D439" s="2" t="s">
        <v>640</v>
      </c>
      <c r="E439" s="2"/>
      <c r="F439" s="2">
        <v>922050.0</v>
      </c>
      <c r="G439" s="2">
        <v>3906068.0</v>
      </c>
      <c r="H439" s="2">
        <v>65058.0</v>
      </c>
      <c r="I439" s="2">
        <v>4893180.0</v>
      </c>
      <c r="J439" s="2">
        <v>3542058.0</v>
      </c>
      <c r="K439" s="2">
        <v>1351122.0</v>
      </c>
    </row>
    <row r="440">
      <c r="A440" s="2">
        <v>2020.0</v>
      </c>
      <c r="B440" s="1" t="s">
        <v>596</v>
      </c>
      <c r="C440" s="2" t="s">
        <v>753</v>
      </c>
      <c r="D440" s="2" t="s">
        <v>754</v>
      </c>
      <c r="E440" s="2"/>
      <c r="F440" s="2">
        <v>3042245.0</v>
      </c>
      <c r="G440" s="2">
        <v>4217655.0</v>
      </c>
      <c r="H440" s="2">
        <v>64250.0</v>
      </c>
      <c r="I440" s="2">
        <v>7324150.0</v>
      </c>
      <c r="J440" s="2">
        <v>3630890.0</v>
      </c>
      <c r="K440" s="2">
        <v>3693260.0</v>
      </c>
    </row>
    <row r="441">
      <c r="A441" s="2">
        <v>2020.0</v>
      </c>
      <c r="B441" s="1" t="s">
        <v>596</v>
      </c>
      <c r="C441" s="2"/>
      <c r="D441" s="2" t="s">
        <v>756</v>
      </c>
      <c r="E441" s="2"/>
      <c r="F441" s="2">
        <v>2707430.0</v>
      </c>
      <c r="G441" s="2">
        <v>4251023.0</v>
      </c>
      <c r="H441" s="2">
        <v>138643.0</v>
      </c>
      <c r="I441" s="2">
        <v>7097096.0</v>
      </c>
      <c r="J441" s="2">
        <v>3589545.0</v>
      </c>
      <c r="K441" s="2">
        <v>3507551.0</v>
      </c>
    </row>
    <row r="442">
      <c r="A442" s="2">
        <v>2020.0</v>
      </c>
      <c r="B442" s="1" t="s">
        <v>596</v>
      </c>
      <c r="C442" s="2"/>
      <c r="D442" s="2" t="s">
        <v>758</v>
      </c>
      <c r="E442" s="2"/>
      <c r="F442" s="2">
        <v>615603.0</v>
      </c>
      <c r="G442" s="2">
        <v>6299703.0</v>
      </c>
      <c r="H442" s="2">
        <v>0.0</v>
      </c>
      <c r="I442" s="2">
        <v>6915306.0</v>
      </c>
      <c r="J442" s="2">
        <v>4254523.0</v>
      </c>
      <c r="K442" s="2">
        <v>2660783.0</v>
      </c>
    </row>
    <row r="443">
      <c r="A443" s="2">
        <v>2020.0</v>
      </c>
      <c r="B443" s="1" t="s">
        <v>596</v>
      </c>
      <c r="C443" s="2"/>
      <c r="D443" s="2" t="s">
        <v>762</v>
      </c>
      <c r="E443" s="2"/>
      <c r="F443" s="2">
        <v>1267030.0</v>
      </c>
      <c r="G443" s="2">
        <v>66323.0</v>
      </c>
      <c r="H443" s="2">
        <v>4765309.0</v>
      </c>
      <c r="I443" s="2">
        <v>6098662.0</v>
      </c>
      <c r="J443" s="2">
        <v>4490690.0</v>
      </c>
      <c r="K443" s="2">
        <v>1607972.0</v>
      </c>
    </row>
    <row r="444">
      <c r="A444" s="2">
        <v>2020.0</v>
      </c>
      <c r="B444" s="1" t="s">
        <v>596</v>
      </c>
      <c r="C444" s="2" t="s">
        <v>764</v>
      </c>
      <c r="D444" s="2" t="s">
        <v>765</v>
      </c>
      <c r="E444" s="2"/>
      <c r="F444" s="2">
        <v>1668080.0</v>
      </c>
      <c r="G444" s="2">
        <v>3322370.0</v>
      </c>
      <c r="H444" s="2">
        <v>70068.0</v>
      </c>
      <c r="I444" s="2">
        <v>5060518.0</v>
      </c>
      <c r="J444" s="2">
        <v>2581909.0</v>
      </c>
      <c r="K444" s="2">
        <v>2478609.0</v>
      </c>
    </row>
    <row r="445">
      <c r="A445" s="2">
        <v>2020.0</v>
      </c>
      <c r="B445" s="1" t="s">
        <v>596</v>
      </c>
      <c r="C445" s="2"/>
      <c r="D445" s="2" t="s">
        <v>487</v>
      </c>
      <c r="E445" s="2"/>
      <c r="F445" s="2">
        <v>1184528.0</v>
      </c>
      <c r="G445" s="2">
        <v>3676906.0</v>
      </c>
      <c r="H445" s="2">
        <v>79626.0</v>
      </c>
      <c r="I445" s="2">
        <v>4941060.0</v>
      </c>
      <c r="J445" s="2">
        <v>2087673.0</v>
      </c>
      <c r="K445" s="2">
        <v>2853387.0</v>
      </c>
    </row>
    <row r="446">
      <c r="A446" s="2">
        <v>2020.0</v>
      </c>
      <c r="B446" s="1" t="s">
        <v>596</v>
      </c>
      <c r="C446" s="2" t="s">
        <v>641</v>
      </c>
      <c r="D446" s="2" t="s">
        <v>642</v>
      </c>
      <c r="E446" s="2"/>
      <c r="F446" s="2">
        <v>6804332.8</v>
      </c>
      <c r="G446" s="2">
        <v>6718031.0</v>
      </c>
      <c r="H446" s="2">
        <v>291725.0</v>
      </c>
      <c r="I446" s="2">
        <v>1.38140888E7</v>
      </c>
      <c r="J446" s="2">
        <v>5617681.2</v>
      </c>
      <c r="K446" s="2">
        <v>8196407.57</v>
      </c>
    </row>
    <row r="447">
      <c r="A447" s="2">
        <v>2020.0</v>
      </c>
      <c r="B447" s="1" t="s">
        <v>596</v>
      </c>
      <c r="C447" s="2"/>
      <c r="D447" s="2" t="s">
        <v>644</v>
      </c>
      <c r="E447" s="2"/>
      <c r="F447" s="2">
        <v>2641438.6</v>
      </c>
      <c r="G447" s="2">
        <v>8001059.0</v>
      </c>
      <c r="H447" s="2">
        <v>138110.0</v>
      </c>
      <c r="I447" s="2">
        <v>1.07806076E7</v>
      </c>
      <c r="J447" s="2">
        <v>6868014.0</v>
      </c>
      <c r="K447" s="2">
        <v>3912593.6</v>
      </c>
    </row>
    <row r="448">
      <c r="A448" s="2">
        <v>2020.0</v>
      </c>
      <c r="B448" s="1" t="s">
        <v>596</v>
      </c>
      <c r="C448" s="2"/>
      <c r="D448" s="2" t="s">
        <v>646</v>
      </c>
      <c r="E448" s="2"/>
      <c r="F448" s="2">
        <v>3825495.5</v>
      </c>
      <c r="G448" s="2">
        <v>1.6295474E7</v>
      </c>
      <c r="H448" s="2">
        <v>261013.0</v>
      </c>
      <c r="I448" s="2">
        <v>2.07785645E7</v>
      </c>
      <c r="J448" s="2">
        <v>1.3410406E7</v>
      </c>
      <c r="K448" s="2">
        <v>7368158.5</v>
      </c>
    </row>
    <row r="449">
      <c r="A449" s="2">
        <v>2020.0</v>
      </c>
      <c r="B449" s="1" t="s">
        <v>596</v>
      </c>
      <c r="C449" s="2"/>
      <c r="D449" s="2" t="s">
        <v>647</v>
      </c>
      <c r="E449" s="2"/>
      <c r="F449" s="2">
        <v>3403732.0</v>
      </c>
      <c r="G449" s="2">
        <v>6197081.0</v>
      </c>
      <c r="H449" s="2">
        <v>162695.0</v>
      </c>
      <c r="I449" s="2">
        <v>8905955.0</v>
      </c>
      <c r="J449" s="2">
        <v>3639523.4</v>
      </c>
      <c r="K449" s="2">
        <v>6149937.6</v>
      </c>
    </row>
    <row r="450">
      <c r="A450" s="2">
        <v>2020.0</v>
      </c>
      <c r="B450" s="1" t="s">
        <v>596</v>
      </c>
      <c r="C450" s="2"/>
      <c r="D450" s="2" t="s">
        <v>649</v>
      </c>
      <c r="E450" s="2"/>
      <c r="F450" s="2">
        <v>2311735.0</v>
      </c>
      <c r="G450" s="2">
        <v>6035427.0</v>
      </c>
      <c r="H450" s="2">
        <v>139526.0</v>
      </c>
      <c r="I450" s="2">
        <v>8486688.0</v>
      </c>
      <c r="J450" s="2">
        <v>5394215.5</v>
      </c>
      <c r="K450" s="2">
        <v>3092472.5</v>
      </c>
    </row>
    <row r="451">
      <c r="A451" s="2">
        <v>2020.0</v>
      </c>
      <c r="B451" s="1" t="s">
        <v>596</v>
      </c>
      <c r="C451" s="2"/>
      <c r="D451" s="2" t="s">
        <v>652</v>
      </c>
      <c r="E451" s="2"/>
      <c r="F451" s="2">
        <v>2856324.0</v>
      </c>
      <c r="G451" s="2">
        <v>7607462.0</v>
      </c>
      <c r="H451" s="2">
        <v>152264.0</v>
      </c>
      <c r="I451" s="2">
        <v>1.061605E7</v>
      </c>
      <c r="J451" s="2">
        <v>6876800.0</v>
      </c>
      <c r="K451" s="2">
        <v>3739250.0</v>
      </c>
    </row>
    <row r="452">
      <c r="A452" s="2">
        <v>2020.0</v>
      </c>
      <c r="B452" s="1" t="s">
        <v>596</v>
      </c>
      <c r="C452" s="2"/>
      <c r="D452" s="2" t="s">
        <v>655</v>
      </c>
      <c r="E452" s="2"/>
      <c r="F452" s="2">
        <v>5216134.5</v>
      </c>
      <c r="G452" s="2">
        <v>7525449.0</v>
      </c>
      <c r="H452" s="2">
        <v>225504.0</v>
      </c>
      <c r="I452" s="2">
        <v>1.29670875E7</v>
      </c>
      <c r="J452" s="2">
        <v>6885144.5</v>
      </c>
      <c r="K452" s="2">
        <v>6081943.0</v>
      </c>
    </row>
    <row r="453">
      <c r="A453" s="2">
        <v>2020.0</v>
      </c>
      <c r="B453" s="1" t="s">
        <v>596</v>
      </c>
      <c r="C453" s="2"/>
      <c r="D453" s="2" t="s">
        <v>656</v>
      </c>
      <c r="E453" s="2"/>
      <c r="F453" s="2">
        <v>2213911.5</v>
      </c>
      <c r="G453" s="2">
        <v>4402728.0</v>
      </c>
      <c r="H453" s="2">
        <v>140953.0</v>
      </c>
      <c r="I453" s="2">
        <v>6757592.53</v>
      </c>
      <c r="J453" s="2">
        <v>2025327.0</v>
      </c>
      <c r="K453" s="2">
        <v>4732265.53</v>
      </c>
    </row>
    <row r="454">
      <c r="A454" s="2">
        <v>2020.0</v>
      </c>
      <c r="B454" s="1" t="s">
        <v>596</v>
      </c>
      <c r="C454" s="2"/>
      <c r="D454" s="2" t="s">
        <v>658</v>
      </c>
      <c r="E454" s="2"/>
      <c r="F454" s="2">
        <v>2088263.0</v>
      </c>
      <c r="G454" s="2">
        <v>5112957.0</v>
      </c>
      <c r="H454" s="2">
        <v>99035.0</v>
      </c>
      <c r="I454" s="2">
        <v>7292973.0</v>
      </c>
      <c r="J454" s="2">
        <v>3391899.0</v>
      </c>
      <c r="K454" s="2">
        <v>3901074.0</v>
      </c>
    </row>
    <row r="455">
      <c r="A455" s="2">
        <v>2020.0</v>
      </c>
      <c r="B455" s="1" t="s">
        <v>213</v>
      </c>
      <c r="C455" s="2" t="s">
        <v>603</v>
      </c>
      <c r="D455" s="2" t="s">
        <v>604</v>
      </c>
      <c r="E455" s="1" t="s">
        <v>420</v>
      </c>
      <c r="F455" s="2">
        <v>3968737.0</v>
      </c>
      <c r="G455" s="2">
        <v>1.8567E7</v>
      </c>
      <c r="H455" s="2">
        <v>60526.0</v>
      </c>
      <c r="I455" s="2">
        <v>2.2596263E7</v>
      </c>
      <c r="J455" s="2">
        <v>2.2109795E7</v>
      </c>
      <c r="K455" s="2">
        <v>486468.0</v>
      </c>
      <c r="M455" s="2"/>
      <c r="U455" s="2"/>
      <c r="V455" s="2"/>
      <c r="W455" s="2"/>
      <c r="AG455" s="2"/>
    </row>
    <row r="456">
      <c r="A456" s="2">
        <v>2020.0</v>
      </c>
      <c r="B456" s="1" t="s">
        <v>213</v>
      </c>
      <c r="C456" s="2"/>
      <c r="D456" s="2" t="s">
        <v>79</v>
      </c>
      <c r="E456" s="1" t="s">
        <v>420</v>
      </c>
      <c r="F456" s="2">
        <v>735648.0</v>
      </c>
      <c r="G456" s="2">
        <v>2060000.0</v>
      </c>
      <c r="H456" s="2">
        <v>15365.0</v>
      </c>
      <c r="I456" s="2">
        <v>2811013.0</v>
      </c>
      <c r="J456" s="2">
        <v>2573097.0</v>
      </c>
      <c r="K456" s="2">
        <v>237916.0</v>
      </c>
      <c r="M456" s="2"/>
      <c r="U456" s="2"/>
      <c r="V456" s="2"/>
      <c r="W456" s="2"/>
      <c r="AG456" s="2"/>
    </row>
    <row r="457">
      <c r="A457" s="2">
        <v>2020.0</v>
      </c>
      <c r="B457" s="1" t="s">
        <v>213</v>
      </c>
      <c r="C457" s="2"/>
      <c r="D457" s="2" t="s">
        <v>670</v>
      </c>
      <c r="E457" s="1" t="s">
        <v>420</v>
      </c>
      <c r="F457" s="2">
        <v>2564009.0</v>
      </c>
      <c r="G457" s="2">
        <v>1.031508E7</v>
      </c>
      <c r="H457" s="2">
        <v>38546.0</v>
      </c>
      <c r="I457" s="2">
        <v>1.2917635E7</v>
      </c>
      <c r="J457" s="2">
        <v>1.2525124E7</v>
      </c>
      <c r="K457" s="2">
        <v>392511.0</v>
      </c>
      <c r="M457" s="2"/>
      <c r="U457" s="2"/>
      <c r="V457" s="2"/>
      <c r="W457" s="2"/>
      <c r="AG457" s="2"/>
    </row>
    <row r="458">
      <c r="A458" s="2">
        <v>2020.0</v>
      </c>
      <c r="B458" s="1" t="s">
        <v>213</v>
      </c>
      <c r="C458" s="2"/>
      <c r="D458" s="2" t="s">
        <v>612</v>
      </c>
      <c r="E458" s="1" t="s">
        <v>420</v>
      </c>
      <c r="F458" s="2">
        <v>3755074.0</v>
      </c>
      <c r="G458" s="2">
        <v>1.920179E7</v>
      </c>
      <c r="H458" s="2">
        <v>62146.0</v>
      </c>
      <c r="I458" s="2">
        <v>2.301901E7</v>
      </c>
      <c r="J458" s="2">
        <v>2.2335228E7</v>
      </c>
      <c r="K458" s="2">
        <v>683782.0</v>
      </c>
      <c r="M458" s="2"/>
      <c r="U458" s="2"/>
      <c r="V458" s="2"/>
      <c r="W458" s="2"/>
      <c r="AG458" s="2"/>
    </row>
    <row r="459">
      <c r="A459" s="2">
        <v>2020.0</v>
      </c>
      <c r="B459" s="1" t="s">
        <v>213</v>
      </c>
      <c r="C459" s="2"/>
      <c r="D459" s="2" t="s">
        <v>607</v>
      </c>
      <c r="E459" s="1" t="s">
        <v>420</v>
      </c>
      <c r="F459" s="2">
        <v>2286129.0</v>
      </c>
      <c r="G459" s="2">
        <v>1.4032E7</v>
      </c>
      <c r="H459" s="2">
        <v>39117.0</v>
      </c>
      <c r="I459" s="2">
        <v>1.6357246E7</v>
      </c>
      <c r="J459" s="2">
        <v>1.6303073E7</v>
      </c>
      <c r="K459" s="2">
        <v>54173.0</v>
      </c>
      <c r="M459" s="2"/>
      <c r="U459" s="2"/>
      <c r="V459" s="2"/>
      <c r="W459" s="2"/>
      <c r="AG459" s="2"/>
    </row>
    <row r="460">
      <c r="A460" s="2">
        <v>2020.0</v>
      </c>
      <c r="B460" s="1" t="s">
        <v>213</v>
      </c>
      <c r="C460" s="2"/>
      <c r="D460" s="2" t="s">
        <v>615</v>
      </c>
      <c r="E460" s="1" t="s">
        <v>420</v>
      </c>
      <c r="F460" s="2">
        <v>6293941.0</v>
      </c>
      <c r="G460" s="2">
        <v>1.4811E7</v>
      </c>
      <c r="H460" s="2">
        <v>118640.0</v>
      </c>
      <c r="I460" s="2">
        <v>2.12233581E8</v>
      </c>
      <c r="J460" s="2">
        <v>1.927768E7</v>
      </c>
      <c r="K460" s="2">
        <v>1945901.0</v>
      </c>
      <c r="M460" s="2"/>
      <c r="U460" s="2"/>
      <c r="V460" s="2"/>
      <c r="W460" s="2"/>
      <c r="AG460" s="2"/>
    </row>
    <row r="461">
      <c r="A461" s="2">
        <v>2020.0</v>
      </c>
      <c r="B461" s="1" t="s">
        <v>213</v>
      </c>
      <c r="C461" s="2" t="s">
        <v>618</v>
      </c>
      <c r="D461" s="2" t="s">
        <v>808</v>
      </c>
      <c r="E461" s="1" t="s">
        <v>420</v>
      </c>
      <c r="F461" s="2">
        <v>2893939.0</v>
      </c>
      <c r="G461" s="2">
        <v>2.4877625E7</v>
      </c>
      <c r="H461" s="2">
        <v>144501.0</v>
      </c>
      <c r="I461" s="2">
        <v>2.7916065E7</v>
      </c>
      <c r="J461" s="2">
        <v>2.4877004E7</v>
      </c>
      <c r="K461" s="2">
        <v>3039061.0</v>
      </c>
      <c r="M461" s="2"/>
      <c r="U461" s="2"/>
      <c r="V461" s="2"/>
      <c r="W461" s="2"/>
      <c r="AG461" s="2"/>
    </row>
    <row r="462">
      <c r="A462" s="2">
        <v>2020.0</v>
      </c>
      <c r="B462" s="1" t="s">
        <v>213</v>
      </c>
      <c r="C462" s="2" t="s">
        <v>623</v>
      </c>
      <c r="D462" s="2" t="s">
        <v>811</v>
      </c>
      <c r="E462" s="1" t="s">
        <v>420</v>
      </c>
      <c r="F462" s="2">
        <v>1975182.0</v>
      </c>
      <c r="G462" s="2">
        <v>3255810.0</v>
      </c>
      <c r="H462" s="2">
        <v>0.0</v>
      </c>
      <c r="I462" s="2">
        <v>5230992.0</v>
      </c>
      <c r="J462" s="2">
        <v>5006272.0</v>
      </c>
      <c r="K462" s="2">
        <v>224720.0</v>
      </c>
      <c r="M462" s="2"/>
      <c r="U462" s="2"/>
      <c r="V462" s="2"/>
      <c r="W462" s="2"/>
      <c r="AG462" s="2"/>
    </row>
    <row r="463">
      <c r="A463" s="2">
        <v>2020.0</v>
      </c>
      <c r="B463" s="1" t="s">
        <v>213</v>
      </c>
      <c r="C463" s="2"/>
      <c r="D463" s="2" t="s">
        <v>813</v>
      </c>
      <c r="E463" s="1" t="s">
        <v>420</v>
      </c>
      <c r="F463" s="2">
        <v>280153.0</v>
      </c>
      <c r="G463" s="2">
        <v>1.4174946E7</v>
      </c>
      <c r="H463" s="2">
        <v>0.0</v>
      </c>
      <c r="I463" s="2">
        <v>1.4455099E7</v>
      </c>
      <c r="J463" s="2">
        <v>1.3064233E7</v>
      </c>
      <c r="K463" s="2">
        <v>1390866.0</v>
      </c>
      <c r="M463" s="2"/>
      <c r="U463" s="2"/>
      <c r="V463" s="2"/>
      <c r="W463" s="2"/>
      <c r="AG463" s="2"/>
    </row>
    <row r="464">
      <c r="A464" s="2">
        <v>2020.0</v>
      </c>
      <c r="B464" s="1" t="s">
        <v>213</v>
      </c>
      <c r="C464" s="2"/>
      <c r="D464" s="2" t="s">
        <v>815</v>
      </c>
      <c r="E464" s="1" t="s">
        <v>420</v>
      </c>
      <c r="F464" s="2">
        <v>564042.0</v>
      </c>
      <c r="G464" s="2">
        <v>2.064108E7</v>
      </c>
      <c r="H464" s="2">
        <v>0.0</v>
      </c>
      <c r="I464" s="2">
        <v>2.1205122E7</v>
      </c>
      <c r="J464" s="2">
        <v>2.1153454E7</v>
      </c>
      <c r="K464" s="2">
        <v>51668.0</v>
      </c>
      <c r="M464" s="2"/>
      <c r="U464" s="2"/>
      <c r="V464" s="2"/>
      <c r="W464" s="2"/>
      <c r="AG464" s="2"/>
    </row>
    <row r="465">
      <c r="A465" s="2">
        <v>2020.0</v>
      </c>
      <c r="B465" s="1" t="s">
        <v>213</v>
      </c>
      <c r="C465" s="2"/>
      <c r="D465" s="2" t="s">
        <v>623</v>
      </c>
      <c r="E465" s="1" t="s">
        <v>420</v>
      </c>
      <c r="F465" s="2">
        <v>1467699.0</v>
      </c>
      <c r="G465" s="2">
        <v>1.4620862E7</v>
      </c>
      <c r="H465" s="2">
        <v>0.0</v>
      </c>
      <c r="I465" s="2">
        <v>1.6088561E7</v>
      </c>
      <c r="J465" s="2">
        <v>1.4165207E7</v>
      </c>
      <c r="K465" s="2">
        <v>1923354.0</v>
      </c>
      <c r="M465" s="2"/>
      <c r="U465" s="2"/>
      <c r="V465" s="2"/>
      <c r="W465" s="2"/>
      <c r="AG465" s="2"/>
    </row>
    <row r="466">
      <c r="A466" s="2">
        <v>2020.0</v>
      </c>
      <c r="B466" s="1" t="s">
        <v>213</v>
      </c>
      <c r="C466" s="2"/>
      <c r="D466" s="2" t="s">
        <v>818</v>
      </c>
      <c r="E466" s="1" t="s">
        <v>420</v>
      </c>
      <c r="F466" s="2">
        <v>814699.0</v>
      </c>
      <c r="G466" s="2">
        <v>2.5254034E7</v>
      </c>
      <c r="H466" s="2">
        <v>0.0</v>
      </c>
      <c r="I466" s="2">
        <v>2.6068733E7</v>
      </c>
      <c r="J466" s="2">
        <v>1.8828009E7</v>
      </c>
      <c r="K466" s="2">
        <v>7240724.0</v>
      </c>
      <c r="M466" s="2"/>
      <c r="U466" s="2"/>
      <c r="V466" s="2"/>
      <c r="W466" s="2"/>
      <c r="AG466" s="2"/>
    </row>
    <row r="467">
      <c r="A467" s="2">
        <v>2020.0</v>
      </c>
      <c r="B467" s="1" t="s">
        <v>213</v>
      </c>
      <c r="C467" s="2"/>
      <c r="D467" s="2" t="s">
        <v>819</v>
      </c>
      <c r="E467" s="1" t="s">
        <v>420</v>
      </c>
      <c r="F467" s="2">
        <v>142158.0</v>
      </c>
      <c r="G467" s="2">
        <v>8909026.0</v>
      </c>
      <c r="H467" s="2">
        <v>0.0</v>
      </c>
      <c r="I467" s="2">
        <v>9051184.0</v>
      </c>
      <c r="J467" s="2">
        <v>8847543.0</v>
      </c>
      <c r="K467" s="2">
        <v>203641.0</v>
      </c>
      <c r="M467" s="2"/>
      <c r="U467" s="2"/>
      <c r="V467" s="2"/>
      <c r="W467" s="2"/>
      <c r="AG467" s="2"/>
    </row>
    <row r="468">
      <c r="A468" s="2">
        <v>2020.0</v>
      </c>
      <c r="B468" s="1" t="s">
        <v>213</v>
      </c>
      <c r="C468" s="2"/>
      <c r="D468" s="2" t="s">
        <v>821</v>
      </c>
      <c r="E468" s="1" t="s">
        <v>420</v>
      </c>
      <c r="F468" s="2">
        <v>731143.0</v>
      </c>
      <c r="G468" s="2">
        <v>9457345.0</v>
      </c>
      <c r="H468" s="2">
        <v>0.0</v>
      </c>
      <c r="I468" s="2">
        <v>1.0188488E7</v>
      </c>
      <c r="J468" s="2">
        <v>8954944.0</v>
      </c>
      <c r="K468" s="2">
        <v>1233544.0</v>
      </c>
      <c r="M468" s="2"/>
      <c r="U468" s="2"/>
      <c r="V468" s="2"/>
      <c r="W468" s="2"/>
      <c r="AG468" s="2"/>
    </row>
    <row r="469">
      <c r="A469" s="2">
        <v>2020.0</v>
      </c>
      <c r="B469" s="1" t="s">
        <v>213</v>
      </c>
      <c r="C469" s="2" t="s">
        <v>641</v>
      </c>
      <c r="D469" s="2" t="s">
        <v>652</v>
      </c>
      <c r="E469" s="1" t="s">
        <v>420</v>
      </c>
      <c r="F469" s="2">
        <v>199322.0</v>
      </c>
      <c r="G469" s="2">
        <v>1.4344133E7</v>
      </c>
      <c r="H469" s="2">
        <v>36073.0</v>
      </c>
      <c r="I469" s="2">
        <v>1.4579528E7</v>
      </c>
      <c r="J469" s="2">
        <v>1.4523729E7</v>
      </c>
      <c r="K469" s="2">
        <v>55799.0</v>
      </c>
      <c r="M469" s="2"/>
      <c r="U469" s="2"/>
      <c r="V469" s="2"/>
      <c r="W469" s="2"/>
      <c r="AG469" s="2"/>
    </row>
    <row r="470">
      <c r="A470" s="2">
        <v>2020.0</v>
      </c>
      <c r="B470" s="1" t="s">
        <v>213</v>
      </c>
      <c r="C470" s="2"/>
      <c r="D470" s="2" t="s">
        <v>641</v>
      </c>
      <c r="E470" s="1" t="s">
        <v>420</v>
      </c>
      <c r="F470" s="2">
        <v>219048.0</v>
      </c>
      <c r="G470" s="2">
        <v>2.1661527E7</v>
      </c>
      <c r="H470" s="2">
        <v>59598.0</v>
      </c>
      <c r="I470" s="2">
        <v>2.1940173E7</v>
      </c>
      <c r="J470" s="2">
        <v>2.0936677E7</v>
      </c>
      <c r="K470" s="2">
        <v>1003496.0</v>
      </c>
      <c r="M470" s="2"/>
      <c r="U470" s="2"/>
      <c r="V470" s="2"/>
      <c r="W470" s="2"/>
      <c r="AG470" s="2"/>
    </row>
    <row r="471">
      <c r="A471" s="2">
        <v>2020.0</v>
      </c>
      <c r="B471" s="1" t="s">
        <v>213</v>
      </c>
      <c r="C471" s="2"/>
      <c r="D471" s="2" t="s">
        <v>823</v>
      </c>
      <c r="E471" s="1" t="s">
        <v>420</v>
      </c>
      <c r="F471" s="2">
        <v>654381.0</v>
      </c>
      <c r="G471" s="2">
        <v>2.1300799E7</v>
      </c>
      <c r="H471" s="2">
        <v>51255.0</v>
      </c>
      <c r="I471" s="2">
        <v>2.2006435E7</v>
      </c>
      <c r="J471" s="2">
        <v>2.192965E7</v>
      </c>
      <c r="K471" s="2">
        <v>76785.0</v>
      </c>
      <c r="M471" s="2"/>
      <c r="U471" s="2"/>
      <c r="V471" s="2"/>
      <c r="W471" s="2"/>
      <c r="AG471" s="2"/>
    </row>
    <row r="472">
      <c r="A472" s="2">
        <v>2020.0</v>
      </c>
      <c r="B472" s="1" t="s">
        <v>213</v>
      </c>
      <c r="C472" s="2"/>
      <c r="D472" s="2" t="s">
        <v>644</v>
      </c>
      <c r="E472" s="1" t="s">
        <v>420</v>
      </c>
      <c r="F472" s="2">
        <v>157061.0</v>
      </c>
      <c r="G472" s="2">
        <v>1.1791319E7</v>
      </c>
      <c r="H472" s="2">
        <v>28053.0</v>
      </c>
      <c r="I472" s="2">
        <v>1.1976433E7</v>
      </c>
      <c r="J472" s="2">
        <v>1.1953394E7</v>
      </c>
      <c r="K472" s="2">
        <v>23039.0</v>
      </c>
      <c r="M472" s="2"/>
      <c r="U472" s="2"/>
      <c r="V472" s="2"/>
      <c r="W472" s="2"/>
      <c r="AG472" s="2"/>
    </row>
    <row r="473">
      <c r="A473" s="2">
        <v>2020.0</v>
      </c>
      <c r="B473" s="1" t="s">
        <v>213</v>
      </c>
      <c r="C473" s="2"/>
      <c r="D473" s="2" t="s">
        <v>656</v>
      </c>
      <c r="E473" s="1" t="s">
        <v>420</v>
      </c>
      <c r="F473" s="2">
        <v>803785.0</v>
      </c>
      <c r="G473" s="2">
        <v>3.4671455E7</v>
      </c>
      <c r="H473" s="2">
        <v>166925.0</v>
      </c>
      <c r="I473" s="2">
        <v>3.5642165E7</v>
      </c>
      <c r="J473" s="2">
        <v>3.1298453E7</v>
      </c>
      <c r="K473" s="2">
        <v>4343712.0</v>
      </c>
      <c r="M473" s="2"/>
      <c r="U473" s="2"/>
      <c r="V473" s="2"/>
      <c r="W473" s="2"/>
      <c r="AG473" s="2"/>
    </row>
    <row r="474">
      <c r="A474" s="2">
        <v>2020.0</v>
      </c>
      <c r="B474" s="1" t="s">
        <v>213</v>
      </c>
      <c r="C474" s="2"/>
      <c r="D474" s="2" t="s">
        <v>827</v>
      </c>
      <c r="E474" s="1" t="s">
        <v>420</v>
      </c>
      <c r="F474" s="2">
        <v>551585.0</v>
      </c>
      <c r="G474" s="2">
        <v>2.1647707E7</v>
      </c>
      <c r="H474" s="2">
        <v>63099.0</v>
      </c>
      <c r="I474" s="2">
        <v>2.2262391E7</v>
      </c>
      <c r="J474" s="2">
        <v>2.1629866E7</v>
      </c>
      <c r="K474" s="2">
        <v>632525.0</v>
      </c>
      <c r="M474" s="2"/>
      <c r="U474" s="2"/>
      <c r="V474" s="2"/>
      <c r="W474" s="2"/>
      <c r="AG474" s="2"/>
    </row>
    <row r="475">
      <c r="A475" s="2">
        <v>2020.0</v>
      </c>
      <c r="B475" s="1" t="s">
        <v>213</v>
      </c>
      <c r="C475" s="2"/>
      <c r="D475" s="2" t="s">
        <v>647</v>
      </c>
      <c r="E475" s="1" t="s">
        <v>420</v>
      </c>
      <c r="F475" s="2">
        <v>1212230.0</v>
      </c>
      <c r="G475" s="2">
        <v>1.4213185E7</v>
      </c>
      <c r="H475" s="2">
        <v>42391.0</v>
      </c>
      <c r="I475" s="2">
        <v>1.5467806E7</v>
      </c>
      <c r="J475" s="2">
        <v>1.5269317E7</v>
      </c>
      <c r="K475" s="2">
        <v>198489.0</v>
      </c>
      <c r="M475" s="2"/>
      <c r="U475" s="2"/>
      <c r="V475" s="2"/>
      <c r="W475" s="2"/>
      <c r="AG475" s="2"/>
    </row>
    <row r="476">
      <c r="A476" s="2">
        <v>2020.0</v>
      </c>
      <c r="B476" s="1" t="s">
        <v>213</v>
      </c>
      <c r="C476" s="2"/>
      <c r="D476" s="2" t="s">
        <v>658</v>
      </c>
      <c r="E476" s="1" t="s">
        <v>420</v>
      </c>
      <c r="F476" s="2">
        <v>5872245.0</v>
      </c>
      <c r="G476" s="2">
        <v>9850363.0</v>
      </c>
      <c r="H476" s="2">
        <v>145017.0</v>
      </c>
      <c r="I476" s="2">
        <v>1.5867625E7</v>
      </c>
      <c r="J476" s="2">
        <v>1.2921654E7</v>
      </c>
      <c r="K476" s="2">
        <v>2945971.0</v>
      </c>
      <c r="M476" s="2"/>
      <c r="U476" s="2"/>
      <c r="V476" s="2"/>
      <c r="W476" s="2"/>
      <c r="AG476" s="2"/>
    </row>
    <row r="477">
      <c r="A477" s="2">
        <v>2020.0</v>
      </c>
      <c r="B477" s="1" t="s">
        <v>332</v>
      </c>
      <c r="C477" s="2" t="s">
        <v>603</v>
      </c>
      <c r="D477" s="2"/>
      <c r="E477" s="1" t="s">
        <v>420</v>
      </c>
      <c r="F477" s="2">
        <v>486468.0</v>
      </c>
      <c r="G477" s="2">
        <v>2.6881E7</v>
      </c>
      <c r="H477" s="2">
        <v>91889.0</v>
      </c>
      <c r="I477" s="2">
        <v>2.7459357E7</v>
      </c>
      <c r="J477" s="2">
        <v>2.3986661E7</v>
      </c>
      <c r="K477" s="2">
        <v>3472696.0</v>
      </c>
      <c r="L477" s="2"/>
      <c r="M477" s="2"/>
      <c r="X477" s="2"/>
      <c r="AG477" s="2"/>
    </row>
    <row r="478">
      <c r="A478" s="2">
        <v>2020.0</v>
      </c>
      <c r="B478" s="1" t="s">
        <v>332</v>
      </c>
      <c r="C478" s="2"/>
      <c r="D478" s="2"/>
      <c r="E478" s="1" t="s">
        <v>420</v>
      </c>
      <c r="F478" s="2">
        <v>237916.0</v>
      </c>
      <c r="G478" s="2">
        <v>7950000.0</v>
      </c>
      <c r="H478" s="2">
        <v>17539.0</v>
      </c>
      <c r="I478" s="2">
        <v>8205455.0</v>
      </c>
      <c r="J478" s="2">
        <v>7432962.0</v>
      </c>
      <c r="K478" s="2">
        <v>772493.0</v>
      </c>
      <c r="L478" s="2"/>
      <c r="M478" s="2"/>
      <c r="X478" s="2"/>
      <c r="AG478" s="2"/>
    </row>
    <row r="479">
      <c r="A479" s="2">
        <v>2020.0</v>
      </c>
      <c r="B479" s="1" t="s">
        <v>332</v>
      </c>
      <c r="C479" s="2"/>
      <c r="D479" s="2"/>
      <c r="E479" s="1" t="s">
        <v>420</v>
      </c>
      <c r="F479" s="2">
        <v>392511.0</v>
      </c>
      <c r="G479" s="2">
        <v>1.465E7</v>
      </c>
      <c r="H479" s="2">
        <v>54963.0</v>
      </c>
      <c r="I479" s="2">
        <v>1.5097474E7</v>
      </c>
      <c r="J479" s="2">
        <v>1.2709206E7</v>
      </c>
      <c r="K479" s="2">
        <v>2388268.0</v>
      </c>
      <c r="L479" s="2"/>
      <c r="M479" s="2"/>
      <c r="X479" s="2"/>
      <c r="AG479" s="2"/>
    </row>
    <row r="480">
      <c r="A480" s="2">
        <v>2020.0</v>
      </c>
      <c r="B480" s="1" t="s">
        <v>332</v>
      </c>
      <c r="C480" s="2"/>
      <c r="D480" s="2"/>
      <c r="E480" s="1" t="s">
        <v>420</v>
      </c>
      <c r="F480" s="2">
        <v>683782.0</v>
      </c>
      <c r="G480" s="2">
        <v>2.7181E7</v>
      </c>
      <c r="H480" s="2">
        <v>100039.0</v>
      </c>
      <c r="I480" s="2">
        <v>2.7964821E7</v>
      </c>
      <c r="J480" s="2">
        <v>2.311494E7</v>
      </c>
      <c r="K480" s="2">
        <v>4849881.0</v>
      </c>
      <c r="L480" s="2"/>
      <c r="M480" s="2"/>
      <c r="X480" s="2"/>
      <c r="AG480" s="2"/>
    </row>
    <row r="481">
      <c r="A481" s="2">
        <v>2020.0</v>
      </c>
      <c r="B481" s="1" t="s">
        <v>332</v>
      </c>
      <c r="C481" s="2"/>
      <c r="D481" s="2"/>
      <c r="E481" s="1" t="s">
        <v>420</v>
      </c>
      <c r="F481" s="2">
        <v>54173.0</v>
      </c>
      <c r="G481" s="2">
        <v>1.7059696E7</v>
      </c>
      <c r="H481" s="2">
        <v>47598.0</v>
      </c>
      <c r="I481" s="2">
        <v>1.7161467E7</v>
      </c>
      <c r="J481" s="2">
        <v>1.7035375E7</v>
      </c>
      <c r="K481" s="2">
        <v>126092.0</v>
      </c>
      <c r="L481" s="2"/>
      <c r="M481" s="2"/>
      <c r="X481" s="2"/>
      <c r="AG481" s="2"/>
    </row>
    <row r="482">
      <c r="A482" s="2">
        <v>2020.0</v>
      </c>
      <c r="B482" s="1" t="s">
        <v>332</v>
      </c>
      <c r="C482" s="2"/>
      <c r="D482" s="2"/>
      <c r="E482" s="1" t="s">
        <v>420</v>
      </c>
      <c r="F482" s="2">
        <v>1945901.0</v>
      </c>
    </row>
    <row r="483">
      <c r="A483" s="2">
        <v>2020.0</v>
      </c>
      <c r="B483" s="1" t="s">
        <v>332</v>
      </c>
      <c r="C483" s="2" t="s">
        <v>618</v>
      </c>
      <c r="D483" s="2"/>
      <c r="E483" s="1" t="s">
        <v>420</v>
      </c>
      <c r="F483" s="2">
        <v>3039061.0</v>
      </c>
      <c r="G483" s="2">
        <v>2.1814666E7</v>
      </c>
      <c r="H483" s="2">
        <v>112860.0</v>
      </c>
      <c r="I483" s="2">
        <v>2.4966587E7</v>
      </c>
      <c r="J483" s="2">
        <v>2.310439E7</v>
      </c>
      <c r="K483" s="2">
        <v>1862197.0</v>
      </c>
      <c r="L483" s="2"/>
      <c r="M483" s="2"/>
      <c r="X483" s="2"/>
      <c r="AG483" s="2"/>
    </row>
    <row r="484">
      <c r="A484" s="2">
        <v>2020.0</v>
      </c>
      <c r="B484" s="1" t="s">
        <v>332</v>
      </c>
      <c r="C484" s="2" t="s">
        <v>623</v>
      </c>
      <c r="D484" s="2"/>
      <c r="E484" s="1" t="s">
        <v>420</v>
      </c>
      <c r="F484" s="2">
        <v>224720.0</v>
      </c>
      <c r="G484" s="2">
        <v>1.2366025E7</v>
      </c>
      <c r="H484" s="2">
        <v>0.0</v>
      </c>
      <c r="I484" s="2">
        <v>1.2590745E7</v>
      </c>
      <c r="J484" s="2">
        <v>7131251.0</v>
      </c>
      <c r="K484" s="2">
        <v>5459494.0</v>
      </c>
      <c r="L484" s="2"/>
      <c r="M484" s="2"/>
      <c r="X484" s="2"/>
      <c r="AG484" s="2"/>
    </row>
    <row r="485">
      <c r="A485" s="2">
        <v>2020.0</v>
      </c>
      <c r="B485" s="1" t="s">
        <v>332</v>
      </c>
      <c r="C485" s="2"/>
      <c r="D485" s="2"/>
      <c r="E485" s="1" t="s">
        <v>420</v>
      </c>
      <c r="F485" s="2">
        <v>1390866.0</v>
      </c>
      <c r="G485" s="2">
        <v>7907650.0</v>
      </c>
      <c r="H485" s="2">
        <v>0.0</v>
      </c>
      <c r="I485" s="2">
        <v>9298516.0</v>
      </c>
      <c r="J485" s="2">
        <v>4516594.0</v>
      </c>
      <c r="K485" s="2">
        <v>4781922.0</v>
      </c>
      <c r="L485" s="2"/>
      <c r="M485" s="2"/>
      <c r="X485" s="2"/>
      <c r="AG485" s="2"/>
    </row>
    <row r="486">
      <c r="A486" s="2">
        <v>2020.0</v>
      </c>
      <c r="B486" s="1" t="s">
        <v>332</v>
      </c>
      <c r="C486" s="2"/>
      <c r="D486" s="2"/>
      <c r="E486" s="1" t="s">
        <v>420</v>
      </c>
      <c r="F486" s="2">
        <v>51668.0</v>
      </c>
      <c r="G486" s="2">
        <v>3.3438449E7</v>
      </c>
      <c r="H486" s="2">
        <v>0.0</v>
      </c>
      <c r="I486" s="2">
        <v>3.3490117E7</v>
      </c>
      <c r="J486" s="2">
        <v>2.114719E7</v>
      </c>
      <c r="K486" s="2">
        <v>1.2342927E7</v>
      </c>
      <c r="L486" s="2"/>
      <c r="M486" s="2"/>
      <c r="X486" s="2"/>
      <c r="AG486" s="2"/>
    </row>
    <row r="487">
      <c r="A487" s="2">
        <v>2020.0</v>
      </c>
      <c r="B487" s="1" t="s">
        <v>332</v>
      </c>
      <c r="C487" s="2"/>
      <c r="D487" s="2"/>
      <c r="E487" s="1" t="s">
        <v>420</v>
      </c>
      <c r="F487" s="2">
        <v>1923354.0</v>
      </c>
      <c r="G487" s="2">
        <v>2.1940015E7</v>
      </c>
      <c r="H487" s="2">
        <v>0.0</v>
      </c>
      <c r="I487" s="2">
        <v>2.3863369E7</v>
      </c>
      <c r="J487" s="2">
        <v>1.5159152E7</v>
      </c>
      <c r="K487" s="2">
        <v>8704217.0</v>
      </c>
      <c r="L487" s="2"/>
      <c r="M487" s="2"/>
      <c r="X487" s="2"/>
      <c r="AG487" s="2"/>
    </row>
    <row r="488">
      <c r="A488" s="2">
        <v>2020.0</v>
      </c>
      <c r="B488" s="1" t="s">
        <v>332</v>
      </c>
      <c r="C488" s="2"/>
      <c r="D488" s="2"/>
      <c r="E488" s="1" t="s">
        <v>420</v>
      </c>
      <c r="F488" s="2">
        <v>7240724.0</v>
      </c>
      <c r="G488" s="2">
        <v>2.5923272E7</v>
      </c>
      <c r="H488" s="2">
        <v>0.0</v>
      </c>
      <c r="I488" s="2">
        <v>3.3163996E7</v>
      </c>
      <c r="J488" s="2">
        <v>1.7669934E7</v>
      </c>
      <c r="K488" s="2">
        <v>1.5494062E7</v>
      </c>
      <c r="L488" s="2"/>
      <c r="M488" s="2"/>
      <c r="X488" s="2"/>
      <c r="AG488" s="2"/>
    </row>
    <row r="489">
      <c r="A489" s="2">
        <v>2020.0</v>
      </c>
      <c r="B489" s="1" t="s">
        <v>332</v>
      </c>
      <c r="C489" s="2"/>
      <c r="D489" s="2"/>
      <c r="E489" s="1" t="s">
        <v>420</v>
      </c>
      <c r="F489" s="2">
        <v>203641.0</v>
      </c>
      <c r="G489" s="2">
        <v>1.3635329E7</v>
      </c>
      <c r="H489" s="2">
        <v>0.0</v>
      </c>
      <c r="I489" s="2">
        <v>1.383897E7</v>
      </c>
      <c r="J489" s="2">
        <v>8366548.0</v>
      </c>
      <c r="K489" s="2">
        <v>5472422.0</v>
      </c>
      <c r="L489" s="2"/>
      <c r="M489" s="2"/>
      <c r="X489" s="2"/>
      <c r="AG489" s="2"/>
    </row>
    <row r="490">
      <c r="A490" s="2">
        <v>2020.0</v>
      </c>
      <c r="B490" s="1" t="s">
        <v>332</v>
      </c>
      <c r="C490" s="2"/>
      <c r="D490" s="2"/>
      <c r="E490" s="1" t="s">
        <v>420</v>
      </c>
      <c r="F490" s="2">
        <v>1233544.0</v>
      </c>
      <c r="G490" s="2">
        <v>1.4405808E7</v>
      </c>
      <c r="H490" s="2">
        <v>0.0</v>
      </c>
      <c r="I490" s="2">
        <v>1.5639352E7</v>
      </c>
      <c r="J490" s="2">
        <v>9199101.0</v>
      </c>
      <c r="K490" s="2">
        <v>6440251.0</v>
      </c>
      <c r="L490" s="2"/>
      <c r="M490" s="2"/>
      <c r="X490" s="2"/>
      <c r="AG490" s="2"/>
    </row>
    <row r="491">
      <c r="A491" s="2">
        <v>2020.0</v>
      </c>
      <c r="B491" s="1" t="s">
        <v>332</v>
      </c>
      <c r="C491" s="2" t="s">
        <v>641</v>
      </c>
      <c r="D491" s="2"/>
      <c r="E491" s="1" t="s">
        <v>420</v>
      </c>
      <c r="F491" s="2">
        <v>55799.0</v>
      </c>
      <c r="G491" s="2">
        <v>9317001.0</v>
      </c>
      <c r="H491" s="2">
        <v>21794.0</v>
      </c>
      <c r="I491" s="2">
        <v>9394594.0</v>
      </c>
      <c r="J491" s="2">
        <v>9146704.0</v>
      </c>
      <c r="K491" s="2">
        <v>247890.0</v>
      </c>
      <c r="L491" s="2"/>
      <c r="M491" s="2"/>
      <c r="X491" s="2"/>
      <c r="AG491" s="2"/>
    </row>
    <row r="492">
      <c r="A492" s="2">
        <v>2020.0</v>
      </c>
      <c r="B492" s="1" t="s">
        <v>332</v>
      </c>
      <c r="C492" s="2"/>
      <c r="D492" s="2"/>
      <c r="E492" s="1" t="s">
        <v>420</v>
      </c>
      <c r="F492" s="2">
        <v>1003496.0</v>
      </c>
      <c r="G492" s="2">
        <v>2.2283665E7</v>
      </c>
      <c r="H492" s="2">
        <v>77827.0</v>
      </c>
      <c r="I492" s="2">
        <v>2.3364988E7</v>
      </c>
      <c r="J492" s="2">
        <v>2.2612699E7</v>
      </c>
      <c r="K492" s="2">
        <v>752289.0</v>
      </c>
      <c r="L492" s="2"/>
      <c r="M492" s="2"/>
      <c r="X492" s="2"/>
      <c r="AG492" s="2"/>
    </row>
    <row r="493">
      <c r="A493" s="2">
        <v>2020.0</v>
      </c>
      <c r="B493" s="1" t="s">
        <v>332</v>
      </c>
      <c r="C493" s="2"/>
      <c r="D493" s="2"/>
      <c r="E493" s="1" t="s">
        <v>420</v>
      </c>
      <c r="F493" s="2">
        <v>76785.0</v>
      </c>
      <c r="G493" s="2">
        <v>1.7219276E7</v>
      </c>
      <c r="H493" s="2">
        <v>42656.0</v>
      </c>
      <c r="I493" s="2">
        <v>1.7338717E7</v>
      </c>
      <c r="J493" s="2">
        <v>1.6741642E7</v>
      </c>
      <c r="K493" s="2">
        <v>597075.0</v>
      </c>
      <c r="L493" s="2"/>
      <c r="M493" s="2"/>
      <c r="X493" s="2"/>
      <c r="AG493" s="2"/>
    </row>
    <row r="494">
      <c r="A494" s="2">
        <v>2020.0</v>
      </c>
      <c r="B494" s="1" t="s">
        <v>332</v>
      </c>
      <c r="C494" s="2"/>
      <c r="D494" s="2"/>
      <c r="E494" s="1" t="s">
        <v>420</v>
      </c>
      <c r="F494" s="2">
        <v>23039.0</v>
      </c>
      <c r="G494" s="2">
        <v>9013139.0</v>
      </c>
      <c r="H494" s="2">
        <v>38236.0</v>
      </c>
      <c r="I494" s="2">
        <v>9074414.0</v>
      </c>
      <c r="J494" s="2">
        <v>8869950.0</v>
      </c>
      <c r="K494" s="2">
        <v>204464.0</v>
      </c>
      <c r="L494" s="2"/>
      <c r="M494" s="2"/>
      <c r="X494" s="2"/>
      <c r="AG494" s="2"/>
    </row>
    <row r="495">
      <c r="A495" s="2">
        <v>2020.0</v>
      </c>
      <c r="B495" s="1" t="s">
        <v>332</v>
      </c>
      <c r="C495" s="2"/>
      <c r="D495" s="2"/>
      <c r="E495" s="1" t="s">
        <v>420</v>
      </c>
      <c r="F495" s="2">
        <v>4343712.0</v>
      </c>
      <c r="G495" s="2">
        <v>3.9382082E7</v>
      </c>
      <c r="H495" s="2">
        <v>205509.0</v>
      </c>
      <c r="I495" s="2">
        <v>4.3931303E7</v>
      </c>
      <c r="J495" s="2">
        <v>3.9317097E7</v>
      </c>
      <c r="K495" s="2">
        <v>4614206.0</v>
      </c>
      <c r="L495" s="2"/>
      <c r="M495" s="2"/>
      <c r="X495" s="2"/>
      <c r="AG495" s="2"/>
    </row>
    <row r="496">
      <c r="A496" s="2">
        <v>2020.0</v>
      </c>
      <c r="B496" s="1" t="s">
        <v>332</v>
      </c>
      <c r="C496" s="2"/>
      <c r="D496" s="2"/>
      <c r="E496" s="1" t="s">
        <v>420</v>
      </c>
      <c r="F496" s="2">
        <v>632525.0</v>
      </c>
      <c r="G496" s="2">
        <v>2.5450148E7</v>
      </c>
      <c r="H496" s="2">
        <v>85181.0</v>
      </c>
      <c r="I496" s="2">
        <v>2.6167854E7</v>
      </c>
      <c r="J496" s="2">
        <v>2.5140624E7</v>
      </c>
      <c r="K496" s="2">
        <v>1027230.0</v>
      </c>
      <c r="L496" s="2"/>
      <c r="M496" s="2"/>
      <c r="X496" s="2"/>
      <c r="AG496" s="2"/>
    </row>
    <row r="497">
      <c r="A497" s="2">
        <v>2020.0</v>
      </c>
      <c r="B497" s="1" t="s">
        <v>332</v>
      </c>
      <c r="C497" s="2"/>
      <c r="D497" s="2"/>
      <c r="E497" s="1" t="s">
        <v>420</v>
      </c>
      <c r="F497" s="2">
        <v>198489.0</v>
      </c>
      <c r="G497" s="2">
        <v>1.9014081E7</v>
      </c>
      <c r="H497" s="2">
        <v>53202.0</v>
      </c>
      <c r="I497" s="2">
        <v>1.9265772E7</v>
      </c>
      <c r="J497" s="2">
        <v>1.8775608E7</v>
      </c>
      <c r="K497" s="2">
        <v>490164.0</v>
      </c>
      <c r="L497" s="2"/>
      <c r="M497" s="2"/>
      <c r="X497" s="2"/>
      <c r="AG497" s="2"/>
    </row>
    <row r="498">
      <c r="A498" s="2">
        <v>2020.0</v>
      </c>
      <c r="B498" s="1" t="s">
        <v>332</v>
      </c>
      <c r="C498" s="2"/>
      <c r="D498" s="2"/>
      <c r="E498" s="1" t="s">
        <v>420</v>
      </c>
      <c r="F498" s="2">
        <v>2945971.0</v>
      </c>
      <c r="G498" s="2">
        <v>2.1114417E7</v>
      </c>
      <c r="H498" s="2">
        <v>130160.0</v>
      </c>
      <c r="I498" s="2">
        <v>2.4190548E7</v>
      </c>
      <c r="J498" s="2">
        <v>2.1920772E7</v>
      </c>
      <c r="K498" s="2">
        <v>2269776.0</v>
      </c>
      <c r="L498" s="2"/>
      <c r="M498" s="2"/>
      <c r="X498" s="2"/>
      <c r="AG498" s="2"/>
    </row>
    <row r="499">
      <c r="A499" s="2">
        <v>2020.0</v>
      </c>
      <c r="B499" s="1" t="s">
        <v>332</v>
      </c>
      <c r="D499" s="2"/>
      <c r="E499" s="1" t="s">
        <v>420</v>
      </c>
      <c r="F499" s="2">
        <v>2.8388145E7</v>
      </c>
      <c r="G499" s="2">
        <v>4.07946719E8</v>
      </c>
      <c r="H499" s="2">
        <v>1079453.0</v>
      </c>
      <c r="I499" s="2">
        <v>4.35468416E8</v>
      </c>
      <c r="J499" s="2">
        <v>3.530984E8</v>
      </c>
      <c r="K499" s="2">
        <v>8.2370016E7</v>
      </c>
      <c r="L499" s="2"/>
      <c r="M499" s="2"/>
      <c r="X499" s="2"/>
      <c r="AG499" s="2"/>
    </row>
    <row r="500">
      <c r="A500" s="2">
        <v>2020.0</v>
      </c>
      <c r="B500" s="1" t="s">
        <v>595</v>
      </c>
      <c r="C500" s="2"/>
      <c r="D500" s="2" t="s">
        <v>612</v>
      </c>
      <c r="E500" s="1" t="s">
        <v>420</v>
      </c>
      <c r="F500" s="2">
        <v>4849881.0</v>
      </c>
      <c r="G500" s="2">
        <v>2.389E7</v>
      </c>
      <c r="H500" s="2">
        <v>62152.0</v>
      </c>
      <c r="I500" s="2">
        <v>2.8802033E7</v>
      </c>
      <c r="J500" s="2">
        <v>2.1644768E7</v>
      </c>
      <c r="K500" s="2">
        <v>7157265.0</v>
      </c>
      <c r="M500" s="2"/>
      <c r="X500" s="2"/>
      <c r="AG500" s="2"/>
    </row>
    <row r="501">
      <c r="A501" s="2">
        <v>2020.0</v>
      </c>
      <c r="B501" s="1" t="s">
        <v>595</v>
      </c>
      <c r="C501" s="2"/>
      <c r="D501" s="2" t="s">
        <v>607</v>
      </c>
      <c r="E501" s="1" t="s">
        <v>420</v>
      </c>
      <c r="F501" s="2">
        <v>126092.0</v>
      </c>
      <c r="G501" s="2">
        <v>1.9546987E7</v>
      </c>
      <c r="H501" s="2">
        <v>66895.0</v>
      </c>
      <c r="I501" s="2">
        <v>1.9739974E7</v>
      </c>
      <c r="J501" s="2">
        <v>1.6422844E7</v>
      </c>
      <c r="K501" s="2">
        <v>3317130.0</v>
      </c>
      <c r="M501" s="2"/>
      <c r="X501" s="2"/>
      <c r="AG501" s="2"/>
    </row>
    <row r="502">
      <c r="A502" s="2">
        <v>2020.0</v>
      </c>
      <c r="B502" s="1" t="s">
        <v>595</v>
      </c>
      <c r="C502" s="2"/>
      <c r="D502" s="2" t="s">
        <v>615</v>
      </c>
      <c r="E502" s="1" t="s">
        <v>420</v>
      </c>
      <c r="F502" s="2">
        <v>449626.0</v>
      </c>
      <c r="G502" s="2">
        <v>2.7162418E7</v>
      </c>
      <c r="H502" s="2">
        <v>93190.0</v>
      </c>
      <c r="I502" s="2">
        <v>2.7705234E7</v>
      </c>
      <c r="J502" s="2">
        <v>2.4771361E7</v>
      </c>
      <c r="K502" s="2">
        <v>2933873.0</v>
      </c>
      <c r="M502" s="2"/>
      <c r="X502" s="2"/>
      <c r="AG502" s="2"/>
    </row>
    <row r="503">
      <c r="A503" s="2">
        <v>2020.0</v>
      </c>
      <c r="B503" s="1" t="s">
        <v>595</v>
      </c>
      <c r="C503" s="2" t="s">
        <v>618</v>
      </c>
      <c r="D503" s="2" t="s">
        <v>808</v>
      </c>
      <c r="E503" s="1" t="s">
        <v>420</v>
      </c>
      <c r="F503" s="2">
        <v>1862197.0</v>
      </c>
      <c r="G503" s="2">
        <v>2.7715379E7</v>
      </c>
      <c r="H503" s="2">
        <v>59014.0</v>
      </c>
      <c r="I503" s="2">
        <v>2.963659E7</v>
      </c>
      <c r="J503" s="2">
        <v>2.5320656E7</v>
      </c>
      <c r="K503" s="2">
        <v>4315934.0</v>
      </c>
      <c r="M503" s="2"/>
      <c r="X503" s="2"/>
      <c r="AG503" s="2"/>
    </row>
    <row r="504">
      <c r="A504" s="2">
        <v>2020.0</v>
      </c>
      <c r="B504" s="1" t="s">
        <v>595</v>
      </c>
      <c r="C504" s="2" t="s">
        <v>753</v>
      </c>
      <c r="D504" s="2" t="s">
        <v>754</v>
      </c>
      <c r="E504" s="1" t="s">
        <v>420</v>
      </c>
      <c r="F504" s="2">
        <v>4402283.0</v>
      </c>
      <c r="G504" s="2">
        <v>2.2308807E7</v>
      </c>
      <c r="H504" s="2">
        <v>133224.0</v>
      </c>
      <c r="I504" s="2">
        <v>2.6844314E7</v>
      </c>
      <c r="J504" s="2">
        <v>2.044513E7</v>
      </c>
      <c r="K504" s="2">
        <v>6399184.0</v>
      </c>
      <c r="M504" s="2"/>
      <c r="X504" s="2"/>
      <c r="AG504" s="2"/>
    </row>
    <row r="505">
      <c r="A505" s="2">
        <v>2020.0</v>
      </c>
      <c r="B505" s="1" t="s">
        <v>595</v>
      </c>
      <c r="C505" s="2"/>
      <c r="D505" s="2" t="s">
        <v>756</v>
      </c>
      <c r="E505" s="1" t="s">
        <v>420</v>
      </c>
      <c r="F505" s="2">
        <v>5542680.0</v>
      </c>
      <c r="G505" s="2">
        <v>3.0039404E7</v>
      </c>
      <c r="H505" s="2">
        <v>103071.0</v>
      </c>
      <c r="I505" s="2">
        <v>3.5685155E7</v>
      </c>
      <c r="J505" s="2">
        <v>3.0447564E7</v>
      </c>
      <c r="K505" s="2">
        <v>5237591.0</v>
      </c>
      <c r="M505" s="2"/>
      <c r="X505" s="2"/>
      <c r="AG505" s="2"/>
    </row>
    <row r="506">
      <c r="A506" s="2">
        <v>2020.0</v>
      </c>
      <c r="B506" s="1" t="s">
        <v>595</v>
      </c>
      <c r="C506" s="2"/>
      <c r="D506" s="2" t="s">
        <v>758</v>
      </c>
      <c r="E506" s="1" t="s">
        <v>420</v>
      </c>
      <c r="F506" s="2">
        <v>2584274.0</v>
      </c>
      <c r="G506" s="2">
        <v>1.9738815E7</v>
      </c>
      <c r="H506" s="2">
        <v>91763.0</v>
      </c>
      <c r="I506" s="2">
        <v>2.2414852E7</v>
      </c>
      <c r="J506" s="2">
        <v>1.994303E7</v>
      </c>
      <c r="K506" s="2">
        <v>2471822.0</v>
      </c>
      <c r="M506" s="2"/>
      <c r="X506" s="2"/>
      <c r="AG506" s="2"/>
    </row>
    <row r="507">
      <c r="A507" s="2">
        <v>2020.0</v>
      </c>
      <c r="B507" s="1" t="s">
        <v>595</v>
      </c>
      <c r="C507" s="2"/>
      <c r="D507" s="2" t="s">
        <v>840</v>
      </c>
      <c r="E507" s="1" t="s">
        <v>420</v>
      </c>
      <c r="F507" s="2">
        <v>5385110.0</v>
      </c>
      <c r="G507" s="2">
        <v>2.3897657E7</v>
      </c>
      <c r="H507" s="2">
        <v>179581.0</v>
      </c>
      <c r="I507" s="2">
        <v>2.9462348E7</v>
      </c>
      <c r="J507" s="2">
        <v>2.4389432E7</v>
      </c>
      <c r="K507" s="2">
        <v>5072916.0</v>
      </c>
      <c r="M507" s="2"/>
      <c r="X507" s="2"/>
      <c r="AG507" s="2"/>
    </row>
    <row r="508">
      <c r="A508" s="2">
        <v>2020.0</v>
      </c>
      <c r="B508" s="1" t="s">
        <v>595</v>
      </c>
      <c r="C508" s="2" t="s">
        <v>764</v>
      </c>
      <c r="E508" s="1" t="s">
        <v>420</v>
      </c>
      <c r="F508" s="2">
        <v>223425.0</v>
      </c>
      <c r="G508" s="2">
        <v>9899000.0</v>
      </c>
      <c r="H508" s="2">
        <v>37022.0</v>
      </c>
      <c r="I508" s="2">
        <v>1.0159447E7</v>
      </c>
      <c r="J508" s="2">
        <v>9105796.0</v>
      </c>
      <c r="K508" s="2">
        <v>1053651.0</v>
      </c>
      <c r="M508" s="2"/>
      <c r="X508" s="2"/>
      <c r="AG508" s="2"/>
    </row>
    <row r="509">
      <c r="A509" s="2">
        <v>2020.0</v>
      </c>
      <c r="B509" s="1" t="s">
        <v>595</v>
      </c>
      <c r="C509" s="2" t="s">
        <v>623</v>
      </c>
      <c r="D509" s="2" t="s">
        <v>811</v>
      </c>
      <c r="E509" s="1" t="s">
        <v>420</v>
      </c>
      <c r="F509" s="2">
        <v>5459494.0</v>
      </c>
      <c r="G509" s="2">
        <v>1050000.0</v>
      </c>
      <c r="H509" s="2">
        <v>0.0</v>
      </c>
      <c r="I509" s="2">
        <v>6509494.0</v>
      </c>
      <c r="J509" s="2">
        <v>3893828.0</v>
      </c>
      <c r="K509" s="2">
        <v>2615666.0</v>
      </c>
      <c r="M509" s="2"/>
      <c r="X509" s="2"/>
      <c r="AG509" s="2"/>
    </row>
    <row r="510">
      <c r="A510" s="2">
        <v>2020.0</v>
      </c>
      <c r="B510" s="1" t="s">
        <v>595</v>
      </c>
      <c r="C510" s="2"/>
      <c r="D510" s="2" t="s">
        <v>813</v>
      </c>
      <c r="E510" s="1" t="s">
        <v>420</v>
      </c>
      <c r="F510" s="2">
        <v>4781922.0</v>
      </c>
      <c r="G510" s="2">
        <v>900000.0</v>
      </c>
      <c r="H510" s="2">
        <v>0.0</v>
      </c>
      <c r="I510" s="2">
        <v>5681922.0</v>
      </c>
      <c r="J510" s="2">
        <v>1798591.0</v>
      </c>
      <c r="K510" s="2">
        <v>3883331.0</v>
      </c>
      <c r="M510" s="2"/>
      <c r="X510" s="2"/>
      <c r="AG510" s="2"/>
    </row>
    <row r="511">
      <c r="A511" s="2">
        <v>2020.0</v>
      </c>
      <c r="B511" s="1" t="s">
        <v>595</v>
      </c>
      <c r="C511" s="2"/>
      <c r="D511" s="2" t="s">
        <v>815</v>
      </c>
      <c r="E511" s="1" t="s">
        <v>420</v>
      </c>
      <c r="F511" s="2">
        <v>1.2342927E7</v>
      </c>
      <c r="G511" s="2">
        <v>9900000.0</v>
      </c>
      <c r="H511" s="2">
        <v>0.0</v>
      </c>
      <c r="I511" s="2">
        <v>2.2242927E7</v>
      </c>
      <c r="J511" s="2">
        <v>1.9025323E7</v>
      </c>
      <c r="K511" s="2">
        <v>3217604.0</v>
      </c>
      <c r="M511" s="2"/>
      <c r="X511" s="2"/>
      <c r="AG511" s="2"/>
    </row>
    <row r="512">
      <c r="A512" s="2">
        <v>2020.0</v>
      </c>
      <c r="B512" s="1" t="s">
        <v>595</v>
      </c>
      <c r="C512" s="2"/>
      <c r="D512" s="2" t="s">
        <v>623</v>
      </c>
      <c r="E512" s="1" t="s">
        <v>420</v>
      </c>
      <c r="F512" s="2">
        <v>8704217.0</v>
      </c>
      <c r="G512" s="2">
        <v>9400000.0</v>
      </c>
      <c r="H512" s="2">
        <v>0.0</v>
      </c>
      <c r="I512" s="2">
        <v>1.8104217E7</v>
      </c>
      <c r="J512" s="2">
        <v>1.5509899E7</v>
      </c>
      <c r="K512" s="2">
        <v>2594318.0</v>
      </c>
      <c r="M512" s="2"/>
      <c r="X512" s="2"/>
      <c r="AG512" s="2"/>
    </row>
    <row r="513">
      <c r="A513" s="2">
        <v>2020.0</v>
      </c>
      <c r="B513" s="1" t="s">
        <v>595</v>
      </c>
      <c r="C513" s="2"/>
      <c r="D513" s="2" t="s">
        <v>818</v>
      </c>
      <c r="E513" s="1" t="s">
        <v>420</v>
      </c>
      <c r="F513" s="2">
        <v>1.5494062E7</v>
      </c>
      <c r="G513" s="2">
        <v>1.03E7</v>
      </c>
      <c r="H513" s="2">
        <v>0.0</v>
      </c>
      <c r="I513" s="2">
        <v>2.5794062E7</v>
      </c>
      <c r="J513" s="2">
        <v>1.5763322E7</v>
      </c>
      <c r="K513" s="2">
        <v>1.003074E7</v>
      </c>
      <c r="M513" s="2"/>
      <c r="X513" s="2"/>
      <c r="AG513" s="2"/>
    </row>
    <row r="514">
      <c r="A514" s="2">
        <v>2020.0</v>
      </c>
      <c r="B514" s="1" t="s">
        <v>595</v>
      </c>
      <c r="C514" s="2"/>
      <c r="D514" s="2" t="s">
        <v>819</v>
      </c>
      <c r="E514" s="1" t="s">
        <v>420</v>
      </c>
      <c r="F514" s="2">
        <v>5472422.0</v>
      </c>
      <c r="G514" s="2">
        <v>4250000.0</v>
      </c>
      <c r="H514" s="2">
        <v>0.0</v>
      </c>
      <c r="I514" s="2">
        <v>9722422.0</v>
      </c>
      <c r="J514" s="2">
        <v>8453438.0</v>
      </c>
      <c r="K514" s="2">
        <v>1268984.0</v>
      </c>
      <c r="M514" s="2"/>
      <c r="X514" s="2"/>
      <c r="AG514" s="2"/>
    </row>
    <row r="515">
      <c r="A515" s="2">
        <v>2020.0</v>
      </c>
      <c r="B515" s="1" t="s">
        <v>595</v>
      </c>
      <c r="C515" s="2"/>
      <c r="D515" s="2" t="s">
        <v>821</v>
      </c>
      <c r="E515" s="1" t="s">
        <v>420</v>
      </c>
      <c r="F515" s="2">
        <v>6440251.0</v>
      </c>
      <c r="G515" s="2">
        <v>4500000.0</v>
      </c>
      <c r="H515" s="2">
        <v>0.0</v>
      </c>
      <c r="I515" s="2">
        <v>1.0940251E7</v>
      </c>
      <c r="J515" s="2">
        <v>9165363.0</v>
      </c>
      <c r="K515" s="2">
        <v>1774888.0</v>
      </c>
      <c r="M515" s="2"/>
      <c r="X515" s="2"/>
      <c r="AG515" s="2"/>
    </row>
    <row r="516">
      <c r="A516" s="2">
        <v>2020.0</v>
      </c>
      <c r="B516" s="1" t="s">
        <v>595</v>
      </c>
      <c r="C516" s="2" t="s">
        <v>641</v>
      </c>
      <c r="D516" s="2" t="s">
        <v>652</v>
      </c>
      <c r="E516" s="1" t="s">
        <v>420</v>
      </c>
      <c r="F516" s="2">
        <v>247890.0</v>
      </c>
      <c r="G516" s="2">
        <v>1.1503829E7</v>
      </c>
      <c r="H516" s="2">
        <v>42162.0</v>
      </c>
      <c r="I516" s="2">
        <v>1.1793881E7</v>
      </c>
      <c r="J516" s="2">
        <v>9891998.0</v>
      </c>
      <c r="K516" s="2">
        <v>1901883.0</v>
      </c>
      <c r="M516" s="2"/>
      <c r="X516" s="2"/>
      <c r="AG516" s="2"/>
    </row>
    <row r="517">
      <c r="A517" s="2">
        <v>2020.0</v>
      </c>
      <c r="B517" s="1" t="s">
        <v>595</v>
      </c>
      <c r="C517" s="2"/>
      <c r="D517" s="2" t="s">
        <v>641</v>
      </c>
      <c r="E517" s="1" t="s">
        <v>420</v>
      </c>
      <c r="F517" s="2">
        <v>752289.0</v>
      </c>
      <c r="G517" s="2">
        <v>2.2949656E7</v>
      </c>
      <c r="H517" s="2">
        <v>92385.0</v>
      </c>
      <c r="I517" s="2">
        <v>2.379433E7</v>
      </c>
      <c r="J517" s="2">
        <v>2.0611851E7</v>
      </c>
      <c r="K517" s="2">
        <v>3182479.0</v>
      </c>
      <c r="M517" s="2"/>
      <c r="X517" s="2"/>
      <c r="AG517" s="2"/>
    </row>
    <row r="518">
      <c r="A518" s="2">
        <v>2020.0</v>
      </c>
      <c r="B518" s="1" t="s">
        <v>595</v>
      </c>
      <c r="C518" s="2"/>
      <c r="D518" s="2" t="s">
        <v>823</v>
      </c>
      <c r="E518" s="1" t="s">
        <v>420</v>
      </c>
      <c r="F518" s="2">
        <v>597075.0</v>
      </c>
      <c r="G518" s="2">
        <v>1.9399394E7</v>
      </c>
      <c r="H518" s="2">
        <v>65492.0</v>
      </c>
      <c r="I518" s="2">
        <v>2.0061961E7</v>
      </c>
      <c r="J518" s="2">
        <v>1.7863681E7</v>
      </c>
      <c r="K518" s="2">
        <v>2198280.0</v>
      </c>
      <c r="M518" s="2"/>
      <c r="X518" s="2"/>
      <c r="AG518" s="2"/>
    </row>
    <row r="519">
      <c r="A519" s="2">
        <v>2020.0</v>
      </c>
      <c r="B519" s="1" t="s">
        <v>595</v>
      </c>
      <c r="C519" s="2"/>
      <c r="D519" s="2" t="s">
        <v>644</v>
      </c>
      <c r="E519" s="1" t="s">
        <v>420</v>
      </c>
      <c r="F519" s="2">
        <v>204464.0</v>
      </c>
      <c r="G519" s="2">
        <v>1.0217504E7</v>
      </c>
      <c r="H519" s="2">
        <v>16641.0</v>
      </c>
      <c r="I519" s="2">
        <v>1.0438609E7</v>
      </c>
      <c r="J519" s="2">
        <v>9025006.0</v>
      </c>
      <c r="K519" s="2">
        <v>1413603.0</v>
      </c>
      <c r="M519" s="2"/>
      <c r="X519" s="2"/>
      <c r="AG519" s="2"/>
    </row>
    <row r="520">
      <c r="A520" s="2">
        <v>2020.0</v>
      </c>
      <c r="B520" s="1" t="s">
        <v>595</v>
      </c>
      <c r="C520" s="2"/>
      <c r="D520" s="2" t="s">
        <v>656</v>
      </c>
      <c r="E520" s="1" t="s">
        <v>420</v>
      </c>
      <c r="F520" s="2">
        <v>4614206.0</v>
      </c>
      <c r="G520" s="2">
        <v>4.346126E7</v>
      </c>
      <c r="H520" s="2">
        <v>121286.0</v>
      </c>
      <c r="I520" s="2">
        <v>4.8196752E7</v>
      </c>
      <c r="J520" s="2">
        <v>4.2251736E7</v>
      </c>
      <c r="K520" s="2">
        <v>5945016.0</v>
      </c>
      <c r="M520" s="2"/>
      <c r="X520" s="2"/>
      <c r="AG520" s="2"/>
    </row>
    <row r="521">
      <c r="A521" s="2">
        <v>2020.0</v>
      </c>
      <c r="B521" s="1" t="s">
        <v>595</v>
      </c>
      <c r="C521" s="2"/>
      <c r="D521" s="2" t="s">
        <v>827</v>
      </c>
      <c r="E521" s="1" t="s">
        <v>420</v>
      </c>
      <c r="F521" s="2">
        <v>1027230.0</v>
      </c>
      <c r="G521" s="2">
        <v>2.569241E7</v>
      </c>
      <c r="H521" s="2">
        <v>85992.0</v>
      </c>
      <c r="I521" s="2">
        <v>2.6805632E7</v>
      </c>
      <c r="J521" s="2">
        <v>2.2918285E7</v>
      </c>
      <c r="K521" s="2">
        <v>3887347.0</v>
      </c>
      <c r="M521" s="2"/>
      <c r="X521" s="2"/>
      <c r="AG521" s="2"/>
    </row>
    <row r="522">
      <c r="A522" s="2">
        <v>2020.0</v>
      </c>
      <c r="B522" s="1" t="s">
        <v>595</v>
      </c>
      <c r="C522" s="2"/>
      <c r="D522" s="2" t="s">
        <v>647</v>
      </c>
      <c r="E522" s="1" t="s">
        <v>420</v>
      </c>
      <c r="F522" s="2">
        <v>490164.0</v>
      </c>
      <c r="G522" s="2">
        <v>2.5707893E7</v>
      </c>
      <c r="H522" s="2">
        <v>105431.0</v>
      </c>
      <c r="I522" s="2">
        <v>2.6303488E7</v>
      </c>
      <c r="J522" s="2">
        <v>2.1999074E7</v>
      </c>
      <c r="K522" s="2">
        <v>4304414.0</v>
      </c>
      <c r="M522" s="2"/>
      <c r="X522" s="2"/>
      <c r="AG522" s="2"/>
    </row>
    <row r="523">
      <c r="A523" s="2">
        <v>2020.0</v>
      </c>
      <c r="B523" s="1" t="s">
        <v>595</v>
      </c>
      <c r="C523" s="2"/>
      <c r="D523" s="2" t="s">
        <v>658</v>
      </c>
      <c r="E523" s="1" t="s">
        <v>420</v>
      </c>
      <c r="F523" s="2">
        <v>2269776.0</v>
      </c>
      <c r="G523" s="2">
        <v>2.3491442E7</v>
      </c>
      <c r="H523" s="2">
        <v>68491.0</v>
      </c>
      <c r="I523" s="2">
        <v>2.5829709E7</v>
      </c>
      <c r="J523" s="2">
        <v>2.2938019E7</v>
      </c>
      <c r="K523" s="2">
        <v>2891690.0</v>
      </c>
      <c r="M523" s="2"/>
      <c r="X523" s="2"/>
      <c r="AG523" s="2"/>
    </row>
    <row r="524">
      <c r="A524" s="2">
        <v>2020.0</v>
      </c>
      <c r="B524" s="1" t="s">
        <v>596</v>
      </c>
      <c r="C524" s="2" t="s">
        <v>603</v>
      </c>
      <c r="D524" s="2" t="s">
        <v>604</v>
      </c>
      <c r="E524" s="1" t="s">
        <v>420</v>
      </c>
      <c r="F524" s="2">
        <v>8408471.0</v>
      </c>
      <c r="G524" s="2">
        <v>1.3032012E7</v>
      </c>
      <c r="H524" s="2">
        <v>135013.0</v>
      </c>
      <c r="I524" s="2">
        <v>2.1575496E7</v>
      </c>
      <c r="J524" s="2">
        <v>2.0370253E7</v>
      </c>
      <c r="K524" s="2">
        <v>1205243.0</v>
      </c>
      <c r="M524" s="2"/>
      <c r="X524" s="2"/>
      <c r="Y524" s="2"/>
      <c r="Z524" s="2"/>
      <c r="AF524" s="2"/>
      <c r="AG524" s="2"/>
    </row>
    <row r="525">
      <c r="A525" s="2">
        <v>2020.0</v>
      </c>
      <c r="B525" s="1" t="s">
        <v>596</v>
      </c>
      <c r="C525" s="2"/>
      <c r="D525" s="2" t="s">
        <v>847</v>
      </c>
      <c r="E525" s="1" t="s">
        <v>420</v>
      </c>
      <c r="F525" s="2">
        <v>0.0</v>
      </c>
      <c r="G525" s="2">
        <v>1.0311144E7</v>
      </c>
      <c r="H525" s="2">
        <v>26290.0</v>
      </c>
      <c r="I525" s="2">
        <v>1.0337434E7</v>
      </c>
      <c r="J525" s="2">
        <v>1.0250857E7</v>
      </c>
      <c r="K525" s="2">
        <v>86577.0</v>
      </c>
      <c r="M525" s="2"/>
      <c r="X525" s="2"/>
      <c r="Y525" s="2"/>
      <c r="Z525" s="2"/>
      <c r="AF525" s="2"/>
      <c r="AG525" s="2"/>
    </row>
    <row r="526">
      <c r="A526" s="2">
        <v>2020.0</v>
      </c>
      <c r="B526" s="1" t="s">
        <v>596</v>
      </c>
      <c r="C526" s="2"/>
      <c r="D526" s="2" t="s">
        <v>79</v>
      </c>
      <c r="E526" s="1" t="s">
        <v>420</v>
      </c>
      <c r="F526" s="2">
        <v>1525466.0</v>
      </c>
      <c r="G526" s="2">
        <v>4130587.0</v>
      </c>
      <c r="H526" s="2">
        <v>32173.0</v>
      </c>
      <c r="I526" s="2">
        <v>5688226.0</v>
      </c>
      <c r="J526" s="2">
        <v>4977048.0</v>
      </c>
      <c r="K526" s="2">
        <v>711178.0</v>
      </c>
      <c r="M526" s="2"/>
      <c r="X526" s="2"/>
      <c r="Y526" s="2"/>
      <c r="Z526" s="2"/>
      <c r="AF526" s="2"/>
      <c r="AG526" s="2"/>
    </row>
    <row r="527">
      <c r="A527" s="2">
        <v>2020.0</v>
      </c>
      <c r="B527" s="1" t="s">
        <v>596</v>
      </c>
      <c r="C527" s="2"/>
      <c r="D527" s="2" t="s">
        <v>670</v>
      </c>
      <c r="E527" s="1" t="s">
        <v>420</v>
      </c>
      <c r="F527" s="2">
        <v>4240263.0</v>
      </c>
      <c r="G527" s="2">
        <v>9298150.0</v>
      </c>
      <c r="H527" s="2">
        <v>71424.0</v>
      </c>
      <c r="I527" s="2">
        <v>1.3609837E7</v>
      </c>
      <c r="J527" s="2">
        <v>1.3500364E7</v>
      </c>
      <c r="K527" s="2">
        <v>109473.0</v>
      </c>
      <c r="M527" s="2"/>
      <c r="X527" s="2"/>
      <c r="Y527" s="2"/>
      <c r="Z527" s="2"/>
      <c r="AF527" s="2"/>
      <c r="AG527" s="2"/>
    </row>
    <row r="528">
      <c r="A528" s="2">
        <v>2020.0</v>
      </c>
      <c r="B528" s="1" t="s">
        <v>596</v>
      </c>
      <c r="C528" s="2"/>
      <c r="D528" s="2" t="s">
        <v>612</v>
      </c>
      <c r="E528" s="1" t="s">
        <v>420</v>
      </c>
      <c r="F528" s="2">
        <v>7157265.0</v>
      </c>
      <c r="G528" s="2">
        <v>2.0010577E7</v>
      </c>
      <c r="H528" s="2">
        <v>137074.0</v>
      </c>
      <c r="I528" s="2">
        <v>2.7304916E7</v>
      </c>
      <c r="J528" s="2">
        <v>2.5623347E7</v>
      </c>
      <c r="K528" s="2">
        <v>1681569.0</v>
      </c>
      <c r="M528" s="2"/>
      <c r="X528" s="2"/>
      <c r="Y528" s="2"/>
      <c r="Z528" s="2"/>
      <c r="AF528" s="2"/>
      <c r="AG528" s="2"/>
    </row>
    <row r="529">
      <c r="A529" s="2">
        <v>2020.0</v>
      </c>
      <c r="B529" s="1" t="s">
        <v>596</v>
      </c>
      <c r="C529" s="2"/>
      <c r="D529" s="2" t="s">
        <v>607</v>
      </c>
      <c r="E529" s="1" t="s">
        <v>420</v>
      </c>
      <c r="F529" s="2">
        <v>3317130.0</v>
      </c>
      <c r="G529" s="2">
        <v>2.358996E7</v>
      </c>
      <c r="H529" s="2">
        <v>103199.0</v>
      </c>
      <c r="I529" s="2">
        <v>2.7010289E7</v>
      </c>
      <c r="J529" s="2">
        <v>2.6196129E7</v>
      </c>
      <c r="K529" s="2">
        <v>814160.0</v>
      </c>
      <c r="M529" s="2"/>
      <c r="X529" s="2"/>
      <c r="Y529" s="2"/>
      <c r="Z529" s="2"/>
      <c r="AF529" s="2"/>
      <c r="AG529" s="2"/>
    </row>
    <row r="530">
      <c r="A530" s="2">
        <v>2020.0</v>
      </c>
      <c r="B530" s="1" t="s">
        <v>596</v>
      </c>
      <c r="C530" s="2"/>
      <c r="D530" s="2" t="s">
        <v>615</v>
      </c>
      <c r="E530" s="1" t="s">
        <v>420</v>
      </c>
      <c r="F530" s="2">
        <v>2933873.0</v>
      </c>
      <c r="G530" s="2">
        <v>2.8358E7</v>
      </c>
      <c r="H530" s="2">
        <v>142304.0</v>
      </c>
      <c r="I530" s="2">
        <v>3.1434177E7</v>
      </c>
      <c r="J530" s="2">
        <v>2.9823362E7</v>
      </c>
      <c r="K530" s="2">
        <v>1610815.0</v>
      </c>
      <c r="M530" s="2"/>
      <c r="X530" s="2"/>
      <c r="Y530" s="2"/>
      <c r="Z530" s="2"/>
      <c r="AF530" s="2"/>
      <c r="AG530" s="2"/>
    </row>
    <row r="531">
      <c r="A531" s="2">
        <v>2020.0</v>
      </c>
      <c r="B531" s="1" t="s">
        <v>596</v>
      </c>
      <c r="C531" s="2" t="s">
        <v>618</v>
      </c>
      <c r="D531" s="2" t="s">
        <v>808</v>
      </c>
      <c r="E531" s="1" t="s">
        <v>420</v>
      </c>
      <c r="F531" s="2">
        <v>4315934.0</v>
      </c>
      <c r="G531" s="2">
        <v>2.7131E7</v>
      </c>
      <c r="H531" s="2">
        <v>164044.0</v>
      </c>
      <c r="I531" s="2">
        <v>3.1610978E7</v>
      </c>
      <c r="J531" s="2">
        <v>2.5232931E7</v>
      </c>
      <c r="K531" s="2">
        <v>6378047.0</v>
      </c>
      <c r="M531" s="2"/>
      <c r="X531" s="2"/>
      <c r="Y531" s="2"/>
      <c r="Z531" s="2"/>
      <c r="AF531" s="2"/>
      <c r="AG531" s="2"/>
    </row>
    <row r="532">
      <c r="A532" s="2">
        <v>2020.0</v>
      </c>
      <c r="B532" s="1" t="s">
        <v>596</v>
      </c>
      <c r="C532" s="2" t="s">
        <v>753</v>
      </c>
      <c r="D532" s="2" t="s">
        <v>754</v>
      </c>
      <c r="E532" s="1" t="s">
        <v>420</v>
      </c>
      <c r="F532" s="2">
        <v>6399184.0</v>
      </c>
      <c r="G532" s="2">
        <v>2.3075E7</v>
      </c>
      <c r="H532" s="2">
        <v>188068.0</v>
      </c>
      <c r="I532" s="2">
        <v>2.9662252E7</v>
      </c>
      <c r="J532" s="2">
        <v>2.241337E7</v>
      </c>
      <c r="K532" s="2">
        <v>7248882.0</v>
      </c>
      <c r="M532" s="2"/>
      <c r="X532" s="2"/>
      <c r="Y532" s="2"/>
      <c r="Z532" s="2"/>
      <c r="AF532" s="2"/>
      <c r="AG532" s="2"/>
    </row>
    <row r="533">
      <c r="A533" s="2">
        <v>2020.0</v>
      </c>
      <c r="B533" s="1" t="s">
        <v>596</v>
      </c>
      <c r="C533" s="2"/>
      <c r="D533" s="2" t="s">
        <v>756</v>
      </c>
      <c r="E533" s="1" t="s">
        <v>420</v>
      </c>
      <c r="F533" s="2">
        <v>5237591.0</v>
      </c>
      <c r="G533" s="2">
        <v>3.5194E7</v>
      </c>
      <c r="H533" s="2">
        <v>120600.0</v>
      </c>
      <c r="I533" s="2">
        <v>4.0552191E7</v>
      </c>
      <c r="J533" s="2">
        <v>3.6989565E7</v>
      </c>
      <c r="K533" s="2">
        <v>3562626.0</v>
      </c>
      <c r="M533" s="2"/>
      <c r="X533" s="2"/>
      <c r="Y533" s="2"/>
      <c r="Z533" s="2"/>
      <c r="AF533" s="2"/>
      <c r="AG533" s="2"/>
    </row>
    <row r="534">
      <c r="A534" s="2">
        <v>2020.0</v>
      </c>
      <c r="B534" s="1" t="s">
        <v>596</v>
      </c>
      <c r="C534" s="2"/>
      <c r="D534" s="2" t="s">
        <v>758</v>
      </c>
      <c r="E534" s="1" t="s">
        <v>420</v>
      </c>
      <c r="F534" s="2">
        <v>2471822.0</v>
      </c>
      <c r="G534" s="2">
        <v>2.5975E7</v>
      </c>
      <c r="H534" s="2">
        <v>99039.0</v>
      </c>
      <c r="I534" s="2">
        <v>2.8545861E7</v>
      </c>
      <c r="J534" s="2">
        <v>2.5973579E7</v>
      </c>
      <c r="K534" s="2">
        <v>2572282.0</v>
      </c>
      <c r="M534" s="2"/>
      <c r="X534" s="2"/>
      <c r="Y534" s="2"/>
      <c r="Z534" s="2"/>
      <c r="AF534" s="2"/>
      <c r="AG534" s="2"/>
    </row>
    <row r="535">
      <c r="A535" s="2">
        <v>2020.0</v>
      </c>
      <c r="B535" s="1" t="s">
        <v>596</v>
      </c>
      <c r="C535" s="2"/>
      <c r="D535" s="2" t="s">
        <v>762</v>
      </c>
      <c r="E535" s="1" t="s">
        <v>420</v>
      </c>
      <c r="F535" s="2">
        <v>5072916.0</v>
      </c>
      <c r="G535" s="2">
        <v>2.6315E7</v>
      </c>
      <c r="H535" s="2">
        <v>124876.0</v>
      </c>
      <c r="I535" s="2">
        <v>3.1512792E7</v>
      </c>
      <c r="J535" s="2">
        <v>2.7607729E7</v>
      </c>
      <c r="K535" s="2">
        <v>3905063.0</v>
      </c>
      <c r="M535" s="2"/>
      <c r="X535" s="2"/>
      <c r="Y535" s="2"/>
      <c r="Z535" s="2"/>
      <c r="AF535" s="2"/>
      <c r="AG535" s="2"/>
    </row>
    <row r="536">
      <c r="A536" s="2">
        <v>2020.0</v>
      </c>
      <c r="B536" s="1" t="s">
        <v>596</v>
      </c>
      <c r="C536" s="2" t="s">
        <v>764</v>
      </c>
      <c r="E536" s="1" t="s">
        <v>420</v>
      </c>
      <c r="F536" s="2">
        <v>1053651.0</v>
      </c>
      <c r="G536" s="2">
        <v>1.2769E7</v>
      </c>
      <c r="H536" s="2">
        <v>53156.0</v>
      </c>
      <c r="I536" s="2">
        <v>1.3875807E7</v>
      </c>
      <c r="J536" s="2">
        <v>1.3292812E7</v>
      </c>
      <c r="K536" s="2">
        <v>582995.0</v>
      </c>
      <c r="M536" s="2"/>
      <c r="X536" s="2"/>
      <c r="Y536" s="2"/>
      <c r="Z536" s="2"/>
      <c r="AF536" s="2"/>
      <c r="AG536" s="2"/>
    </row>
    <row r="537">
      <c r="A537" s="2">
        <v>2020.0</v>
      </c>
      <c r="B537" s="1" t="s">
        <v>596</v>
      </c>
      <c r="C537" s="2" t="s">
        <v>623</v>
      </c>
      <c r="D537" s="2" t="s">
        <v>811</v>
      </c>
      <c r="E537" s="1" t="s">
        <v>420</v>
      </c>
      <c r="F537" s="2">
        <v>2615666.0</v>
      </c>
      <c r="G537" s="2">
        <v>2020000.0</v>
      </c>
      <c r="H537" s="2">
        <v>0.0</v>
      </c>
      <c r="I537" s="2">
        <v>4635666.0</v>
      </c>
      <c r="J537" s="2">
        <v>4184569.0</v>
      </c>
      <c r="K537" s="2">
        <v>451097.0</v>
      </c>
      <c r="M537" s="2"/>
      <c r="X537" s="2"/>
      <c r="Y537" s="2"/>
      <c r="Z537" s="2"/>
      <c r="AF537" s="2"/>
      <c r="AG537" s="2"/>
    </row>
    <row r="538">
      <c r="A538" s="2">
        <v>2020.0</v>
      </c>
      <c r="B538" s="1" t="s">
        <v>596</v>
      </c>
      <c r="C538" s="2"/>
      <c r="D538" s="2" t="s">
        <v>813</v>
      </c>
      <c r="E538" s="1" t="s">
        <v>420</v>
      </c>
      <c r="F538" s="2">
        <v>3883331.0</v>
      </c>
      <c r="G538" s="2">
        <v>1140000.0</v>
      </c>
      <c r="H538" s="2">
        <v>0.0</v>
      </c>
      <c r="I538" s="2">
        <v>5023331.0</v>
      </c>
      <c r="J538" s="2">
        <v>3147172.0</v>
      </c>
      <c r="K538" s="2">
        <v>1876159.0</v>
      </c>
      <c r="M538" s="2"/>
      <c r="X538" s="2"/>
      <c r="Y538" s="2"/>
      <c r="Z538" s="2"/>
      <c r="AF538" s="2"/>
      <c r="AG538" s="2"/>
    </row>
    <row r="539">
      <c r="A539" s="2">
        <v>2020.0</v>
      </c>
      <c r="B539" s="1" t="s">
        <v>596</v>
      </c>
      <c r="C539" s="2"/>
      <c r="D539" s="2" t="s">
        <v>815</v>
      </c>
      <c r="E539" s="1" t="s">
        <v>420</v>
      </c>
      <c r="F539" s="2">
        <v>3217604.0</v>
      </c>
      <c r="G539" s="2">
        <v>2.05E7</v>
      </c>
      <c r="H539" s="2">
        <v>0.0</v>
      </c>
      <c r="I539" s="2">
        <v>2.3717604E7</v>
      </c>
      <c r="J539" s="2">
        <v>2.2604591E7</v>
      </c>
      <c r="K539" s="2">
        <v>1113013.0</v>
      </c>
      <c r="M539" s="2"/>
      <c r="X539" s="2"/>
      <c r="Y539" s="2"/>
      <c r="Z539" s="2"/>
      <c r="AF539" s="2"/>
      <c r="AG539" s="2"/>
    </row>
    <row r="540">
      <c r="A540" s="2">
        <v>2020.0</v>
      </c>
      <c r="B540" s="1" t="s">
        <v>596</v>
      </c>
      <c r="C540" s="2"/>
      <c r="D540" s="2" t="s">
        <v>623</v>
      </c>
      <c r="E540" s="1" t="s">
        <v>420</v>
      </c>
      <c r="F540" s="2">
        <v>2594318.0</v>
      </c>
      <c r="G540" s="2">
        <v>1.495E7</v>
      </c>
      <c r="H540" s="2">
        <v>0.0</v>
      </c>
      <c r="I540" s="2">
        <v>1.7544318E7</v>
      </c>
      <c r="J540" s="2">
        <v>1.743773E7</v>
      </c>
      <c r="K540" s="2">
        <v>106588.0</v>
      </c>
      <c r="M540" s="2"/>
      <c r="X540" s="2"/>
      <c r="Y540" s="2"/>
      <c r="Z540" s="2"/>
      <c r="AF540" s="2"/>
      <c r="AG540" s="2"/>
    </row>
    <row r="541">
      <c r="A541" s="2">
        <v>2020.0</v>
      </c>
      <c r="B541" s="1" t="s">
        <v>596</v>
      </c>
      <c r="C541" s="2"/>
      <c r="D541" s="2" t="s">
        <v>818</v>
      </c>
      <c r="E541" s="1" t="s">
        <v>420</v>
      </c>
      <c r="F541" s="2">
        <v>1.003074E7</v>
      </c>
      <c r="G541" s="2">
        <v>1.46E7</v>
      </c>
      <c r="H541" s="2">
        <v>0.0</v>
      </c>
      <c r="I541" s="2">
        <v>2.463074E7</v>
      </c>
      <c r="J541" s="2">
        <v>1.7463828E7</v>
      </c>
      <c r="K541" s="2">
        <v>7166912.0</v>
      </c>
      <c r="M541" s="2"/>
      <c r="X541" s="2"/>
      <c r="Y541" s="2"/>
      <c r="Z541" s="2"/>
      <c r="AF541" s="2"/>
      <c r="AG541" s="2"/>
    </row>
    <row r="542">
      <c r="A542" s="2">
        <v>2020.0</v>
      </c>
      <c r="B542" s="1" t="s">
        <v>596</v>
      </c>
      <c r="C542" s="2"/>
      <c r="D542" s="2" t="s">
        <v>819</v>
      </c>
      <c r="E542" s="1" t="s">
        <v>420</v>
      </c>
      <c r="F542" s="2">
        <v>1268984.0</v>
      </c>
      <c r="G542" s="2">
        <v>9450000.0</v>
      </c>
      <c r="H542" s="2">
        <v>0.0</v>
      </c>
      <c r="I542" s="2">
        <v>1.0718984E7</v>
      </c>
      <c r="J542" s="2">
        <v>1.1009109E7</v>
      </c>
      <c r="K542" s="2">
        <v>-290125.0</v>
      </c>
      <c r="M542" s="2"/>
      <c r="X542" s="2"/>
      <c r="Y542" s="2"/>
      <c r="Z542" s="2"/>
      <c r="AF542" s="2"/>
      <c r="AG542" s="2"/>
    </row>
    <row r="543">
      <c r="A543" s="2">
        <v>2020.0</v>
      </c>
      <c r="B543" s="1" t="s">
        <v>596</v>
      </c>
      <c r="C543" s="2"/>
      <c r="D543" s="2" t="s">
        <v>821</v>
      </c>
      <c r="E543" s="1" t="s">
        <v>420</v>
      </c>
      <c r="F543" s="2">
        <v>1774888.0</v>
      </c>
      <c r="G543" s="2">
        <v>9800000.0</v>
      </c>
      <c r="H543" s="2">
        <v>0.0</v>
      </c>
      <c r="I543" s="2">
        <v>1.1574888E7</v>
      </c>
      <c r="J543" s="2">
        <v>1.0980545E7</v>
      </c>
      <c r="K543" s="2">
        <v>594343.0</v>
      </c>
      <c r="M543" s="2"/>
      <c r="X543" s="2"/>
      <c r="Y543" s="2"/>
      <c r="Z543" s="2"/>
      <c r="AF543" s="2"/>
      <c r="AG543" s="2"/>
    </row>
    <row r="544">
      <c r="A544" s="2">
        <v>2020.0</v>
      </c>
      <c r="B544" s="1" t="s">
        <v>596</v>
      </c>
      <c r="C544" s="2" t="s">
        <v>641</v>
      </c>
      <c r="D544" s="2" t="s">
        <v>652</v>
      </c>
      <c r="E544" s="1" t="s">
        <v>420</v>
      </c>
      <c r="F544" s="2">
        <v>1901883.0</v>
      </c>
      <c r="G544" s="2">
        <v>9828000.0</v>
      </c>
      <c r="H544" s="2">
        <v>41693.0</v>
      </c>
      <c r="I544" s="2">
        <v>1.1771526E7</v>
      </c>
      <c r="J544" s="2">
        <v>9808560.0</v>
      </c>
      <c r="K544" s="2">
        <v>1962966.0</v>
      </c>
      <c r="M544" s="2"/>
      <c r="X544" s="2"/>
      <c r="Y544" s="2"/>
      <c r="Z544" s="2"/>
      <c r="AF544" s="2"/>
      <c r="AG544" s="2"/>
    </row>
    <row r="545">
      <c r="A545" s="2">
        <v>2020.0</v>
      </c>
      <c r="B545" s="1" t="s">
        <v>596</v>
      </c>
      <c r="C545" s="2"/>
      <c r="D545" s="2" t="s">
        <v>641</v>
      </c>
      <c r="E545" s="1" t="s">
        <v>420</v>
      </c>
      <c r="F545" s="2">
        <v>3182479.0</v>
      </c>
      <c r="G545" s="2">
        <v>2.5342E7</v>
      </c>
      <c r="H545" s="2">
        <v>199620.0</v>
      </c>
      <c r="I545" s="2">
        <v>2.8724099E7</v>
      </c>
      <c r="J545" s="2">
        <v>1.8851491E7</v>
      </c>
      <c r="K545" s="2">
        <v>9872608.0</v>
      </c>
      <c r="M545" s="2"/>
      <c r="X545" s="2"/>
      <c r="Y545" s="2"/>
      <c r="Z545" s="2"/>
      <c r="AF545" s="2"/>
      <c r="AG545" s="2"/>
    </row>
    <row r="546">
      <c r="A546" s="2">
        <v>2020.0</v>
      </c>
      <c r="B546" s="1" t="s">
        <v>596</v>
      </c>
      <c r="C546" s="2"/>
      <c r="D546" s="2" t="s">
        <v>823</v>
      </c>
      <c r="E546" s="1" t="s">
        <v>420</v>
      </c>
      <c r="F546" s="2">
        <v>2198280.0</v>
      </c>
      <c r="G546" s="2">
        <v>1.8332E7</v>
      </c>
      <c r="H546" s="2">
        <v>63560.0</v>
      </c>
      <c r="I546" s="2">
        <v>2.059384E7</v>
      </c>
      <c r="J546" s="2">
        <v>1.8647461E7</v>
      </c>
      <c r="K546" s="2">
        <v>1946379.0</v>
      </c>
      <c r="M546" s="2"/>
      <c r="X546" s="2"/>
      <c r="Y546" s="2"/>
      <c r="Z546" s="2"/>
      <c r="AF546" s="2"/>
      <c r="AG546" s="2"/>
    </row>
    <row r="547">
      <c r="A547" s="2">
        <v>2020.0</v>
      </c>
      <c r="B547" s="1" t="s">
        <v>596</v>
      </c>
      <c r="C547" s="2"/>
      <c r="D547" s="2" t="s">
        <v>644</v>
      </c>
      <c r="E547" s="1" t="s">
        <v>420</v>
      </c>
      <c r="F547" s="2">
        <v>1413603.0</v>
      </c>
      <c r="G547" s="2">
        <v>9686000.0</v>
      </c>
      <c r="H547" s="2">
        <v>57128.0</v>
      </c>
      <c r="I547" s="2">
        <v>1.1156731E7</v>
      </c>
      <c r="J547" s="2">
        <v>9199896.0</v>
      </c>
      <c r="K547" s="2">
        <v>1956835.0</v>
      </c>
      <c r="M547" s="2"/>
      <c r="X547" s="2"/>
      <c r="Y547" s="2"/>
      <c r="Z547" s="2"/>
      <c r="AF547" s="2"/>
      <c r="AG547" s="2"/>
    </row>
    <row r="548">
      <c r="A548" s="2">
        <v>2020.0</v>
      </c>
      <c r="B548" s="1" t="s">
        <v>596</v>
      </c>
      <c r="C548" s="2"/>
      <c r="D548" s="2" t="s">
        <v>656</v>
      </c>
      <c r="E548" s="1" t="s">
        <v>420</v>
      </c>
      <c r="F548" s="2">
        <v>5945016.0</v>
      </c>
      <c r="G548" s="2">
        <v>4.1111E7</v>
      </c>
      <c r="H548" s="2">
        <v>210848.0</v>
      </c>
      <c r="I548" s="2">
        <v>4.7266864E7</v>
      </c>
      <c r="J548" s="2">
        <v>4.4883955E7</v>
      </c>
      <c r="K548" s="2">
        <v>2382909.0</v>
      </c>
      <c r="M548" s="2"/>
      <c r="X548" s="2"/>
      <c r="Y548" s="2"/>
      <c r="Z548" s="2"/>
      <c r="AF548" s="2"/>
      <c r="AG548" s="2"/>
    </row>
    <row r="549">
      <c r="A549" s="2">
        <v>2020.0</v>
      </c>
      <c r="B549" s="1" t="s">
        <v>596</v>
      </c>
      <c r="C549" s="2"/>
      <c r="D549" s="2" t="s">
        <v>827</v>
      </c>
      <c r="E549" s="1" t="s">
        <v>420</v>
      </c>
      <c r="F549" s="2">
        <v>3887347.0</v>
      </c>
      <c r="G549" s="2">
        <v>3.0721E7</v>
      </c>
      <c r="H549" s="2">
        <v>178760.0</v>
      </c>
      <c r="I549" s="2">
        <v>3.4787107E7</v>
      </c>
      <c r="J549" s="2">
        <v>2.794431E7</v>
      </c>
      <c r="K549" s="2">
        <v>6842797.0</v>
      </c>
      <c r="M549" s="2"/>
      <c r="X549" s="2"/>
      <c r="Y549" s="2"/>
      <c r="Z549" s="2"/>
      <c r="AF549" s="2"/>
      <c r="AG549" s="2"/>
    </row>
    <row r="550">
      <c r="A550" s="2">
        <v>2020.0</v>
      </c>
      <c r="B550" s="1" t="s">
        <v>596</v>
      </c>
      <c r="C550" s="2"/>
      <c r="D550" s="2" t="s">
        <v>647</v>
      </c>
      <c r="E550" s="1" t="s">
        <v>420</v>
      </c>
      <c r="F550" s="2">
        <v>4304414.0</v>
      </c>
      <c r="G550" s="2">
        <v>3.1893208E7</v>
      </c>
      <c r="H550" s="2">
        <v>330761.0</v>
      </c>
      <c r="I550" s="2">
        <v>3.6528383E7</v>
      </c>
      <c r="J550" s="2">
        <v>2.6320014E7</v>
      </c>
      <c r="K550" s="2">
        <v>1.0208369E7</v>
      </c>
      <c r="M550" s="2"/>
      <c r="X550" s="2"/>
      <c r="Y550" s="2"/>
      <c r="Z550" s="2"/>
      <c r="AF550" s="2"/>
      <c r="AG550" s="2"/>
    </row>
    <row r="551">
      <c r="A551" s="2">
        <v>2020.0</v>
      </c>
      <c r="B551" s="1" t="s">
        <v>596</v>
      </c>
      <c r="C551" s="2"/>
      <c r="D551" s="2" t="s">
        <v>658</v>
      </c>
      <c r="E551" s="1" t="s">
        <v>420</v>
      </c>
      <c r="F551" s="2">
        <v>2891690.0</v>
      </c>
      <c r="G551" s="2">
        <v>2.3368E7</v>
      </c>
      <c r="H551" s="2">
        <v>161138.0</v>
      </c>
      <c r="I551" s="2">
        <v>2.6420828E7</v>
      </c>
      <c r="J551" s="2">
        <v>1.8408958E7</v>
      </c>
      <c r="K551" s="2">
        <v>8011870.0</v>
      </c>
      <c r="M551" s="2"/>
      <c r="X551" s="2"/>
      <c r="Y551" s="2"/>
      <c r="Z551" s="2"/>
      <c r="AF551" s="2"/>
      <c r="AG551" s="2"/>
    </row>
    <row r="552">
      <c r="A552" s="2">
        <v>2020.0</v>
      </c>
      <c r="B552" s="2" t="s">
        <v>595</v>
      </c>
      <c r="D552" s="2" t="s">
        <v>535</v>
      </c>
      <c r="E552" s="2"/>
      <c r="F552" s="2">
        <v>7339807.0</v>
      </c>
      <c r="G552" s="2" t="s">
        <v>863</v>
      </c>
      <c r="H552" s="2"/>
      <c r="J552" s="2"/>
      <c r="K552" s="2"/>
      <c r="L552" s="2"/>
      <c r="M552" s="2"/>
      <c r="N552" s="2"/>
      <c r="O552" s="2"/>
      <c r="X552" s="2"/>
      <c r="Y552" s="2"/>
      <c r="Z552" s="2"/>
      <c r="AF552" s="2"/>
    </row>
    <row r="553">
      <c r="A553" s="2">
        <v>2020.0</v>
      </c>
      <c r="B553" s="2" t="s">
        <v>595</v>
      </c>
      <c r="D553" s="2" t="s">
        <v>537</v>
      </c>
      <c r="E553" s="2"/>
      <c r="F553" s="2">
        <v>2.652871E7</v>
      </c>
      <c r="G553" s="2" t="s">
        <v>863</v>
      </c>
      <c r="H553" s="2"/>
      <c r="J553" s="2"/>
      <c r="K553" s="2"/>
      <c r="L553" s="2"/>
      <c r="M553" s="2"/>
      <c r="N553" s="2"/>
      <c r="O553" s="2"/>
      <c r="X553" s="2"/>
      <c r="Y553" s="2"/>
      <c r="Z553" s="2"/>
      <c r="AF553" s="2"/>
    </row>
    <row r="554">
      <c r="A554" s="2">
        <v>2020.0</v>
      </c>
      <c r="B554" s="2" t="s">
        <v>595</v>
      </c>
      <c r="D554" s="2" t="s">
        <v>539</v>
      </c>
      <c r="E554" s="2"/>
      <c r="F554" s="2">
        <v>8429071.0</v>
      </c>
      <c r="G554" s="2" t="s">
        <v>863</v>
      </c>
      <c r="H554" s="2"/>
      <c r="J554" s="2"/>
      <c r="K554" s="2"/>
      <c r="L554" s="2"/>
      <c r="M554" s="2"/>
      <c r="N554" s="2"/>
      <c r="O554" s="2"/>
      <c r="X554" s="2"/>
      <c r="Y554" s="2"/>
      <c r="Z554" s="2"/>
      <c r="AF554" s="2"/>
    </row>
    <row r="555">
      <c r="A555" s="2">
        <v>2020.0</v>
      </c>
      <c r="B555" s="2" t="s">
        <v>595</v>
      </c>
      <c r="D555" s="2" t="s">
        <v>216</v>
      </c>
      <c r="E555" s="2"/>
      <c r="F555" s="2">
        <v>9293634.0</v>
      </c>
      <c r="G555" s="2" t="s">
        <v>868</v>
      </c>
      <c r="H555" s="2"/>
      <c r="I555" s="2"/>
      <c r="J555" s="2"/>
      <c r="K555" s="2"/>
      <c r="N555" s="2"/>
      <c r="X555" s="2"/>
      <c r="AC555" s="2"/>
      <c r="AD555" s="2"/>
      <c r="AE555" s="2"/>
      <c r="AF555" s="2"/>
    </row>
    <row r="556">
      <c r="A556" s="2">
        <v>2020.0</v>
      </c>
      <c r="B556" s="2" t="s">
        <v>595</v>
      </c>
      <c r="D556" s="2" t="s">
        <v>870</v>
      </c>
      <c r="E556" s="2"/>
      <c r="F556" s="2">
        <v>3280419.0</v>
      </c>
      <c r="G556" s="2">
        <v>1.1663E7</v>
      </c>
      <c r="H556" s="2">
        <v>72696.0</v>
      </c>
      <c r="I556" s="2">
        <v>1.5016115E7</v>
      </c>
      <c r="J556" s="2">
        <v>1.3375672E7</v>
      </c>
      <c r="K556" s="2">
        <v>1640443.0</v>
      </c>
      <c r="N556" s="2"/>
      <c r="X556" s="2"/>
      <c r="AC556" s="2"/>
      <c r="AD556" s="2"/>
      <c r="AE556" s="2"/>
      <c r="AF556" s="2"/>
    </row>
    <row r="557">
      <c r="A557" s="2">
        <v>2020.0</v>
      </c>
      <c r="B557" s="2" t="s">
        <v>595</v>
      </c>
      <c r="D557" s="2" t="s">
        <v>871</v>
      </c>
      <c r="E557" s="2"/>
      <c r="F557" s="2">
        <v>6954065.0</v>
      </c>
      <c r="G557" s="2">
        <v>2.3430178E7</v>
      </c>
      <c r="H557" s="2">
        <v>269334.0</v>
      </c>
      <c r="I557" s="2">
        <v>3.0653577E7</v>
      </c>
      <c r="J557" s="2">
        <v>2.4125586E7</v>
      </c>
      <c r="K557" s="2">
        <v>6527991.0</v>
      </c>
      <c r="N557" s="2"/>
      <c r="X557" s="2"/>
      <c r="AC557" s="2"/>
      <c r="AD557" s="2"/>
      <c r="AE557" s="2"/>
      <c r="AF557" s="2"/>
    </row>
    <row r="558">
      <c r="A558" s="2">
        <v>2020.0</v>
      </c>
      <c r="B558" s="2" t="s">
        <v>596</v>
      </c>
      <c r="D558" s="2" t="s">
        <v>870</v>
      </c>
      <c r="E558" s="2"/>
      <c r="F558" s="2">
        <v>1640443.0</v>
      </c>
      <c r="G558" s="2">
        <v>1.3767102E7</v>
      </c>
      <c r="H558" s="2">
        <v>45520.0</v>
      </c>
      <c r="I558" s="2">
        <v>1.5453065E7</v>
      </c>
      <c r="J558" s="2">
        <v>1.3605386E7</v>
      </c>
      <c r="K558" s="2">
        <v>1847679.0</v>
      </c>
      <c r="N558" s="2"/>
      <c r="X558" s="2"/>
      <c r="AC558" s="2"/>
      <c r="AD558" s="2"/>
      <c r="AE558" s="2"/>
      <c r="AF558" s="2"/>
    </row>
    <row r="559">
      <c r="A559" s="2">
        <v>2020.0</v>
      </c>
      <c r="B559" s="2" t="s">
        <v>596</v>
      </c>
      <c r="D559" s="2" t="s">
        <v>871</v>
      </c>
      <c r="E559" s="2"/>
      <c r="F559" s="2">
        <v>6527991.0</v>
      </c>
      <c r="G559" s="2">
        <v>2.8544759E7</v>
      </c>
      <c r="H559" s="2">
        <v>395600.0</v>
      </c>
      <c r="I559" s="2">
        <v>3.546835E7</v>
      </c>
      <c r="J559" s="2">
        <v>2.767721E7</v>
      </c>
      <c r="K559" s="2">
        <v>7791140.0</v>
      </c>
      <c r="N559" s="2"/>
      <c r="X559" s="2"/>
      <c r="AC559" s="2"/>
      <c r="AD559" s="2"/>
      <c r="AE559" s="2"/>
      <c r="AF559" s="2"/>
    </row>
    <row r="560">
      <c r="A560" s="2">
        <v>2020.0</v>
      </c>
      <c r="B560" s="2" t="s">
        <v>595</v>
      </c>
      <c r="D560" s="2" t="s">
        <v>719</v>
      </c>
      <c r="E560" s="2"/>
      <c r="F560" s="2">
        <v>5.9025717E7</v>
      </c>
      <c r="G560" s="2" t="s">
        <v>876</v>
      </c>
      <c r="H560" s="2"/>
      <c r="J560" s="2"/>
      <c r="K560" s="2"/>
      <c r="L560" s="2"/>
      <c r="M560" s="2"/>
      <c r="N560" s="2"/>
      <c r="O560" s="2"/>
      <c r="X560" s="2"/>
      <c r="Y560" s="2"/>
      <c r="Z560" s="2"/>
      <c r="AA560" s="2"/>
      <c r="AB560" s="2"/>
      <c r="AC560" s="2"/>
      <c r="AD560" s="2"/>
      <c r="AE560" s="2"/>
      <c r="AF560" s="2"/>
    </row>
    <row r="561">
      <c r="A561" s="2">
        <v>2020.0</v>
      </c>
      <c r="B561" s="1" t="s">
        <v>213</v>
      </c>
      <c r="D561" s="2" t="s">
        <v>618</v>
      </c>
      <c r="E561" s="1" t="s">
        <v>201</v>
      </c>
      <c r="F561" s="2">
        <v>1429000.0</v>
      </c>
      <c r="G561" s="2">
        <v>1.7509E7</v>
      </c>
      <c r="H561" s="2">
        <v>119000.0</v>
      </c>
      <c r="I561" s="2">
        <v>1.9057E7</v>
      </c>
      <c r="J561" s="2">
        <v>1.8856E7</v>
      </c>
      <c r="K561" s="2">
        <v>201000.0</v>
      </c>
      <c r="M561" s="2"/>
      <c r="T561" s="2"/>
    </row>
    <row r="562">
      <c r="A562" s="2">
        <v>2020.0</v>
      </c>
      <c r="B562" s="1" t="s">
        <v>213</v>
      </c>
      <c r="D562" s="2" t="s">
        <v>877</v>
      </c>
      <c r="E562" s="1" t="s">
        <v>201</v>
      </c>
      <c r="F562" s="2">
        <v>3400000.0</v>
      </c>
      <c r="G562" s="2">
        <v>2790402.0</v>
      </c>
      <c r="H562" s="2">
        <v>0.0</v>
      </c>
      <c r="I562" s="2">
        <v>6190402.0</v>
      </c>
      <c r="J562" s="2">
        <v>5149491.0</v>
      </c>
      <c r="K562" s="2">
        <v>1040911.0</v>
      </c>
      <c r="M562" s="2"/>
      <c r="T562" s="2"/>
    </row>
    <row r="563">
      <c r="A563" s="2">
        <v>2020.0</v>
      </c>
      <c r="B563" s="1" t="s">
        <v>213</v>
      </c>
      <c r="D563" s="2" t="s">
        <v>623</v>
      </c>
      <c r="E563" s="1" t="s">
        <v>201</v>
      </c>
      <c r="F563" s="2">
        <v>4256935.0</v>
      </c>
      <c r="G563" s="2">
        <v>4.5292558E7</v>
      </c>
      <c r="H563" s="2">
        <v>165507.0</v>
      </c>
      <c r="I563" s="2">
        <v>4.9715E7</v>
      </c>
      <c r="J563" s="2">
        <v>4.3269882E7</v>
      </c>
      <c r="K563" s="2">
        <v>6445118.0</v>
      </c>
      <c r="M563" s="2"/>
      <c r="T563" s="2"/>
    </row>
    <row r="564">
      <c r="A564" s="2">
        <v>2020.0</v>
      </c>
      <c r="B564" s="1" t="s">
        <v>332</v>
      </c>
      <c r="D564" s="2" t="s">
        <v>618</v>
      </c>
      <c r="E564" s="1" t="s">
        <v>201</v>
      </c>
      <c r="F564" s="2">
        <v>201000.0</v>
      </c>
      <c r="G564" s="2">
        <v>3.1171E7</v>
      </c>
      <c r="H564" s="2">
        <v>89000.0</v>
      </c>
      <c r="I564" s="2">
        <v>3.1461E7</v>
      </c>
      <c r="J564" s="2">
        <v>3.0744E7</v>
      </c>
      <c r="K564" s="2">
        <v>717000.0</v>
      </c>
      <c r="M564" s="2"/>
      <c r="T564" s="2"/>
    </row>
    <row r="565">
      <c r="A565" s="2">
        <v>2020.0</v>
      </c>
      <c r="B565" s="1" t="s">
        <v>332</v>
      </c>
      <c r="D565" s="2" t="s">
        <v>877</v>
      </c>
      <c r="E565" s="1" t="s">
        <v>201</v>
      </c>
      <c r="F565" s="2">
        <v>1040911.0</v>
      </c>
      <c r="G565" s="2">
        <v>3776108.0</v>
      </c>
      <c r="H565" s="2">
        <v>0.0</v>
      </c>
      <c r="I565" s="2">
        <v>4817019.0</v>
      </c>
      <c r="J565" s="2">
        <v>4817019.0</v>
      </c>
      <c r="K565" s="2">
        <v>0.0</v>
      </c>
      <c r="M565" s="2"/>
      <c r="T565" s="2"/>
    </row>
    <row r="566">
      <c r="A566" s="2">
        <v>2020.0</v>
      </c>
      <c r="B566" s="1" t="s">
        <v>332</v>
      </c>
      <c r="D566" s="2" t="s">
        <v>623</v>
      </c>
      <c r="E566" s="1" t="s">
        <v>201</v>
      </c>
      <c r="F566" s="2">
        <v>6445118.0</v>
      </c>
      <c r="G566" s="2">
        <v>7.5463486E7</v>
      </c>
      <c r="H566" s="2">
        <v>110776.0</v>
      </c>
      <c r="I566" s="2">
        <v>8.201938E7</v>
      </c>
      <c r="J566" s="2">
        <v>8.2015881E7</v>
      </c>
      <c r="K566" s="2">
        <v>3499.0</v>
      </c>
      <c r="M566" s="2"/>
      <c r="T566" s="2"/>
    </row>
    <row r="567">
      <c r="A567" s="2">
        <v>2020.0</v>
      </c>
      <c r="B567" s="1" t="s">
        <v>595</v>
      </c>
      <c r="D567" s="2" t="s">
        <v>753</v>
      </c>
      <c r="E567" s="1" t="s">
        <v>201</v>
      </c>
      <c r="F567" s="2">
        <v>297332.0</v>
      </c>
      <c r="G567" s="2"/>
      <c r="H567" s="2">
        <v>19474.0</v>
      </c>
      <c r="I567" s="2">
        <v>6028328.0</v>
      </c>
      <c r="J567" s="2">
        <v>5182419.0</v>
      </c>
      <c r="K567" s="2">
        <v>845909.0</v>
      </c>
      <c r="L567" s="2"/>
      <c r="T567" s="2"/>
    </row>
    <row r="568">
      <c r="A568" s="2">
        <v>2020.0</v>
      </c>
      <c r="B568" s="1" t="s">
        <v>595</v>
      </c>
      <c r="D568" s="2" t="s">
        <v>764</v>
      </c>
      <c r="E568" s="1" t="s">
        <v>201</v>
      </c>
      <c r="F568" s="2">
        <v>619929.0</v>
      </c>
      <c r="G568" s="2"/>
      <c r="H568" s="2">
        <v>52431.0</v>
      </c>
      <c r="I568" s="2">
        <v>5333360.0</v>
      </c>
      <c r="J568" s="2">
        <v>5082255.0</v>
      </c>
      <c r="K568" s="2">
        <v>251105.0</v>
      </c>
      <c r="L568" s="2"/>
      <c r="T568" s="2"/>
    </row>
    <row r="569">
      <c r="A569" s="2">
        <v>2020.0</v>
      </c>
      <c r="B569" s="1" t="s">
        <v>595</v>
      </c>
      <c r="D569" s="2" t="s">
        <v>618</v>
      </c>
      <c r="E569" s="1" t="s">
        <v>201</v>
      </c>
      <c r="F569" s="2">
        <v>717000.0</v>
      </c>
      <c r="G569" s="2"/>
      <c r="H569" s="2">
        <v>54000.0</v>
      </c>
      <c r="I569" s="2">
        <v>1.3227E7</v>
      </c>
      <c r="J569" s="2">
        <v>1.2953E7</v>
      </c>
      <c r="K569" s="2">
        <v>274000.0</v>
      </c>
      <c r="L569" s="2"/>
      <c r="T569" s="2"/>
    </row>
    <row r="570">
      <c r="A570" s="2">
        <v>2020.0</v>
      </c>
      <c r="B570" s="1" t="s">
        <v>595</v>
      </c>
      <c r="D570" s="2" t="s">
        <v>623</v>
      </c>
      <c r="E570" s="1" t="s">
        <v>201</v>
      </c>
      <c r="F570" s="2">
        <v>3499.0</v>
      </c>
      <c r="G570" s="2"/>
      <c r="H570" s="2">
        <v>64747.0</v>
      </c>
      <c r="I570" s="2">
        <v>3.470463E7</v>
      </c>
      <c r="J570" s="2">
        <v>3.46621E7</v>
      </c>
      <c r="K570" s="2">
        <v>42530.0</v>
      </c>
      <c r="L570" s="2"/>
      <c r="T570" s="2"/>
    </row>
    <row r="571">
      <c r="A571" s="2">
        <v>2020.0</v>
      </c>
      <c r="B571" s="1" t="s">
        <v>596</v>
      </c>
      <c r="D571" s="2" t="s">
        <v>753</v>
      </c>
      <c r="E571" s="1" t="s">
        <v>201</v>
      </c>
      <c r="F571" s="2">
        <v>845909.0</v>
      </c>
      <c r="G571" s="2"/>
      <c r="H571" s="2">
        <v>5003.0</v>
      </c>
      <c r="I571" s="2">
        <v>2850912.0</v>
      </c>
      <c r="J571" s="2">
        <v>2775199.0</v>
      </c>
      <c r="K571" s="2">
        <v>75713.0</v>
      </c>
      <c r="L571" s="2"/>
      <c r="T571" s="2"/>
    </row>
    <row r="572">
      <c r="A572" s="2">
        <v>2020.0</v>
      </c>
      <c r="B572" s="1" t="s">
        <v>596</v>
      </c>
      <c r="D572" s="2" t="s">
        <v>764</v>
      </c>
      <c r="E572" s="1" t="s">
        <v>201</v>
      </c>
      <c r="F572" s="2">
        <v>251105.0</v>
      </c>
      <c r="G572" s="2"/>
      <c r="H572" s="2">
        <v>22505.0</v>
      </c>
      <c r="I572" s="2">
        <v>583058.0</v>
      </c>
      <c r="J572" s="2">
        <v>314259.0</v>
      </c>
      <c r="K572" s="2">
        <v>268799.0</v>
      </c>
      <c r="L572" s="2"/>
      <c r="T572" s="2"/>
    </row>
    <row r="573">
      <c r="A573" s="2">
        <v>2020.0</v>
      </c>
      <c r="B573" s="1" t="s">
        <v>596</v>
      </c>
      <c r="D573" s="2" t="s">
        <v>618</v>
      </c>
      <c r="E573" s="1" t="s">
        <v>201</v>
      </c>
      <c r="F573" s="2">
        <v>274000.0</v>
      </c>
      <c r="G573" s="2"/>
      <c r="H573" s="2">
        <v>7000.0</v>
      </c>
      <c r="I573" s="2">
        <v>306000.0</v>
      </c>
      <c r="J573" s="2">
        <v>267000.0</v>
      </c>
      <c r="K573" s="2">
        <v>39000.0</v>
      </c>
      <c r="L573" s="2"/>
      <c r="T573" s="2"/>
    </row>
    <row r="574">
      <c r="A574" s="2">
        <v>2020.0</v>
      </c>
      <c r="B574" s="1" t="s">
        <v>596</v>
      </c>
      <c r="D574" s="2" t="s">
        <v>623</v>
      </c>
      <c r="E574" s="1" t="s">
        <v>201</v>
      </c>
      <c r="F574" s="2">
        <v>42530.0</v>
      </c>
      <c r="G574" s="2"/>
      <c r="H574" s="2">
        <v>6133.0</v>
      </c>
      <c r="I574" s="2">
        <v>518399.0</v>
      </c>
      <c r="J574" s="2">
        <v>512266.0</v>
      </c>
      <c r="K574" s="2">
        <v>6133.0</v>
      </c>
      <c r="L574" s="2"/>
      <c r="T574" s="2"/>
    </row>
    <row r="575">
      <c r="A575" s="2">
        <v>2021.0</v>
      </c>
      <c r="B575" s="1" t="s">
        <v>213</v>
      </c>
      <c r="C575" s="5" t="s">
        <v>603</v>
      </c>
      <c r="D575" s="5" t="s">
        <v>604</v>
      </c>
      <c r="F575" s="5">
        <v>1783663.0</v>
      </c>
      <c r="G575" s="5">
        <v>1387635.0</v>
      </c>
      <c r="H575" s="5">
        <v>55591.0</v>
      </c>
      <c r="I575" s="5">
        <v>3226889.0</v>
      </c>
      <c r="J575" s="5">
        <v>2289364.0</v>
      </c>
      <c r="K575" s="5">
        <v>937525.0</v>
      </c>
    </row>
    <row r="576">
      <c r="A576" s="2">
        <v>2021.0</v>
      </c>
      <c r="B576" s="1" t="s">
        <v>213</v>
      </c>
      <c r="D576" s="5" t="s">
        <v>607</v>
      </c>
      <c r="F576" s="5">
        <v>575948.0</v>
      </c>
      <c r="G576" s="5">
        <v>2416818.0</v>
      </c>
      <c r="H576" s="5">
        <v>37414.0</v>
      </c>
      <c r="I576" s="5">
        <v>3030180.0</v>
      </c>
      <c r="J576" s="5">
        <v>1909420.0</v>
      </c>
      <c r="K576" s="5">
        <v>1120760.0</v>
      </c>
    </row>
    <row r="577">
      <c r="A577" s="2">
        <v>2021.0</v>
      </c>
      <c r="B577" s="1" t="s">
        <v>213</v>
      </c>
      <c r="D577" s="5" t="s">
        <v>79</v>
      </c>
      <c r="F577" s="5">
        <v>1230876.0</v>
      </c>
      <c r="G577" s="5">
        <v>739145.0</v>
      </c>
      <c r="H577" s="5">
        <v>29534.0</v>
      </c>
      <c r="I577" s="5">
        <v>1999555.0</v>
      </c>
      <c r="J577" s="5">
        <v>1783729.0</v>
      </c>
      <c r="K577" s="5">
        <v>215826.0</v>
      </c>
    </row>
    <row r="578">
      <c r="A578" s="2">
        <v>2021.0</v>
      </c>
      <c r="B578" s="1" t="s">
        <v>213</v>
      </c>
      <c r="D578" s="5" t="s">
        <v>610</v>
      </c>
      <c r="F578" s="5">
        <v>1122510.0</v>
      </c>
      <c r="G578" s="5">
        <v>1180890.0</v>
      </c>
      <c r="H578" s="5">
        <v>21556.0</v>
      </c>
      <c r="I578" s="5">
        <v>2324956.0</v>
      </c>
      <c r="J578" s="5">
        <v>1722727.0</v>
      </c>
      <c r="K578" s="5">
        <v>602229.0</v>
      </c>
    </row>
    <row r="579">
      <c r="A579" s="2">
        <v>2021.0</v>
      </c>
      <c r="B579" s="1" t="s">
        <v>213</v>
      </c>
      <c r="D579" s="5" t="s">
        <v>612</v>
      </c>
      <c r="F579" s="5">
        <v>1325940.0</v>
      </c>
      <c r="G579" s="5">
        <v>1473731.0</v>
      </c>
      <c r="H579" s="5">
        <v>24944.0</v>
      </c>
      <c r="I579" s="5">
        <v>2824615.0</v>
      </c>
      <c r="J579" s="5">
        <v>2453967.0</v>
      </c>
      <c r="K579" s="5">
        <v>370648.0</v>
      </c>
    </row>
    <row r="580">
      <c r="A580" s="2">
        <v>2021.0</v>
      </c>
      <c r="B580" s="1" t="s">
        <v>213</v>
      </c>
      <c r="D580" s="5" t="s">
        <v>615</v>
      </c>
      <c r="F580" s="5">
        <v>362889.0</v>
      </c>
      <c r="G580" s="5">
        <v>1679460.0</v>
      </c>
      <c r="H580" s="5">
        <v>38097.0</v>
      </c>
      <c r="I580" s="5">
        <v>2080446.0</v>
      </c>
      <c r="J580" s="5">
        <v>1085181.0</v>
      </c>
      <c r="K580" s="5">
        <v>995265.0</v>
      </c>
    </row>
    <row r="581">
      <c r="A581" s="2">
        <v>2021.0</v>
      </c>
      <c r="B581" s="1" t="s">
        <v>213</v>
      </c>
      <c r="C581" s="5" t="s">
        <v>618</v>
      </c>
      <c r="D581" s="5" t="s">
        <v>618</v>
      </c>
      <c r="F581" s="5">
        <v>1156998.0</v>
      </c>
      <c r="G581" s="5">
        <v>3753640.0</v>
      </c>
      <c r="H581" s="5">
        <v>64458.0</v>
      </c>
      <c r="I581" s="5">
        <v>4975096.0</v>
      </c>
      <c r="J581" s="5">
        <v>1487023.0</v>
      </c>
      <c r="K581" s="5">
        <v>3488073.0</v>
      </c>
    </row>
    <row r="582">
      <c r="A582" s="2">
        <v>2021.0</v>
      </c>
      <c r="B582" s="1" t="s">
        <v>213</v>
      </c>
      <c r="D582" s="5" t="s">
        <v>619</v>
      </c>
      <c r="F582" s="5">
        <v>867159.0</v>
      </c>
      <c r="G582" s="5">
        <v>1281718.0</v>
      </c>
      <c r="H582" s="5">
        <v>27251.0</v>
      </c>
      <c r="I582" s="5">
        <v>2176128.0</v>
      </c>
      <c r="J582" s="5">
        <v>1113238.0</v>
      </c>
      <c r="K582" s="5">
        <v>1062890.0</v>
      </c>
    </row>
    <row r="583">
      <c r="A583" s="2">
        <v>2021.0</v>
      </c>
      <c r="B583" s="1" t="s">
        <v>213</v>
      </c>
      <c r="D583" s="5" t="s">
        <v>621</v>
      </c>
      <c r="F583" s="5">
        <v>513546.0</v>
      </c>
      <c r="G583" s="5">
        <v>2880915.0</v>
      </c>
      <c r="H583" s="5">
        <v>34940.0</v>
      </c>
      <c r="I583" s="5">
        <v>3429401.0</v>
      </c>
      <c r="J583" s="5">
        <v>1662148.0</v>
      </c>
      <c r="K583" s="5">
        <v>1767253.0</v>
      </c>
    </row>
    <row r="584">
      <c r="A584" s="2">
        <v>2021.0</v>
      </c>
      <c r="B584" s="1" t="s">
        <v>213</v>
      </c>
      <c r="C584" s="5" t="s">
        <v>623</v>
      </c>
      <c r="D584" s="5" t="s">
        <v>624</v>
      </c>
      <c r="F584" s="5">
        <v>152531.0</v>
      </c>
      <c r="G584" s="5">
        <v>1564758.0</v>
      </c>
      <c r="H584" s="5">
        <v>11469.0</v>
      </c>
      <c r="I584" s="5">
        <v>1728758.0</v>
      </c>
      <c r="J584" s="5">
        <v>1688391.0</v>
      </c>
      <c r="K584" s="5">
        <v>40367.0</v>
      </c>
    </row>
    <row r="585">
      <c r="A585" s="2">
        <v>2021.0</v>
      </c>
      <c r="B585" s="1" t="s">
        <v>213</v>
      </c>
      <c r="D585" s="5" t="s">
        <v>731</v>
      </c>
      <c r="F585" s="5">
        <v>142873.0</v>
      </c>
      <c r="G585" s="5">
        <v>1493527.0</v>
      </c>
      <c r="H585" s="5">
        <v>15803.0</v>
      </c>
      <c r="I585" s="5">
        <v>1652203.0</v>
      </c>
      <c r="J585" s="5">
        <v>1365400.0</v>
      </c>
      <c r="K585" s="5">
        <v>286803.0</v>
      </c>
    </row>
    <row r="586">
      <c r="A586" s="2">
        <v>2021.0</v>
      </c>
      <c r="B586" s="1" t="s">
        <v>213</v>
      </c>
      <c r="D586" s="5" t="s">
        <v>628</v>
      </c>
      <c r="F586" s="5">
        <v>11389.0</v>
      </c>
      <c r="G586" s="5">
        <v>1545155.0</v>
      </c>
      <c r="H586" s="5">
        <v>11781.0</v>
      </c>
      <c r="I586" s="5">
        <v>1568325.0</v>
      </c>
      <c r="J586" s="5">
        <v>1226626.0</v>
      </c>
      <c r="K586" s="5">
        <v>341699.0</v>
      </c>
    </row>
    <row r="587">
      <c r="A587" s="2">
        <v>2021.0</v>
      </c>
      <c r="B587" s="1" t="s">
        <v>213</v>
      </c>
      <c r="D587" s="5" t="s">
        <v>630</v>
      </c>
      <c r="F587" s="5">
        <v>211948.0</v>
      </c>
      <c r="G587" s="5">
        <v>1341482.0</v>
      </c>
      <c r="H587" s="5">
        <v>12660.0</v>
      </c>
      <c r="I587" s="5">
        <v>1566090.0</v>
      </c>
      <c r="J587" s="5">
        <v>1451316.0</v>
      </c>
      <c r="K587" s="5">
        <v>114774.0</v>
      </c>
    </row>
    <row r="588">
      <c r="A588" s="2">
        <v>2021.0</v>
      </c>
      <c r="B588" s="1" t="s">
        <v>213</v>
      </c>
      <c r="D588" s="5" t="s">
        <v>633</v>
      </c>
      <c r="F588" s="5">
        <v>40390.0</v>
      </c>
      <c r="G588" s="5">
        <v>1742527.0</v>
      </c>
      <c r="H588" s="5">
        <v>22147.0</v>
      </c>
      <c r="I588" s="4">
        <v>1805064.0</v>
      </c>
      <c r="J588" s="5">
        <v>1275332.0</v>
      </c>
      <c r="K588" s="4">
        <v>529732.0</v>
      </c>
    </row>
    <row r="589">
      <c r="A589" s="2">
        <v>2021.0</v>
      </c>
      <c r="B589" s="1" t="s">
        <v>213</v>
      </c>
      <c r="D589" s="5" t="s">
        <v>637</v>
      </c>
      <c r="F589" s="5">
        <v>452337.0</v>
      </c>
      <c r="G589" s="5">
        <v>3975140.0</v>
      </c>
      <c r="H589" s="5">
        <v>55344.0</v>
      </c>
      <c r="I589" s="5">
        <v>4482821.0</v>
      </c>
      <c r="J589" s="5">
        <v>3211300.0</v>
      </c>
      <c r="K589" s="5">
        <v>1271521.0</v>
      </c>
    </row>
    <row r="590">
      <c r="A590" s="2">
        <v>2021.0</v>
      </c>
      <c r="B590" s="1" t="s">
        <v>213</v>
      </c>
      <c r="D590" s="5" t="s">
        <v>638</v>
      </c>
      <c r="F590" s="5">
        <v>216771.0</v>
      </c>
      <c r="G590" s="5">
        <v>1291973.0</v>
      </c>
      <c r="H590" s="5">
        <v>4118.0</v>
      </c>
      <c r="I590" s="5">
        <v>1512862.0</v>
      </c>
      <c r="J590" s="5">
        <v>1329932.0</v>
      </c>
      <c r="K590" s="5">
        <v>182930.0</v>
      </c>
    </row>
    <row r="591">
      <c r="A591" s="2">
        <v>2021.0</v>
      </c>
      <c r="B591" s="1" t="s">
        <v>213</v>
      </c>
      <c r="D591" s="5" t="s">
        <v>640</v>
      </c>
      <c r="F591" s="5">
        <v>680644.0</v>
      </c>
      <c r="G591" s="5">
        <v>1740607.0</v>
      </c>
      <c r="H591" s="5">
        <v>28995.0</v>
      </c>
      <c r="I591" s="5">
        <v>2450246.0</v>
      </c>
      <c r="J591" s="5">
        <v>1758529.0</v>
      </c>
      <c r="K591" s="5">
        <v>691717.0</v>
      </c>
    </row>
    <row r="592">
      <c r="A592" s="2">
        <v>2021.0</v>
      </c>
      <c r="B592" s="1" t="s">
        <v>213</v>
      </c>
      <c r="C592" s="5" t="s">
        <v>641</v>
      </c>
      <c r="D592" s="5" t="s">
        <v>642</v>
      </c>
      <c r="F592" s="5">
        <v>816883.0</v>
      </c>
      <c r="G592" s="5">
        <v>1807340.75</v>
      </c>
      <c r="H592" s="5">
        <v>42493.0</v>
      </c>
      <c r="I592" s="5">
        <v>2666716.78</v>
      </c>
      <c r="J592" s="5">
        <v>903066.5</v>
      </c>
      <c r="K592" s="5">
        <v>1763650.28</v>
      </c>
    </row>
    <row r="593">
      <c r="A593" s="2">
        <v>2021.0</v>
      </c>
      <c r="B593" s="1" t="s">
        <v>213</v>
      </c>
      <c r="D593" s="5" t="s">
        <v>644</v>
      </c>
      <c r="F593" s="5">
        <v>1007175.6</v>
      </c>
      <c r="G593" s="5">
        <v>1952213.0</v>
      </c>
      <c r="H593" s="5">
        <v>59644.0</v>
      </c>
      <c r="I593" s="5">
        <v>3019032.6</v>
      </c>
      <c r="J593" s="5">
        <v>1843458.0</v>
      </c>
      <c r="K593" s="5">
        <v>1175574.6</v>
      </c>
    </row>
    <row r="594">
      <c r="A594" s="2">
        <v>2021.0</v>
      </c>
      <c r="B594" s="1" t="s">
        <v>213</v>
      </c>
      <c r="D594" s="5" t="s">
        <v>646</v>
      </c>
      <c r="F594" s="5">
        <v>797866.0</v>
      </c>
      <c r="G594" s="5">
        <v>2969020.0</v>
      </c>
      <c r="H594" s="5">
        <v>48831.0</v>
      </c>
      <c r="I594" s="5">
        <v>3815717.0</v>
      </c>
      <c r="J594" s="5">
        <v>2151280.0</v>
      </c>
      <c r="K594" s="5">
        <v>1664437.0</v>
      </c>
    </row>
    <row r="595">
      <c r="A595" s="2">
        <v>2021.0</v>
      </c>
      <c r="B595" s="1" t="s">
        <v>213</v>
      </c>
      <c r="D595" s="5" t="s">
        <v>647</v>
      </c>
      <c r="F595" s="5">
        <v>844830.0</v>
      </c>
      <c r="G595" s="5">
        <v>2116961.0</v>
      </c>
      <c r="H595" s="5">
        <v>45171.0</v>
      </c>
      <c r="I595" s="5">
        <v>3006962.0</v>
      </c>
      <c r="J595" s="5">
        <v>1743056.0</v>
      </c>
      <c r="K595" s="5">
        <v>1263906.0</v>
      </c>
    </row>
    <row r="596">
      <c r="A596" s="2">
        <v>2021.0</v>
      </c>
      <c r="B596" s="1" t="s">
        <v>213</v>
      </c>
      <c r="D596" s="5" t="s">
        <v>649</v>
      </c>
      <c r="F596" s="5">
        <v>566257.0</v>
      </c>
      <c r="G596" s="5">
        <v>2687845.0</v>
      </c>
      <c r="H596" s="5">
        <v>46770.0</v>
      </c>
      <c r="I596" s="5">
        <v>3300872.0</v>
      </c>
      <c r="J596" s="5">
        <v>1563096.0</v>
      </c>
      <c r="K596" s="5">
        <v>1737776.0</v>
      </c>
    </row>
    <row r="597">
      <c r="A597" s="2">
        <v>2021.0</v>
      </c>
      <c r="B597" s="1" t="s">
        <v>213</v>
      </c>
      <c r="D597" s="5" t="s">
        <v>652</v>
      </c>
      <c r="F597" s="5">
        <v>771179.0</v>
      </c>
      <c r="G597" s="5">
        <v>1614470.0</v>
      </c>
      <c r="H597" s="5">
        <v>35146.0</v>
      </c>
      <c r="I597" s="5">
        <v>2420795.0</v>
      </c>
      <c r="J597" s="5">
        <v>1625843.0</v>
      </c>
      <c r="K597" s="5">
        <v>794952.0</v>
      </c>
    </row>
    <row r="598">
      <c r="A598" s="2">
        <v>2021.0</v>
      </c>
      <c r="B598" s="1" t="s">
        <v>213</v>
      </c>
      <c r="D598" s="5" t="s">
        <v>655</v>
      </c>
      <c r="F598" s="5">
        <v>884546.0</v>
      </c>
      <c r="G598" s="5">
        <v>2073696.0</v>
      </c>
      <c r="H598" s="5">
        <v>51743.0</v>
      </c>
      <c r="I598" s="5">
        <v>3009985.0</v>
      </c>
      <c r="J598" s="5">
        <v>1082483.0</v>
      </c>
      <c r="K598" s="5">
        <v>1927502.0</v>
      </c>
    </row>
    <row r="599">
      <c r="A599" s="2">
        <v>2021.0</v>
      </c>
      <c r="B599" s="1" t="s">
        <v>213</v>
      </c>
      <c r="D599" s="5" t="s">
        <v>894</v>
      </c>
      <c r="F599" s="5">
        <v>196648.23</v>
      </c>
      <c r="G599" s="5">
        <v>1600080.0</v>
      </c>
      <c r="H599" s="5">
        <v>25682.0</v>
      </c>
      <c r="I599" s="5">
        <v>1822410.23</v>
      </c>
      <c r="J599" s="5">
        <v>638806.0</v>
      </c>
      <c r="K599" s="5">
        <v>1183604.23</v>
      </c>
    </row>
    <row r="600">
      <c r="A600" s="2">
        <v>2021.0</v>
      </c>
      <c r="B600" s="1" t="s">
        <v>213</v>
      </c>
      <c r="D600" s="5" t="s">
        <v>658</v>
      </c>
      <c r="F600" s="5">
        <v>156702.0</v>
      </c>
      <c r="G600" s="5">
        <v>1479725.0</v>
      </c>
      <c r="H600" s="5">
        <v>17322.0</v>
      </c>
      <c r="I600" s="5">
        <v>1653749.0</v>
      </c>
      <c r="J600" s="5">
        <v>1023026.0</v>
      </c>
      <c r="K600" s="5">
        <v>630723.0</v>
      </c>
    </row>
    <row r="601">
      <c r="A601" s="2">
        <v>2021.0</v>
      </c>
      <c r="B601" s="1" t="s">
        <v>332</v>
      </c>
      <c r="C601" s="5" t="s">
        <v>603</v>
      </c>
      <c r="D601" s="5" t="s">
        <v>604</v>
      </c>
      <c r="F601" s="5">
        <v>937525.0</v>
      </c>
      <c r="G601" s="5">
        <v>2508907.0</v>
      </c>
      <c r="H601" s="5">
        <v>20712.0</v>
      </c>
      <c r="I601" s="5">
        <v>3467144.0</v>
      </c>
      <c r="J601" s="5">
        <v>1759132.0</v>
      </c>
      <c r="K601" s="5">
        <v>1708012.0</v>
      </c>
    </row>
    <row r="602">
      <c r="A602" s="2">
        <v>2021.0</v>
      </c>
      <c r="B602" s="1" t="s">
        <v>332</v>
      </c>
      <c r="D602" s="5" t="s">
        <v>607</v>
      </c>
      <c r="F602" s="5">
        <v>1120760.0</v>
      </c>
      <c r="G602" s="5">
        <v>1787720.0</v>
      </c>
      <c r="H602" s="5">
        <v>36160.0</v>
      </c>
      <c r="I602" s="5">
        <v>2944640.0</v>
      </c>
      <c r="J602" s="5">
        <v>1584834.0</v>
      </c>
      <c r="K602" s="5">
        <v>1359806.0</v>
      </c>
    </row>
    <row r="603">
      <c r="A603" s="2">
        <v>2021.0</v>
      </c>
      <c r="B603" s="1" t="s">
        <v>332</v>
      </c>
      <c r="D603" s="5" t="s">
        <v>79</v>
      </c>
      <c r="F603" s="5">
        <v>215826.0</v>
      </c>
      <c r="G603" s="5">
        <v>1683793.0</v>
      </c>
      <c r="H603" s="5">
        <v>9737.0</v>
      </c>
      <c r="I603" s="5">
        <v>1909356.0</v>
      </c>
      <c r="J603" s="5">
        <v>1217230.0</v>
      </c>
      <c r="K603" s="5">
        <v>692126.0</v>
      </c>
    </row>
    <row r="604">
      <c r="A604" s="2">
        <v>2021.0</v>
      </c>
      <c r="B604" s="1" t="s">
        <v>332</v>
      </c>
      <c r="D604" s="5" t="s">
        <v>610</v>
      </c>
      <c r="F604" s="5">
        <v>602229.0</v>
      </c>
      <c r="G604" s="5">
        <v>1965974.0</v>
      </c>
      <c r="H604" s="5">
        <v>6731.0</v>
      </c>
      <c r="I604" s="5">
        <v>2572006.0</v>
      </c>
      <c r="J604" s="5">
        <v>1496963.0</v>
      </c>
      <c r="K604" s="5">
        <v>1075043.0</v>
      </c>
    </row>
    <row r="605">
      <c r="A605" s="2">
        <v>2021.0</v>
      </c>
      <c r="B605" s="1" t="s">
        <v>332</v>
      </c>
      <c r="D605" s="5" t="s">
        <v>612</v>
      </c>
      <c r="F605" s="5">
        <v>370648.0</v>
      </c>
      <c r="G605" s="5">
        <v>1944973.0</v>
      </c>
      <c r="H605" s="5">
        <v>11977.0</v>
      </c>
      <c r="I605" s="5">
        <v>2327598.0</v>
      </c>
      <c r="J605" s="5">
        <v>1326888.0</v>
      </c>
      <c r="K605" s="5">
        <v>1000710.0</v>
      </c>
    </row>
    <row r="606">
      <c r="A606" s="2">
        <v>2021.0</v>
      </c>
      <c r="B606" s="1" t="s">
        <v>332</v>
      </c>
      <c r="D606" s="5" t="s">
        <v>615</v>
      </c>
      <c r="F606" s="5">
        <v>995265.0</v>
      </c>
      <c r="G606" s="5">
        <v>1257520.0</v>
      </c>
      <c r="H606" s="5">
        <v>40551.0</v>
      </c>
      <c r="I606" s="5">
        <v>2293336.0</v>
      </c>
      <c r="J606" s="5">
        <v>974842.0</v>
      </c>
      <c r="K606" s="5">
        <v>1318494.0</v>
      </c>
    </row>
    <row r="607">
      <c r="A607" s="2">
        <v>2021.0</v>
      </c>
      <c r="B607" s="1" t="s">
        <v>332</v>
      </c>
      <c r="C607" s="5" t="s">
        <v>618</v>
      </c>
      <c r="D607" s="5" t="s">
        <v>618</v>
      </c>
      <c r="F607" s="5">
        <v>3488072.0</v>
      </c>
      <c r="G607" s="5">
        <v>4232487.0</v>
      </c>
      <c r="H607" s="5">
        <v>141868.0</v>
      </c>
      <c r="I607" s="5">
        <v>7862427.0</v>
      </c>
      <c r="J607" s="5">
        <v>1403303.9</v>
      </c>
      <c r="K607" s="5">
        <v>6459123.0</v>
      </c>
    </row>
    <row r="608">
      <c r="A608" s="2">
        <v>2021.0</v>
      </c>
      <c r="B608" s="1" t="s">
        <v>332</v>
      </c>
      <c r="D608" s="5" t="s">
        <v>619</v>
      </c>
      <c r="F608" s="5">
        <v>1062890.0</v>
      </c>
      <c r="G608" s="5">
        <v>2410380.0</v>
      </c>
      <c r="H608" s="5">
        <v>42161.0</v>
      </c>
      <c r="I608" s="5">
        <v>3515431.0</v>
      </c>
      <c r="J608" s="5">
        <v>1791225.0</v>
      </c>
      <c r="K608" s="5">
        <v>1724206.0</v>
      </c>
    </row>
    <row r="609">
      <c r="A609" s="2">
        <v>2021.0</v>
      </c>
      <c r="B609" s="1" t="s">
        <v>332</v>
      </c>
      <c r="D609" s="5" t="s">
        <v>621</v>
      </c>
      <c r="F609" s="5">
        <v>1767253.0</v>
      </c>
      <c r="G609" s="5">
        <v>3789549.0</v>
      </c>
      <c r="H609" s="5">
        <v>87443.0</v>
      </c>
      <c r="I609" s="5">
        <v>5644245.0</v>
      </c>
      <c r="J609" s="5">
        <v>899269.0</v>
      </c>
      <c r="K609" s="5">
        <v>4744976.0</v>
      </c>
    </row>
    <row r="610">
      <c r="A610" s="2">
        <v>2021.0</v>
      </c>
      <c r="B610" s="1" t="s">
        <v>332</v>
      </c>
      <c r="C610" s="5" t="s">
        <v>623</v>
      </c>
      <c r="D610" s="5" t="s">
        <v>624</v>
      </c>
      <c r="F610" s="5">
        <v>40367.0</v>
      </c>
      <c r="G610" s="5">
        <v>1077785.0</v>
      </c>
      <c r="H610" s="5">
        <v>900.0</v>
      </c>
      <c r="I610" s="5">
        <v>1116040.0</v>
      </c>
      <c r="J610" s="5">
        <v>741946.0</v>
      </c>
      <c r="K610" s="5">
        <v>374094.0</v>
      </c>
    </row>
    <row r="611">
      <c r="A611" s="2">
        <v>2021.0</v>
      </c>
      <c r="B611" s="1" t="s">
        <v>332</v>
      </c>
      <c r="D611" s="5" t="s">
        <v>731</v>
      </c>
      <c r="F611" s="5">
        <v>286803.0</v>
      </c>
      <c r="G611" s="5">
        <v>977500.0</v>
      </c>
      <c r="H611" s="5">
        <v>248.0</v>
      </c>
      <c r="I611" s="5">
        <v>1341478.0</v>
      </c>
      <c r="J611" s="5">
        <v>857580.0</v>
      </c>
      <c r="K611" s="5">
        <v>483898.0</v>
      </c>
    </row>
    <row r="612">
      <c r="A612" s="2">
        <v>2021.0</v>
      </c>
      <c r="B612" s="1" t="s">
        <v>332</v>
      </c>
      <c r="D612" s="5" t="s">
        <v>628</v>
      </c>
      <c r="F612" s="5">
        <v>341699.0</v>
      </c>
      <c r="G612" s="5">
        <v>1530527.0</v>
      </c>
      <c r="H612" s="5">
        <v>2995.0</v>
      </c>
      <c r="I612" s="5">
        <v>1875211.0</v>
      </c>
      <c r="J612" s="5">
        <v>884608.0</v>
      </c>
      <c r="K612" s="5">
        <v>990603.0</v>
      </c>
    </row>
    <row r="613">
      <c r="A613" s="2">
        <v>2021.0</v>
      </c>
      <c r="B613" s="1" t="s">
        <v>332</v>
      </c>
      <c r="D613" s="5" t="s">
        <v>630</v>
      </c>
      <c r="F613" s="5">
        <v>114774.0</v>
      </c>
      <c r="G613" s="5">
        <v>1370100.0</v>
      </c>
      <c r="H613" s="5">
        <v>4301.0</v>
      </c>
      <c r="I613" s="5">
        <v>1426372.0</v>
      </c>
      <c r="J613" s="5">
        <v>634483.0</v>
      </c>
      <c r="K613" s="5">
        <v>791889.0</v>
      </c>
    </row>
    <row r="614">
      <c r="A614" s="2">
        <v>2021.0</v>
      </c>
      <c r="B614" s="1" t="s">
        <v>332</v>
      </c>
      <c r="D614" s="5" t="s">
        <v>633</v>
      </c>
      <c r="F614" s="5">
        <v>529732.0</v>
      </c>
      <c r="G614" s="5">
        <v>1846300.0</v>
      </c>
      <c r="H614" s="5">
        <v>10214.0</v>
      </c>
      <c r="I614" s="5">
        <v>2386246.0</v>
      </c>
      <c r="J614" s="5">
        <v>788165.0</v>
      </c>
      <c r="K614" s="5">
        <v>1598081.0</v>
      </c>
    </row>
    <row r="615">
      <c r="A615" s="2">
        <v>2021.0</v>
      </c>
      <c r="B615" s="1" t="s">
        <v>332</v>
      </c>
      <c r="D615" s="5" t="s">
        <v>637</v>
      </c>
      <c r="F615" s="5">
        <v>1271521.0</v>
      </c>
      <c r="G615" s="5">
        <v>2829537.0</v>
      </c>
      <c r="H615" s="5">
        <v>37865.0</v>
      </c>
      <c r="I615" s="5">
        <v>3925095.0</v>
      </c>
      <c r="J615" s="5">
        <v>1932925.0</v>
      </c>
      <c r="K615" s="5">
        <v>1992170.0</v>
      </c>
    </row>
    <row r="616">
      <c r="A616" s="2">
        <v>2021.0</v>
      </c>
      <c r="B616" s="1" t="s">
        <v>332</v>
      </c>
      <c r="D616" s="5" t="s">
        <v>638</v>
      </c>
      <c r="F616" s="5">
        <v>182930.0</v>
      </c>
      <c r="G616" s="5">
        <v>934405.0</v>
      </c>
      <c r="H616" s="5">
        <v>3329.0</v>
      </c>
      <c r="I616" s="5">
        <v>1122220.0</v>
      </c>
      <c r="J616" s="5">
        <v>606767.0</v>
      </c>
      <c r="K616" s="5">
        <v>515453.0</v>
      </c>
    </row>
    <row r="617">
      <c r="A617" s="2">
        <v>2021.0</v>
      </c>
      <c r="B617" s="1" t="s">
        <v>332</v>
      </c>
      <c r="D617" s="5" t="s">
        <v>640</v>
      </c>
      <c r="F617" s="5">
        <v>691717.0</v>
      </c>
      <c r="G617" s="5">
        <v>1581371.0</v>
      </c>
      <c r="H617" s="5">
        <v>16470.0</v>
      </c>
      <c r="I617" s="5">
        <v>2289556.0</v>
      </c>
      <c r="J617" s="5">
        <v>908266.0</v>
      </c>
      <c r="K617" s="5">
        <v>1381290.0</v>
      </c>
    </row>
    <row r="618">
      <c r="A618" s="2">
        <v>2021.0</v>
      </c>
      <c r="B618" s="1" t="s">
        <v>332</v>
      </c>
      <c r="C618" s="5" t="s">
        <v>641</v>
      </c>
      <c r="D618" s="5" t="s">
        <v>642</v>
      </c>
      <c r="F618" s="5">
        <v>1763650.3</v>
      </c>
      <c r="G618" s="5">
        <v>4239731.69</v>
      </c>
      <c r="H618" s="5">
        <v>106098.0</v>
      </c>
      <c r="I618" s="5">
        <v>6109479.97</v>
      </c>
      <c r="J618" s="5">
        <v>1126940.0</v>
      </c>
      <c r="K618" s="5">
        <v>4982539.97</v>
      </c>
    </row>
    <row r="619">
      <c r="A619" s="2">
        <v>2021.0</v>
      </c>
      <c r="B619" s="1" t="s">
        <v>332</v>
      </c>
      <c r="D619" s="5" t="s">
        <v>644</v>
      </c>
      <c r="F619" s="5">
        <v>1175574.6</v>
      </c>
      <c r="G619" s="5">
        <v>2233837.0</v>
      </c>
      <c r="H619" s="5">
        <v>50485.0</v>
      </c>
      <c r="I619" s="5">
        <v>3459896.6</v>
      </c>
      <c r="J619" s="5">
        <v>1904572.0</v>
      </c>
      <c r="K619" s="5">
        <v>1555324.6</v>
      </c>
    </row>
    <row r="620">
      <c r="A620" s="2">
        <v>2021.0</v>
      </c>
      <c r="B620" s="1" t="s">
        <v>332</v>
      </c>
      <c r="D620" s="5" t="s">
        <v>646</v>
      </c>
      <c r="F620" s="5">
        <v>1664437.0</v>
      </c>
      <c r="G620" s="5">
        <v>4342017.0</v>
      </c>
      <c r="H620" s="5">
        <v>51942.0</v>
      </c>
      <c r="I620" s="5">
        <v>6058396.0</v>
      </c>
      <c r="J620" s="5">
        <v>2621874.0</v>
      </c>
      <c r="K620" s="5">
        <v>3305890.0</v>
      </c>
    </row>
    <row r="621">
      <c r="A621" s="2">
        <v>2021.0</v>
      </c>
      <c r="B621" s="1" t="s">
        <v>332</v>
      </c>
      <c r="D621" s="5" t="s">
        <v>647</v>
      </c>
      <c r="F621" s="5">
        <v>1263906.0</v>
      </c>
      <c r="G621" s="5">
        <v>5030598.0</v>
      </c>
      <c r="H621" s="5">
        <v>68485.0</v>
      </c>
      <c r="I621" s="5">
        <v>6362989.0</v>
      </c>
      <c r="J621" s="5">
        <v>4482565.0</v>
      </c>
      <c r="K621" s="5">
        <v>1880424.0</v>
      </c>
    </row>
    <row r="622">
      <c r="A622" s="2">
        <v>2021.0</v>
      </c>
      <c r="B622" s="1" t="s">
        <v>332</v>
      </c>
      <c r="D622" s="5" t="s">
        <v>649</v>
      </c>
      <c r="F622" s="5">
        <v>1737776.0</v>
      </c>
      <c r="G622" s="5">
        <v>3046812.0</v>
      </c>
      <c r="H622" s="5">
        <v>65922.0</v>
      </c>
      <c r="I622" s="5">
        <v>4850510.0</v>
      </c>
      <c r="J622" s="5">
        <v>1648776.0</v>
      </c>
      <c r="K622" s="5">
        <v>3201734.0</v>
      </c>
    </row>
    <row r="623">
      <c r="A623" s="2">
        <v>2021.0</v>
      </c>
      <c r="B623" s="1" t="s">
        <v>332</v>
      </c>
      <c r="D623" s="5" t="s">
        <v>652</v>
      </c>
      <c r="F623" s="5">
        <v>794952.0</v>
      </c>
      <c r="G623" s="5">
        <v>2332417.0</v>
      </c>
      <c r="H623" s="5">
        <v>29389.0</v>
      </c>
      <c r="I623" s="5">
        <v>3156758.0</v>
      </c>
      <c r="J623" s="5">
        <v>1349513.0</v>
      </c>
      <c r="K623" s="5">
        <v>1807245.0</v>
      </c>
    </row>
    <row r="624">
      <c r="A624" s="2">
        <v>2021.0</v>
      </c>
      <c r="B624" s="1" t="s">
        <v>332</v>
      </c>
      <c r="D624" s="5" t="s">
        <v>655</v>
      </c>
      <c r="F624" s="5">
        <v>1927502.0</v>
      </c>
      <c r="G624" s="5">
        <v>3626905.0</v>
      </c>
      <c r="H624" s="5">
        <v>67072.0</v>
      </c>
      <c r="I624" s="5">
        <v>5588515.0</v>
      </c>
      <c r="J624" s="5">
        <v>2253851.0</v>
      </c>
      <c r="K624" s="5">
        <v>3334664.0</v>
      </c>
    </row>
    <row r="625">
      <c r="A625" s="2">
        <v>2021.0</v>
      </c>
      <c r="B625" s="1" t="s">
        <v>332</v>
      </c>
      <c r="D625" s="5" t="s">
        <v>656</v>
      </c>
      <c r="F625" s="5">
        <v>1188190.2</v>
      </c>
      <c r="G625" s="5">
        <v>2360926.0</v>
      </c>
      <c r="H625" s="5">
        <v>57801.0</v>
      </c>
      <c r="I625" s="5">
        <v>3604917.23</v>
      </c>
      <c r="J625" s="5">
        <v>1507932.0</v>
      </c>
      <c r="K625" s="5">
        <v>2096985.23</v>
      </c>
    </row>
    <row r="626">
      <c r="A626" s="2">
        <v>2021.0</v>
      </c>
      <c r="B626" s="1" t="s">
        <v>332</v>
      </c>
      <c r="D626" s="5" t="s">
        <v>658</v>
      </c>
      <c r="F626" s="5">
        <v>582491.0</v>
      </c>
      <c r="G626" s="5">
        <v>1756863.0</v>
      </c>
      <c r="H626" s="5">
        <v>18570.0</v>
      </c>
      <c r="I626" s="5">
        <v>2357924.0</v>
      </c>
      <c r="J626" s="5">
        <v>1402836.0</v>
      </c>
      <c r="K626" s="5">
        <v>955088.0</v>
      </c>
    </row>
    <row r="627">
      <c r="A627" s="2">
        <v>2021.0</v>
      </c>
      <c r="B627" s="1" t="s">
        <v>595</v>
      </c>
      <c r="C627" s="5" t="s">
        <v>603</v>
      </c>
      <c r="D627" s="5" t="s">
        <v>604</v>
      </c>
      <c r="F627" s="5">
        <v>1708012.0</v>
      </c>
      <c r="G627" s="5">
        <v>2309103.0</v>
      </c>
      <c r="H627" s="5">
        <v>57487.0</v>
      </c>
      <c r="I627" s="5">
        <v>4074602.0</v>
      </c>
      <c r="J627" s="5">
        <v>2443824.0</v>
      </c>
      <c r="K627" s="5">
        <v>1630778.0</v>
      </c>
    </row>
    <row r="628">
      <c r="A628" s="2">
        <v>2021.0</v>
      </c>
      <c r="B628" s="1" t="s">
        <v>595</v>
      </c>
      <c r="D628" s="5" t="s">
        <v>607</v>
      </c>
      <c r="F628" s="5">
        <v>1359806.0</v>
      </c>
      <c r="G628" s="5">
        <v>3176095.0</v>
      </c>
      <c r="H628" s="5">
        <v>54648.0</v>
      </c>
      <c r="I628" s="5">
        <v>4590549.0</v>
      </c>
      <c r="J628" s="5">
        <v>2080764.0</v>
      </c>
      <c r="K628" s="5">
        <v>2509785.0</v>
      </c>
    </row>
    <row r="629">
      <c r="A629" s="2">
        <v>2021.0</v>
      </c>
      <c r="B629" s="1" t="s">
        <v>595</v>
      </c>
      <c r="D629" s="5" t="s">
        <v>79</v>
      </c>
      <c r="F629" s="5">
        <v>692126.0</v>
      </c>
      <c r="G629" s="5">
        <v>1910781.0</v>
      </c>
      <c r="H629" s="5">
        <v>26254.0</v>
      </c>
      <c r="I629" s="5">
        <v>2629161.0</v>
      </c>
      <c r="J629" s="5">
        <v>1814423.0</v>
      </c>
      <c r="K629" s="5">
        <v>814738.0</v>
      </c>
    </row>
    <row r="630">
      <c r="A630" s="2">
        <v>2021.0</v>
      </c>
      <c r="B630" s="1" t="s">
        <v>595</v>
      </c>
      <c r="D630" s="5" t="s">
        <v>610</v>
      </c>
      <c r="F630" s="5">
        <v>1075043.0</v>
      </c>
      <c r="G630" s="5">
        <v>1982779.0</v>
      </c>
      <c r="H630" s="5">
        <v>6977.0</v>
      </c>
      <c r="I630" s="5">
        <v>3064799.0</v>
      </c>
      <c r="J630" s="5">
        <v>1654778.0</v>
      </c>
      <c r="K630" s="5">
        <v>1410021.0</v>
      </c>
    </row>
    <row r="631">
      <c r="A631" s="2">
        <v>2021.0</v>
      </c>
      <c r="B631" s="1" t="s">
        <v>595</v>
      </c>
      <c r="D631" s="5" t="s">
        <v>612</v>
      </c>
      <c r="F631" s="5">
        <v>1000710.0</v>
      </c>
      <c r="G631" s="5">
        <v>2061332.0</v>
      </c>
      <c r="H631" s="5">
        <v>41282.0</v>
      </c>
      <c r="I631" s="5">
        <v>3103324.0</v>
      </c>
      <c r="J631" s="5">
        <v>1335292.0</v>
      </c>
      <c r="K631" s="5">
        <v>1768032.0</v>
      </c>
    </row>
    <row r="632">
      <c r="A632" s="2">
        <v>2021.0</v>
      </c>
      <c r="B632" s="1" t="s">
        <v>595</v>
      </c>
      <c r="D632" s="5" t="s">
        <v>615</v>
      </c>
      <c r="F632" s="5">
        <v>1318494.0</v>
      </c>
      <c r="G632" s="5">
        <v>2691086.0</v>
      </c>
      <c r="H632" s="5">
        <v>38719.0</v>
      </c>
      <c r="I632" s="5">
        <v>4048299.0</v>
      </c>
      <c r="J632" s="5">
        <v>1039558.0</v>
      </c>
      <c r="K632" s="5">
        <v>3008741.0</v>
      </c>
    </row>
    <row r="633">
      <c r="A633" s="2">
        <v>2021.0</v>
      </c>
      <c r="B633" s="1" t="s">
        <v>595</v>
      </c>
      <c r="C633" s="5" t="s">
        <v>618</v>
      </c>
      <c r="D633" s="5" t="s">
        <v>618</v>
      </c>
      <c r="F633" s="5">
        <v>6459123.0</v>
      </c>
      <c r="G633" s="5">
        <v>3624975.0</v>
      </c>
      <c r="H633" s="5">
        <v>270472.0</v>
      </c>
      <c r="I633" s="5">
        <v>1.035457E7</v>
      </c>
      <c r="J633" s="5">
        <v>3922002.0</v>
      </c>
      <c r="K633" s="5">
        <v>6432568.0</v>
      </c>
    </row>
    <row r="634">
      <c r="A634" s="2">
        <v>2021.0</v>
      </c>
      <c r="B634" s="1" t="s">
        <v>595</v>
      </c>
      <c r="D634" s="5" t="s">
        <v>619</v>
      </c>
      <c r="F634" s="5">
        <v>1724206.0</v>
      </c>
      <c r="G634" s="5">
        <v>1905561.0</v>
      </c>
      <c r="H634" s="5">
        <v>50942.0</v>
      </c>
      <c r="I634" s="5">
        <v>3680709.0</v>
      </c>
      <c r="J634" s="5">
        <v>2300578.0</v>
      </c>
      <c r="K634" s="5">
        <v>1380131.0</v>
      </c>
    </row>
    <row r="635">
      <c r="A635" s="2">
        <v>2021.0</v>
      </c>
      <c r="B635" s="1" t="s">
        <v>595</v>
      </c>
      <c r="D635" s="5" t="s">
        <v>621</v>
      </c>
      <c r="F635" s="5">
        <v>4744976.0</v>
      </c>
      <c r="G635" s="5">
        <v>2669528.0</v>
      </c>
      <c r="H635" s="5">
        <v>198299.0</v>
      </c>
      <c r="I635" s="5">
        <v>7612803.0</v>
      </c>
      <c r="J635" s="5">
        <v>721662.0</v>
      </c>
      <c r="K635" s="5">
        <v>6891141.0</v>
      </c>
    </row>
    <row r="636">
      <c r="A636" s="2">
        <v>2021.0</v>
      </c>
      <c r="B636" s="1" t="s">
        <v>595</v>
      </c>
      <c r="C636" s="5" t="s">
        <v>623</v>
      </c>
      <c r="D636" s="5" t="s">
        <v>725</v>
      </c>
      <c r="F636" s="5">
        <v>0.0</v>
      </c>
      <c r="G636" s="5">
        <v>360725.0</v>
      </c>
      <c r="H636" s="5">
        <v>0.0</v>
      </c>
      <c r="I636" s="5">
        <v>360725.0</v>
      </c>
      <c r="J636" s="5">
        <v>0.0</v>
      </c>
      <c r="K636" s="5">
        <v>360725.0</v>
      </c>
    </row>
    <row r="637">
      <c r="A637" s="2">
        <v>2021.0</v>
      </c>
      <c r="B637" s="1" t="s">
        <v>595</v>
      </c>
      <c r="D637" s="5" t="s">
        <v>624</v>
      </c>
      <c r="F637" s="5">
        <v>374094.0</v>
      </c>
      <c r="G637" s="5">
        <v>1151053.0</v>
      </c>
      <c r="H637" s="5">
        <v>9991.0</v>
      </c>
      <c r="I637" s="5">
        <v>1536201.0</v>
      </c>
      <c r="J637" s="5">
        <v>919693.0</v>
      </c>
      <c r="K637" s="5">
        <v>616508.0</v>
      </c>
    </row>
    <row r="638">
      <c r="A638" s="2">
        <v>2021.0</v>
      </c>
      <c r="B638" s="1" t="s">
        <v>595</v>
      </c>
      <c r="D638" s="5" t="s">
        <v>731</v>
      </c>
      <c r="F638" s="5">
        <v>483898.0</v>
      </c>
      <c r="G638" s="5">
        <v>1354413.0</v>
      </c>
      <c r="H638" s="5">
        <v>12866.0</v>
      </c>
      <c r="I638" s="5">
        <v>1878413.0</v>
      </c>
      <c r="J638" s="5">
        <v>1044030.0</v>
      </c>
      <c r="K638" s="5">
        <v>834383.0</v>
      </c>
    </row>
    <row r="639">
      <c r="A639" s="2">
        <v>2021.0</v>
      </c>
      <c r="B639" s="1" t="s">
        <v>595</v>
      </c>
      <c r="D639" s="5" t="s">
        <v>628</v>
      </c>
      <c r="F639" s="5">
        <v>990603.0</v>
      </c>
      <c r="G639" s="5">
        <v>1204313.0</v>
      </c>
      <c r="H639" s="5">
        <v>12354.0</v>
      </c>
      <c r="I639" s="5">
        <v>2207270.0</v>
      </c>
      <c r="J639" s="5">
        <v>1490375.0</v>
      </c>
      <c r="K639" s="5">
        <v>716895.0</v>
      </c>
    </row>
    <row r="640">
      <c r="A640" s="2">
        <v>2021.0</v>
      </c>
      <c r="B640" s="1" t="s">
        <v>595</v>
      </c>
      <c r="D640" s="5" t="s">
        <v>630</v>
      </c>
      <c r="F640" s="5">
        <v>791889.0</v>
      </c>
      <c r="G640" s="5">
        <v>1391272.0</v>
      </c>
      <c r="H640" s="5">
        <v>16936.0</v>
      </c>
      <c r="I640" s="5">
        <v>2200097.0</v>
      </c>
      <c r="J640" s="5">
        <v>1486678.0</v>
      </c>
      <c r="K640" s="5">
        <v>713419.0</v>
      </c>
    </row>
    <row r="641">
      <c r="A641" s="2">
        <v>2021.0</v>
      </c>
      <c r="B641" s="1" t="s">
        <v>595</v>
      </c>
      <c r="D641" s="5" t="s">
        <v>633</v>
      </c>
      <c r="F641" s="5">
        <v>1598081.0</v>
      </c>
      <c r="G641" s="5">
        <v>923850.0</v>
      </c>
      <c r="H641" s="5">
        <v>21639.0</v>
      </c>
      <c r="I641" s="5">
        <v>2543570.0</v>
      </c>
      <c r="J641" s="5">
        <v>2174257.0</v>
      </c>
      <c r="K641" s="5">
        <v>369313.0</v>
      </c>
    </row>
    <row r="642">
      <c r="A642" s="2">
        <v>2021.0</v>
      </c>
      <c r="B642" s="1" t="s">
        <v>595</v>
      </c>
      <c r="D642" s="5" t="s">
        <v>748</v>
      </c>
      <c r="F642" s="5">
        <v>758882.0</v>
      </c>
      <c r="G642" s="5">
        <v>1145995.0</v>
      </c>
      <c r="H642" s="5">
        <v>6729.0</v>
      </c>
      <c r="I642" s="5">
        <v>1911606.0</v>
      </c>
      <c r="J642" s="5">
        <v>1158179.0</v>
      </c>
      <c r="K642" s="5">
        <v>753427.0</v>
      </c>
    </row>
    <row r="643">
      <c r="A643" s="2">
        <v>2021.0</v>
      </c>
      <c r="B643" s="1" t="s">
        <v>595</v>
      </c>
      <c r="D643" s="5" t="s">
        <v>637</v>
      </c>
      <c r="F643" s="5">
        <v>1992170.0</v>
      </c>
      <c r="G643" s="5">
        <v>1390755.0</v>
      </c>
      <c r="H643" s="5">
        <v>58688.0</v>
      </c>
      <c r="I643" s="5">
        <v>3441613.0</v>
      </c>
      <c r="J643" s="5">
        <v>2049353.0</v>
      </c>
      <c r="K643" s="5">
        <v>1392260.0</v>
      </c>
    </row>
    <row r="644">
      <c r="A644" s="2">
        <v>2021.0</v>
      </c>
      <c r="B644" s="1" t="s">
        <v>595</v>
      </c>
      <c r="D644" s="5" t="s">
        <v>638</v>
      </c>
      <c r="F644" s="5">
        <v>515453.0</v>
      </c>
      <c r="G644" s="5">
        <v>1978879.0</v>
      </c>
      <c r="H644" s="5">
        <v>16567.0</v>
      </c>
      <c r="I644" s="5">
        <v>2510899.0</v>
      </c>
      <c r="J644" s="5">
        <v>2225927.0</v>
      </c>
      <c r="K644" s="5">
        <v>284972.0</v>
      </c>
    </row>
    <row r="645">
      <c r="A645" s="2">
        <v>2021.0</v>
      </c>
      <c r="B645" s="1" t="s">
        <v>595</v>
      </c>
      <c r="D645" s="5" t="s">
        <v>640</v>
      </c>
      <c r="F645" s="5">
        <v>1381290.0</v>
      </c>
      <c r="G645" s="5">
        <v>1606953.0</v>
      </c>
      <c r="H645" s="5">
        <v>32296.0</v>
      </c>
      <c r="I645" s="5">
        <v>3020541.0</v>
      </c>
      <c r="J645" s="5">
        <v>2098491.0</v>
      </c>
      <c r="K645" s="5">
        <v>922050.0</v>
      </c>
    </row>
    <row r="646">
      <c r="A646" s="2">
        <v>2021.0</v>
      </c>
      <c r="B646" s="1" t="s">
        <v>595</v>
      </c>
      <c r="C646" s="5" t="s">
        <v>753</v>
      </c>
      <c r="D646" s="5" t="s">
        <v>754</v>
      </c>
      <c r="F646" s="5">
        <v>3583724.0</v>
      </c>
      <c r="G646" s="5">
        <v>3156875.0</v>
      </c>
      <c r="H646" s="5">
        <v>100096.0</v>
      </c>
      <c r="I646" s="5">
        <v>6840695.0</v>
      </c>
      <c r="J646" s="5">
        <v>3798450.0</v>
      </c>
      <c r="K646" s="5">
        <v>3042245.0</v>
      </c>
    </row>
    <row r="647">
      <c r="A647" s="2">
        <v>2021.0</v>
      </c>
      <c r="B647" s="1" t="s">
        <v>595</v>
      </c>
      <c r="D647" s="5" t="s">
        <v>756</v>
      </c>
      <c r="F647" s="5">
        <v>1392483.0</v>
      </c>
      <c r="G647" s="5">
        <v>2564222.0</v>
      </c>
      <c r="H647" s="5">
        <v>53161.0</v>
      </c>
      <c r="I647" s="5">
        <v>4009866.0</v>
      </c>
      <c r="J647" s="5">
        <v>1302436.0</v>
      </c>
      <c r="K647" s="5">
        <v>2707430.0</v>
      </c>
    </row>
    <row r="648">
      <c r="A648" s="2">
        <v>2021.0</v>
      </c>
      <c r="B648" s="1" t="s">
        <v>595</v>
      </c>
      <c r="D648" s="5" t="s">
        <v>927</v>
      </c>
      <c r="F648" s="5">
        <v>1434011.0</v>
      </c>
      <c r="G648" s="5">
        <v>875693.0</v>
      </c>
      <c r="H648" s="5">
        <v>47529.0</v>
      </c>
      <c r="I648" s="5">
        <v>2357233.0</v>
      </c>
      <c r="J648" s="5">
        <v>1741630.0</v>
      </c>
      <c r="K648" s="5">
        <v>615603.0</v>
      </c>
    </row>
    <row r="649">
      <c r="A649" s="2">
        <v>2021.0</v>
      </c>
      <c r="B649" s="1" t="s">
        <v>595</v>
      </c>
      <c r="D649" s="5" t="s">
        <v>762</v>
      </c>
      <c r="F649" s="5">
        <v>764760.0</v>
      </c>
      <c r="G649" s="5">
        <v>29677.0</v>
      </c>
      <c r="H649" s="5">
        <v>2076733.0</v>
      </c>
      <c r="I649" s="5">
        <v>2871170.0</v>
      </c>
      <c r="J649" s="5">
        <v>1604140.0</v>
      </c>
      <c r="K649" s="5">
        <v>1267030.0</v>
      </c>
    </row>
    <row r="650">
      <c r="A650" s="2">
        <v>2021.0</v>
      </c>
      <c r="B650" s="1" t="s">
        <v>595</v>
      </c>
      <c r="C650" s="5" t="s">
        <v>764</v>
      </c>
      <c r="D650" s="5" t="s">
        <v>765</v>
      </c>
      <c r="F650" s="5">
        <v>646916.0</v>
      </c>
      <c r="G650" s="5">
        <v>2122413.0</v>
      </c>
      <c r="H650" s="5">
        <v>43537.0</v>
      </c>
      <c r="I650" s="5">
        <v>2812866.0</v>
      </c>
      <c r="J650" s="5">
        <v>1144786.0</v>
      </c>
      <c r="K650" s="5">
        <v>1668080.0</v>
      </c>
    </row>
    <row r="651">
      <c r="A651" s="2">
        <v>2021.0</v>
      </c>
      <c r="B651" s="1" t="s">
        <v>595</v>
      </c>
      <c r="D651" s="5" t="s">
        <v>487</v>
      </c>
      <c r="F651" s="5">
        <v>166576.0</v>
      </c>
      <c r="G651" s="5">
        <v>1677389.0</v>
      </c>
      <c r="H651" s="5">
        <v>17268.0</v>
      </c>
      <c r="I651" s="5">
        <v>1861233.0</v>
      </c>
      <c r="J651" s="5">
        <v>676705.0</v>
      </c>
      <c r="K651" s="5">
        <v>1184528.0</v>
      </c>
    </row>
    <row r="652">
      <c r="A652" s="2">
        <v>2021.0</v>
      </c>
      <c r="B652" s="1" t="s">
        <v>595</v>
      </c>
      <c r="C652" s="5" t="s">
        <v>641</v>
      </c>
      <c r="D652" s="5" t="s">
        <v>642</v>
      </c>
      <c r="F652" s="5">
        <v>4982540.0</v>
      </c>
      <c r="G652" s="5">
        <v>3283053.0</v>
      </c>
      <c r="H652" s="5">
        <v>227866.0</v>
      </c>
      <c r="I652" s="5">
        <v>8393102.77</v>
      </c>
      <c r="J652" s="5">
        <v>1588770.0</v>
      </c>
      <c r="K652" s="5">
        <v>6804332.77</v>
      </c>
    </row>
    <row r="653">
      <c r="A653" s="2">
        <v>2021.0</v>
      </c>
      <c r="B653" s="1" t="s">
        <v>595</v>
      </c>
      <c r="D653" s="5" t="s">
        <v>644</v>
      </c>
      <c r="F653" s="5">
        <v>1555324.6</v>
      </c>
      <c r="G653" s="5">
        <v>2795538.0</v>
      </c>
      <c r="H653" s="5">
        <v>59425.0</v>
      </c>
      <c r="I653" s="5">
        <v>4410287.6</v>
      </c>
      <c r="J653" s="5">
        <v>1768849.0</v>
      </c>
      <c r="K653" s="5">
        <v>2641438.6</v>
      </c>
    </row>
    <row r="654">
      <c r="A654" s="2">
        <v>2021.0</v>
      </c>
      <c r="B654" s="1" t="s">
        <v>595</v>
      </c>
      <c r="D654" s="5" t="s">
        <v>646</v>
      </c>
      <c r="F654" s="5">
        <v>3305890.0</v>
      </c>
      <c r="G654" s="5">
        <v>737158.0</v>
      </c>
      <c r="H654" s="5">
        <v>6856.0</v>
      </c>
      <c r="I654" s="5">
        <v>4049904.0</v>
      </c>
      <c r="J654" s="5">
        <v>224408.5</v>
      </c>
      <c r="K654" s="5">
        <v>3825495.5</v>
      </c>
    </row>
    <row r="655">
      <c r="A655" s="2">
        <v>2021.0</v>
      </c>
      <c r="B655" s="1" t="s">
        <v>595</v>
      </c>
      <c r="D655" s="5" t="s">
        <v>647</v>
      </c>
      <c r="F655" s="5">
        <v>1880424.0</v>
      </c>
      <c r="G655" s="5">
        <v>4155831.0</v>
      </c>
      <c r="H655" s="5">
        <v>94041.0</v>
      </c>
      <c r="I655" s="5">
        <v>5809970.0</v>
      </c>
      <c r="J655" s="5">
        <v>2726564.0</v>
      </c>
      <c r="K655" s="5">
        <v>3403732.0</v>
      </c>
    </row>
    <row r="656">
      <c r="A656" s="2">
        <v>2021.0</v>
      </c>
      <c r="B656" s="1" t="s">
        <v>595</v>
      </c>
      <c r="D656" s="5" t="s">
        <v>649</v>
      </c>
      <c r="F656" s="5">
        <v>3201734.0</v>
      </c>
      <c r="G656" s="5">
        <v>2899020.0</v>
      </c>
      <c r="H656" s="5">
        <v>97677.0</v>
      </c>
      <c r="I656" s="5">
        <v>6175404.0</v>
      </c>
      <c r="J656" s="5">
        <v>3863669.0</v>
      </c>
      <c r="K656" s="5">
        <v>2311735.0</v>
      </c>
    </row>
    <row r="657">
      <c r="A657" s="2">
        <v>2021.0</v>
      </c>
      <c r="B657" s="1" t="s">
        <v>595</v>
      </c>
      <c r="D657" s="5" t="s">
        <v>652</v>
      </c>
      <c r="F657" s="5">
        <v>50708.0</v>
      </c>
      <c r="G657" s="5">
        <v>716080.0</v>
      </c>
      <c r="H657" s="5">
        <v>5451.0</v>
      </c>
      <c r="I657" s="5">
        <v>772239.0</v>
      </c>
      <c r="J657" s="5">
        <v>245110.0</v>
      </c>
      <c r="K657" s="5">
        <v>527129.0</v>
      </c>
    </row>
    <row r="658">
      <c r="A658" s="2">
        <v>2021.0</v>
      </c>
      <c r="B658" s="1" t="s">
        <v>595</v>
      </c>
      <c r="D658" s="5" t="s">
        <v>655</v>
      </c>
      <c r="F658" s="5">
        <v>3334664.0</v>
      </c>
      <c r="G658" s="5">
        <v>3292562.0</v>
      </c>
      <c r="H658" s="5">
        <v>154640.0</v>
      </c>
      <c r="I658" s="5">
        <v>6781866.0</v>
      </c>
      <c r="J658" s="5">
        <v>1565731.5</v>
      </c>
      <c r="K658" s="5">
        <v>5216134.5</v>
      </c>
    </row>
    <row r="659">
      <c r="A659" s="2">
        <v>2021.0</v>
      </c>
      <c r="B659" s="1" t="s">
        <v>595</v>
      </c>
      <c r="D659" s="5" t="s">
        <v>656</v>
      </c>
      <c r="F659" s="5">
        <v>2096985.2</v>
      </c>
      <c r="G659" s="5">
        <v>2363818.0</v>
      </c>
      <c r="H659" s="5">
        <v>64845.0</v>
      </c>
      <c r="I659" s="5">
        <v>4522784.23</v>
      </c>
      <c r="J659" s="5">
        <v>2308872.7</v>
      </c>
      <c r="K659" s="5">
        <v>2213911.53</v>
      </c>
    </row>
    <row r="660">
      <c r="A660" s="2">
        <v>2021.0</v>
      </c>
      <c r="B660" s="1" t="s">
        <v>595</v>
      </c>
      <c r="D660" s="5" t="s">
        <v>658</v>
      </c>
      <c r="F660" s="5">
        <v>1063548.0</v>
      </c>
      <c r="G660" s="5">
        <v>3355313.0</v>
      </c>
      <c r="H660" s="5">
        <v>47811.0</v>
      </c>
      <c r="I660" s="5">
        <v>4466672.0</v>
      </c>
      <c r="J660" s="5">
        <v>2378409.0</v>
      </c>
      <c r="K660" s="5">
        <v>2088263.0</v>
      </c>
    </row>
    <row r="661">
      <c r="A661" s="2">
        <v>2021.0</v>
      </c>
      <c r="B661" s="1" t="s">
        <v>596</v>
      </c>
      <c r="C661" s="5" t="s">
        <v>603</v>
      </c>
      <c r="D661" s="5" t="s">
        <v>604</v>
      </c>
      <c r="F661" s="5">
        <v>1630778.0</v>
      </c>
      <c r="G661" s="5">
        <v>2236605.0</v>
      </c>
      <c r="H661" s="5">
        <v>50699.0</v>
      </c>
      <c r="I661" s="5">
        <v>3918082.0</v>
      </c>
      <c r="J661" s="5">
        <v>3004962.0</v>
      </c>
      <c r="K661" s="5">
        <v>913120.0</v>
      </c>
    </row>
    <row r="662">
      <c r="A662" s="2">
        <v>2021.0</v>
      </c>
      <c r="B662" s="1" t="s">
        <v>596</v>
      </c>
      <c r="D662" s="5" t="s">
        <v>778</v>
      </c>
      <c r="F662" s="5">
        <v>0.0</v>
      </c>
      <c r="G662" s="5">
        <v>2804490.0</v>
      </c>
      <c r="H662" s="5">
        <v>18855.0</v>
      </c>
      <c r="I662" s="5">
        <v>2823345.0</v>
      </c>
      <c r="J662" s="5">
        <v>1732632.0</v>
      </c>
      <c r="K662" s="5">
        <v>1090713.0</v>
      </c>
    </row>
    <row r="663">
      <c r="A663" s="2">
        <v>2021.0</v>
      </c>
      <c r="B663" s="1" t="s">
        <v>596</v>
      </c>
      <c r="D663" s="5" t="s">
        <v>610</v>
      </c>
      <c r="F663" s="5">
        <v>1410021.0</v>
      </c>
      <c r="G663" s="5">
        <v>4088609.0</v>
      </c>
      <c r="H663" s="5">
        <v>7418.0</v>
      </c>
      <c r="I663" s="5">
        <v>5470982.0</v>
      </c>
      <c r="J663" s="5">
        <v>2398363.0</v>
      </c>
      <c r="K663" s="5">
        <v>3072619.0</v>
      </c>
    </row>
    <row r="664">
      <c r="A664" s="2">
        <v>2021.0</v>
      </c>
      <c r="B664" s="1" t="s">
        <v>596</v>
      </c>
      <c r="D664" s="5" t="s">
        <v>612</v>
      </c>
      <c r="F664" s="5">
        <v>1768032.0</v>
      </c>
      <c r="G664" s="5">
        <v>3896659.0</v>
      </c>
      <c r="H664" s="5">
        <v>85168.0</v>
      </c>
      <c r="I664" s="5">
        <v>5749859.0</v>
      </c>
      <c r="J664" s="5">
        <v>3467779.0</v>
      </c>
      <c r="K664" s="5">
        <v>2282080.0</v>
      </c>
    </row>
    <row r="665">
      <c r="A665" s="2">
        <v>2021.0</v>
      </c>
      <c r="B665" s="1" t="s">
        <v>596</v>
      </c>
      <c r="D665" s="5" t="s">
        <v>607</v>
      </c>
      <c r="F665" s="5">
        <v>2509785.0</v>
      </c>
      <c r="G665" s="5">
        <v>5690255.0</v>
      </c>
      <c r="H665" s="5">
        <v>0.0</v>
      </c>
      <c r="I665" s="5">
        <v>8200040.0</v>
      </c>
      <c r="J665" s="5">
        <v>3748182.0</v>
      </c>
      <c r="K665" s="5">
        <v>4451858.0</v>
      </c>
    </row>
    <row r="666">
      <c r="A666" s="2">
        <v>2021.0</v>
      </c>
      <c r="B666" s="1" t="s">
        <v>596</v>
      </c>
      <c r="D666" s="5" t="s">
        <v>79</v>
      </c>
      <c r="F666" s="5">
        <v>814738.0</v>
      </c>
      <c r="G666" s="5">
        <v>75706.0</v>
      </c>
      <c r="H666" s="5">
        <v>12513.0</v>
      </c>
      <c r="I666" s="5">
        <v>902957.0</v>
      </c>
      <c r="J666" s="5">
        <v>792940.0</v>
      </c>
      <c r="K666" s="5">
        <v>110017.0</v>
      </c>
    </row>
    <row r="667">
      <c r="A667" s="2">
        <v>2021.0</v>
      </c>
      <c r="B667" s="1" t="s">
        <v>596</v>
      </c>
      <c r="D667" s="5" t="s">
        <v>615</v>
      </c>
      <c r="F667" s="5">
        <v>3008741.0</v>
      </c>
      <c r="G667" s="5">
        <v>3913856.0</v>
      </c>
      <c r="H667" s="5">
        <v>121932.0</v>
      </c>
      <c r="I667" s="5">
        <v>7044529.0</v>
      </c>
      <c r="J667" s="5">
        <v>3531478.0</v>
      </c>
      <c r="K667" s="5">
        <v>3513051.0</v>
      </c>
    </row>
    <row r="668">
      <c r="A668" s="2">
        <v>2021.0</v>
      </c>
      <c r="B668" s="1" t="s">
        <v>596</v>
      </c>
      <c r="C668" s="5" t="s">
        <v>618</v>
      </c>
      <c r="D668" s="5" t="s">
        <v>618</v>
      </c>
      <c r="F668" s="5">
        <v>6432568.0</v>
      </c>
      <c r="G668" s="5">
        <v>9447839.0</v>
      </c>
      <c r="H668" s="5">
        <v>359955.0</v>
      </c>
      <c r="I668" s="5">
        <v>1.6240362E7</v>
      </c>
      <c r="J668" s="5">
        <v>5203416.0</v>
      </c>
      <c r="K668" s="5">
        <v>1.1036946E7</v>
      </c>
    </row>
    <row r="669">
      <c r="A669" s="2">
        <v>2021.0</v>
      </c>
      <c r="B669" s="1" t="s">
        <v>596</v>
      </c>
      <c r="D669" s="5" t="s">
        <v>619</v>
      </c>
      <c r="F669" s="5">
        <v>1380131.0</v>
      </c>
      <c r="G669" s="5">
        <v>4196523.0</v>
      </c>
      <c r="H669" s="5">
        <v>89531.0</v>
      </c>
      <c r="I669" s="5">
        <v>5666185.0</v>
      </c>
      <c r="J669" s="5">
        <v>2243876.0</v>
      </c>
      <c r="K669" s="5">
        <v>3422309.0</v>
      </c>
    </row>
    <row r="670">
      <c r="A670" s="2">
        <v>2021.0</v>
      </c>
      <c r="B670" s="1" t="s">
        <v>596</v>
      </c>
      <c r="D670" s="5" t="s">
        <v>621</v>
      </c>
      <c r="F670" s="5">
        <v>6891141.0</v>
      </c>
      <c r="G670" s="5">
        <v>9881398.0</v>
      </c>
      <c r="H670" s="5">
        <v>310868.0</v>
      </c>
      <c r="I670" s="5">
        <v>1.7082325E7</v>
      </c>
      <c r="J670" s="5">
        <v>4214587.0</v>
      </c>
      <c r="K670" s="5">
        <v>1.2867738E7</v>
      </c>
    </row>
    <row r="671">
      <c r="A671" s="2">
        <v>2021.0</v>
      </c>
      <c r="B671" s="1" t="s">
        <v>596</v>
      </c>
      <c r="C671" s="5" t="s">
        <v>623</v>
      </c>
      <c r="D671" s="5" t="s">
        <v>725</v>
      </c>
      <c r="F671" s="5">
        <v>360725.0</v>
      </c>
      <c r="G671" s="5">
        <v>2940350.0</v>
      </c>
      <c r="H671" s="5">
        <v>35318.0</v>
      </c>
      <c r="I671" s="5">
        <v>3336393.0</v>
      </c>
      <c r="J671" s="5">
        <v>2271707.0</v>
      </c>
      <c r="K671" s="5">
        <v>1064686.0</v>
      </c>
    </row>
    <row r="672">
      <c r="A672" s="2">
        <v>2021.0</v>
      </c>
      <c r="B672" s="1" t="s">
        <v>596</v>
      </c>
      <c r="D672" s="5" t="s">
        <v>624</v>
      </c>
      <c r="F672" s="5">
        <v>616508.0</v>
      </c>
      <c r="G672" s="5">
        <v>106450.0</v>
      </c>
      <c r="H672" s="5">
        <v>52488.0</v>
      </c>
      <c r="I672" s="5">
        <v>3859266.0</v>
      </c>
      <c r="J672" s="5">
        <v>2413144.0</v>
      </c>
      <c r="K672" s="5">
        <v>1446122.0</v>
      </c>
    </row>
    <row r="673">
      <c r="A673" s="2">
        <v>2021.0</v>
      </c>
      <c r="B673" s="1" t="s">
        <v>596</v>
      </c>
      <c r="D673" s="5" t="s">
        <v>731</v>
      </c>
      <c r="F673" s="5">
        <v>834383.0</v>
      </c>
      <c r="G673" s="5">
        <v>1626662.0</v>
      </c>
      <c r="H673" s="5">
        <v>11944.0</v>
      </c>
      <c r="I673" s="5">
        <v>2214604.0</v>
      </c>
      <c r="J673" s="5">
        <v>536000.0</v>
      </c>
      <c r="K673" s="5">
        <v>1678604.0</v>
      </c>
    </row>
    <row r="674">
      <c r="A674" s="2">
        <v>2021.0</v>
      </c>
      <c r="B674" s="1" t="s">
        <v>596</v>
      </c>
      <c r="D674" s="5" t="s">
        <v>628</v>
      </c>
      <c r="F674" s="5">
        <v>716895.0</v>
      </c>
      <c r="G674" s="5">
        <v>2903080.0</v>
      </c>
      <c r="H674" s="5">
        <v>20702.0</v>
      </c>
      <c r="I674" s="5">
        <v>2944331.0</v>
      </c>
      <c r="J674" s="5">
        <v>2461657.0</v>
      </c>
      <c r="K674" s="5">
        <v>482674.0</v>
      </c>
    </row>
    <row r="675">
      <c r="A675" s="2">
        <v>2021.0</v>
      </c>
      <c r="B675" s="1" t="s">
        <v>596</v>
      </c>
      <c r="D675" s="5" t="s">
        <v>630</v>
      </c>
      <c r="F675" s="5">
        <v>713419.0</v>
      </c>
      <c r="G675" s="5">
        <v>3144996.0</v>
      </c>
      <c r="H675" s="5">
        <v>52389.0</v>
      </c>
      <c r="I675" s="5">
        <v>3910997.0</v>
      </c>
      <c r="J675" s="5">
        <v>2501261.0</v>
      </c>
      <c r="K675" s="5">
        <v>1409736.0</v>
      </c>
    </row>
    <row r="676">
      <c r="A676" s="2">
        <v>2021.0</v>
      </c>
      <c r="B676" s="1" t="s">
        <v>596</v>
      </c>
      <c r="D676" s="5" t="s">
        <v>791</v>
      </c>
      <c r="F676" s="5">
        <v>0.0</v>
      </c>
      <c r="G676" s="5">
        <v>2984702.0</v>
      </c>
      <c r="H676" s="5">
        <v>30113.0</v>
      </c>
      <c r="I676" s="5">
        <v>3014815.0</v>
      </c>
      <c r="J676" s="5">
        <v>1807350.0</v>
      </c>
      <c r="K676" s="5">
        <v>1207465.0</v>
      </c>
    </row>
    <row r="677">
      <c r="A677" s="2">
        <v>2021.0</v>
      </c>
      <c r="B677" s="1" t="s">
        <v>596</v>
      </c>
      <c r="D677" s="5" t="s">
        <v>748</v>
      </c>
      <c r="F677" s="5">
        <v>753427.0</v>
      </c>
      <c r="G677" s="5">
        <v>3357105.0</v>
      </c>
      <c r="H677" s="5">
        <v>34851.0</v>
      </c>
      <c r="I677" s="5">
        <v>4145383.0</v>
      </c>
      <c r="J677" s="5">
        <v>2311836.0</v>
      </c>
      <c r="K677" s="5">
        <v>1833547.0</v>
      </c>
    </row>
    <row r="678">
      <c r="A678" s="2">
        <v>2021.0</v>
      </c>
      <c r="B678" s="1" t="s">
        <v>596</v>
      </c>
      <c r="D678" s="5" t="s">
        <v>637</v>
      </c>
      <c r="F678" s="5">
        <v>1392260.0</v>
      </c>
      <c r="G678" s="5">
        <v>5218477.0</v>
      </c>
      <c r="H678" s="5">
        <v>81682.0</v>
      </c>
      <c r="I678" s="5">
        <v>6692420.0</v>
      </c>
      <c r="J678" s="5">
        <v>4975624.0</v>
      </c>
      <c r="K678" s="5">
        <v>1716796.0</v>
      </c>
    </row>
    <row r="679">
      <c r="A679" s="2">
        <v>2021.0</v>
      </c>
      <c r="B679" s="1" t="s">
        <v>596</v>
      </c>
      <c r="D679" s="5" t="s">
        <v>638</v>
      </c>
      <c r="F679" s="5">
        <v>284972.0</v>
      </c>
      <c r="G679" s="5">
        <v>3811429.0</v>
      </c>
      <c r="H679" s="5">
        <v>40857.0</v>
      </c>
      <c r="I679" s="5">
        <v>4131473.0</v>
      </c>
      <c r="J679" s="5">
        <v>2801034.0</v>
      </c>
      <c r="K679" s="5">
        <v>1330439.0</v>
      </c>
    </row>
    <row r="680">
      <c r="A680" s="2">
        <v>2021.0</v>
      </c>
      <c r="B680" s="1" t="s">
        <v>596</v>
      </c>
      <c r="D680" s="5" t="s">
        <v>640</v>
      </c>
      <c r="F680" s="5">
        <v>922050.0</v>
      </c>
      <c r="G680" s="5">
        <v>3906068.0</v>
      </c>
      <c r="H680" s="5">
        <v>65058.0</v>
      </c>
      <c r="I680" s="5">
        <v>4893180.0</v>
      </c>
      <c r="J680" s="5">
        <v>3542058.0</v>
      </c>
      <c r="K680" s="5">
        <v>1351122.0</v>
      </c>
    </row>
    <row r="681">
      <c r="A681" s="2">
        <v>2021.0</v>
      </c>
      <c r="B681" s="1" t="s">
        <v>596</v>
      </c>
      <c r="C681" s="5" t="s">
        <v>753</v>
      </c>
      <c r="D681" s="5" t="s">
        <v>754</v>
      </c>
      <c r="F681" s="5">
        <v>3042245.0</v>
      </c>
      <c r="G681" s="5">
        <v>4217655.0</v>
      </c>
      <c r="H681" s="5">
        <v>64250.0</v>
      </c>
      <c r="I681" s="5">
        <v>7324150.0</v>
      </c>
      <c r="J681" s="5">
        <v>3630890.0</v>
      </c>
      <c r="K681" s="5">
        <v>3693260.0</v>
      </c>
    </row>
    <row r="682">
      <c r="A682" s="2">
        <v>2021.0</v>
      </c>
      <c r="B682" s="1" t="s">
        <v>596</v>
      </c>
      <c r="D682" s="5" t="s">
        <v>756</v>
      </c>
      <c r="F682" s="5">
        <v>2707430.0</v>
      </c>
      <c r="G682" s="5">
        <v>4251023.0</v>
      </c>
      <c r="H682" s="5">
        <v>138643.0</v>
      </c>
      <c r="I682" s="5">
        <v>7097096.0</v>
      </c>
      <c r="J682" s="5">
        <v>3589545.0</v>
      </c>
      <c r="K682" s="5">
        <v>3507551.0</v>
      </c>
    </row>
    <row r="683">
      <c r="A683" s="2">
        <v>2021.0</v>
      </c>
      <c r="B683" s="1" t="s">
        <v>596</v>
      </c>
      <c r="D683" s="5" t="s">
        <v>927</v>
      </c>
      <c r="F683" s="5">
        <v>615603.0</v>
      </c>
      <c r="G683" s="5">
        <v>6299703.0</v>
      </c>
      <c r="H683" s="5">
        <v>0.0</v>
      </c>
      <c r="I683" s="5">
        <v>6915306.0</v>
      </c>
      <c r="J683" s="5">
        <v>4254523.0</v>
      </c>
      <c r="K683" s="5">
        <v>2660783.0</v>
      </c>
    </row>
    <row r="684">
      <c r="A684" s="2">
        <v>2021.0</v>
      </c>
      <c r="B684" s="1" t="s">
        <v>596</v>
      </c>
      <c r="D684" s="5" t="s">
        <v>762</v>
      </c>
      <c r="F684" s="5">
        <v>1267030.0</v>
      </c>
      <c r="G684" s="5">
        <v>66323.0</v>
      </c>
      <c r="H684" s="5">
        <v>4765309.0</v>
      </c>
      <c r="I684" s="5">
        <v>6098662.0</v>
      </c>
      <c r="J684" s="5">
        <v>4490690.0</v>
      </c>
      <c r="K684" s="5">
        <v>1607972.0</v>
      </c>
    </row>
    <row r="685">
      <c r="A685" s="2">
        <v>2021.0</v>
      </c>
      <c r="B685" s="1" t="s">
        <v>596</v>
      </c>
      <c r="C685" s="5" t="s">
        <v>764</v>
      </c>
      <c r="D685" s="5" t="s">
        <v>765</v>
      </c>
      <c r="F685" s="5">
        <v>1668080.0</v>
      </c>
      <c r="G685" s="5">
        <v>3322370.0</v>
      </c>
      <c r="H685" s="5">
        <v>70068.0</v>
      </c>
      <c r="I685" s="5">
        <v>5060518.0</v>
      </c>
      <c r="J685" s="5">
        <v>2581909.0</v>
      </c>
      <c r="K685" s="5">
        <v>2478609.0</v>
      </c>
    </row>
    <row r="686">
      <c r="A686" s="2">
        <v>2021.0</v>
      </c>
      <c r="B686" s="1" t="s">
        <v>596</v>
      </c>
      <c r="D686" s="5" t="s">
        <v>487</v>
      </c>
      <c r="F686" s="5">
        <v>1184528.0</v>
      </c>
      <c r="G686" s="5">
        <v>3676906.0</v>
      </c>
      <c r="H686" s="5">
        <v>79626.0</v>
      </c>
      <c r="I686" s="5">
        <v>4941060.0</v>
      </c>
      <c r="J686" s="5">
        <v>2087673.0</v>
      </c>
      <c r="K686" s="5">
        <v>2853387.0</v>
      </c>
    </row>
    <row r="687">
      <c r="A687" s="2">
        <v>2021.0</v>
      </c>
      <c r="B687" s="1" t="s">
        <v>596</v>
      </c>
      <c r="C687" s="5" t="s">
        <v>641</v>
      </c>
      <c r="D687" s="5" t="s">
        <v>642</v>
      </c>
      <c r="F687" s="5">
        <v>6804332.8</v>
      </c>
      <c r="G687" s="5">
        <v>6718031.0</v>
      </c>
      <c r="H687" s="5">
        <v>291725.0</v>
      </c>
      <c r="I687" s="5">
        <v>1.38140888E7</v>
      </c>
      <c r="J687" s="5">
        <v>5617681.2</v>
      </c>
      <c r="K687" s="5">
        <v>8196407.57</v>
      </c>
    </row>
    <row r="688">
      <c r="A688" s="2">
        <v>2021.0</v>
      </c>
      <c r="B688" s="1" t="s">
        <v>596</v>
      </c>
      <c r="D688" s="5" t="s">
        <v>644</v>
      </c>
      <c r="F688" s="5">
        <v>2641438.6</v>
      </c>
      <c r="G688" s="5">
        <v>8001059.0</v>
      </c>
      <c r="H688" s="5">
        <v>138110.0</v>
      </c>
      <c r="I688" s="5">
        <v>1.07806076E7</v>
      </c>
      <c r="J688" s="5">
        <v>6868014.0</v>
      </c>
      <c r="K688" s="5">
        <v>3912593.6</v>
      </c>
    </row>
    <row r="689">
      <c r="A689" s="2">
        <v>2021.0</v>
      </c>
      <c r="B689" s="1" t="s">
        <v>596</v>
      </c>
      <c r="D689" s="5" t="s">
        <v>646</v>
      </c>
      <c r="F689" s="5">
        <v>3825495.5</v>
      </c>
      <c r="G689" s="5">
        <v>1.6295474E7</v>
      </c>
      <c r="H689" s="5">
        <v>261013.0</v>
      </c>
      <c r="I689" s="5">
        <v>2.07785645E7</v>
      </c>
      <c r="J689" s="5">
        <v>1.3410406E7</v>
      </c>
      <c r="K689" s="5">
        <v>7368158.5</v>
      </c>
    </row>
    <row r="690">
      <c r="A690" s="2">
        <v>2021.0</v>
      </c>
      <c r="B690" s="1" t="s">
        <v>596</v>
      </c>
      <c r="D690" s="5" t="s">
        <v>647</v>
      </c>
      <c r="F690" s="5">
        <v>3403732.0</v>
      </c>
      <c r="G690" s="5">
        <v>6197081.0</v>
      </c>
      <c r="H690" s="5">
        <v>162695.0</v>
      </c>
      <c r="I690" s="5">
        <v>8905955.0</v>
      </c>
      <c r="J690" s="5">
        <v>3639523.4</v>
      </c>
      <c r="K690" s="5">
        <v>6149937.6</v>
      </c>
    </row>
    <row r="691">
      <c r="A691" s="2">
        <v>2021.0</v>
      </c>
      <c r="B691" s="1" t="s">
        <v>596</v>
      </c>
      <c r="D691" s="5" t="s">
        <v>649</v>
      </c>
      <c r="F691" s="5">
        <v>2311735.0</v>
      </c>
      <c r="G691" s="5">
        <v>6035427.0</v>
      </c>
      <c r="H691" s="5">
        <v>139526.0</v>
      </c>
      <c r="I691" s="5">
        <v>8486688.0</v>
      </c>
      <c r="J691" s="5">
        <v>5394215.5</v>
      </c>
      <c r="K691" s="5">
        <v>3092472.5</v>
      </c>
    </row>
    <row r="692">
      <c r="A692" s="2">
        <v>2021.0</v>
      </c>
      <c r="B692" s="1" t="s">
        <v>596</v>
      </c>
      <c r="D692" s="5" t="s">
        <v>652</v>
      </c>
      <c r="F692" s="5">
        <v>2856324.0</v>
      </c>
      <c r="G692" s="5">
        <v>7607462.0</v>
      </c>
      <c r="H692" s="5">
        <v>152264.0</v>
      </c>
      <c r="I692" s="5">
        <v>1.061605E7</v>
      </c>
      <c r="J692" s="5">
        <v>6876800.0</v>
      </c>
      <c r="K692" s="5">
        <v>3739250.0</v>
      </c>
    </row>
    <row r="693">
      <c r="A693" s="2">
        <v>2021.0</v>
      </c>
      <c r="B693" s="1" t="s">
        <v>596</v>
      </c>
      <c r="D693" s="5" t="s">
        <v>655</v>
      </c>
      <c r="F693" s="5">
        <v>5216134.5</v>
      </c>
      <c r="G693" s="5">
        <v>7525449.0</v>
      </c>
      <c r="H693" s="5">
        <v>225504.0</v>
      </c>
      <c r="I693" s="5">
        <v>1.29670875E7</v>
      </c>
      <c r="J693" s="5">
        <v>6885144.5</v>
      </c>
      <c r="K693" s="5">
        <v>6081943.0</v>
      </c>
    </row>
    <row r="694">
      <c r="A694" s="2">
        <v>2021.0</v>
      </c>
      <c r="B694" s="1" t="s">
        <v>596</v>
      </c>
      <c r="D694" s="5" t="s">
        <v>656</v>
      </c>
      <c r="F694" s="5">
        <v>2213911.5</v>
      </c>
      <c r="G694" s="5">
        <v>4402728.0</v>
      </c>
      <c r="H694" s="5">
        <v>140953.0</v>
      </c>
      <c r="I694" s="5">
        <v>6757592.53</v>
      </c>
      <c r="J694" s="5">
        <v>2025327.0</v>
      </c>
      <c r="K694" s="5">
        <v>4732265.53</v>
      </c>
    </row>
    <row r="695">
      <c r="A695" s="2">
        <v>2021.0</v>
      </c>
      <c r="B695" s="1" t="s">
        <v>596</v>
      </c>
      <c r="D695" s="5" t="s">
        <v>658</v>
      </c>
      <c r="F695" s="5">
        <v>2088263.0</v>
      </c>
      <c r="G695" s="5">
        <v>5112957.0</v>
      </c>
      <c r="H695" s="5">
        <v>99035.0</v>
      </c>
      <c r="I695" s="5">
        <v>7292973.0</v>
      </c>
      <c r="J695" s="5">
        <v>3391899.0</v>
      </c>
      <c r="K695" s="5">
        <v>3901074.0</v>
      </c>
    </row>
    <row r="696">
      <c r="A696" s="2">
        <v>2021.0</v>
      </c>
      <c r="B696" s="1" t="s">
        <v>213</v>
      </c>
      <c r="C696" s="5" t="s">
        <v>618</v>
      </c>
      <c r="E696" s="1" t="s">
        <v>201</v>
      </c>
      <c r="F696" s="5">
        <v>1429000.0</v>
      </c>
      <c r="G696" s="5">
        <v>1.7509E7</v>
      </c>
      <c r="H696" s="5">
        <v>119000.0</v>
      </c>
      <c r="I696" s="5">
        <f t="shared" ref="I696:I700" si="1">F696+G696+H696</f>
        <v>19057000</v>
      </c>
      <c r="J696" s="5">
        <v>1.8856E7</v>
      </c>
      <c r="K696" s="5">
        <f t="shared" ref="K696:K701" si="2">I696-J696</f>
        <v>201000</v>
      </c>
    </row>
    <row r="697">
      <c r="A697" s="2">
        <v>2021.0</v>
      </c>
      <c r="B697" s="1" t="s">
        <v>213</v>
      </c>
      <c r="C697" s="5" t="s">
        <v>877</v>
      </c>
      <c r="E697" s="1" t="s">
        <v>201</v>
      </c>
      <c r="F697" s="5">
        <v>3400000.0</v>
      </c>
      <c r="G697" s="5">
        <v>2790402.0</v>
      </c>
      <c r="H697" s="5">
        <v>0.0</v>
      </c>
      <c r="I697" s="5">
        <f t="shared" si="1"/>
        <v>6190402</v>
      </c>
      <c r="J697" s="5">
        <v>5149491.0</v>
      </c>
      <c r="K697" s="5">
        <f t="shared" si="2"/>
        <v>1040911</v>
      </c>
    </row>
    <row r="698">
      <c r="A698" s="2">
        <v>2021.0</v>
      </c>
      <c r="B698" s="1" t="s">
        <v>213</v>
      </c>
      <c r="C698" s="5" t="s">
        <v>623</v>
      </c>
      <c r="E698" s="1" t="s">
        <v>201</v>
      </c>
      <c r="F698" s="5">
        <v>4256935.0</v>
      </c>
      <c r="G698" s="5">
        <v>4.5292558E7</v>
      </c>
      <c r="H698" s="5">
        <v>165507.0</v>
      </c>
      <c r="I698" s="5">
        <f t="shared" si="1"/>
        <v>49715000</v>
      </c>
      <c r="J698" s="5">
        <v>4.3269882E7</v>
      </c>
      <c r="K698" s="5">
        <f t="shared" si="2"/>
        <v>6445118</v>
      </c>
    </row>
    <row r="699">
      <c r="A699" s="2">
        <v>2021.0</v>
      </c>
      <c r="B699" s="1" t="s">
        <v>332</v>
      </c>
      <c r="C699" s="5" t="s">
        <v>618</v>
      </c>
      <c r="E699" s="1" t="s">
        <v>201</v>
      </c>
      <c r="F699" s="5">
        <v>201000.0</v>
      </c>
      <c r="G699" s="5">
        <v>3.1171E7</v>
      </c>
      <c r="H699" s="5">
        <v>89000.0</v>
      </c>
      <c r="I699" s="5">
        <f t="shared" si="1"/>
        <v>31461000</v>
      </c>
      <c r="J699" s="5">
        <v>3.0744E7</v>
      </c>
      <c r="K699" s="5">
        <f t="shared" si="2"/>
        <v>717000</v>
      </c>
    </row>
    <row r="700">
      <c r="A700" s="2">
        <v>2021.0</v>
      </c>
      <c r="B700" s="1" t="s">
        <v>332</v>
      </c>
      <c r="C700" s="5" t="s">
        <v>877</v>
      </c>
      <c r="E700" s="1" t="s">
        <v>201</v>
      </c>
      <c r="F700" s="5">
        <v>1040911.0</v>
      </c>
      <c r="G700" s="5">
        <v>3776108.0</v>
      </c>
      <c r="H700" s="5">
        <v>0.0</v>
      </c>
      <c r="I700" s="5">
        <f t="shared" si="1"/>
        <v>4817019</v>
      </c>
      <c r="J700" s="5">
        <v>4817019.0</v>
      </c>
      <c r="K700" s="5">
        <f t="shared" si="2"/>
        <v>0</v>
      </c>
    </row>
    <row r="701">
      <c r="A701" s="2">
        <v>2021.0</v>
      </c>
      <c r="B701" s="1" t="s">
        <v>332</v>
      </c>
      <c r="C701" s="5" t="s">
        <v>623</v>
      </c>
      <c r="E701" s="1" t="s">
        <v>201</v>
      </c>
      <c r="F701" s="5">
        <v>6445118.0</v>
      </c>
      <c r="G701" s="5">
        <f>I701-F701-H701</f>
        <v>75463486</v>
      </c>
      <c r="H701" s="5">
        <v>110776.0</v>
      </c>
      <c r="I701" s="5">
        <v>8.201938E7</v>
      </c>
      <c r="J701" s="5">
        <v>8.2015881E7</v>
      </c>
      <c r="K701" s="5">
        <f t="shared" si="2"/>
        <v>3499</v>
      </c>
    </row>
    <row r="702">
      <c r="A702" s="2">
        <v>2021.0</v>
      </c>
      <c r="B702" s="1" t="s">
        <v>595</v>
      </c>
      <c r="C702" s="5" t="s">
        <v>753</v>
      </c>
      <c r="E702" s="1" t="s">
        <v>201</v>
      </c>
      <c r="F702" s="5">
        <v>297332.0</v>
      </c>
      <c r="G702" s="5">
        <v>5711522.0</v>
      </c>
      <c r="H702" s="5">
        <v>19474.0</v>
      </c>
      <c r="I702" s="5">
        <f t="shared" ref="I702:I704" si="3">F702+G702+H702</f>
        <v>6028328</v>
      </c>
      <c r="J702" s="5">
        <v>5182419.0</v>
      </c>
      <c r="K702" s="5">
        <v>845909.0</v>
      </c>
    </row>
    <row r="703">
      <c r="A703" s="2">
        <v>2021.0</v>
      </c>
      <c r="B703" s="1" t="s">
        <v>595</v>
      </c>
      <c r="C703" s="5" t="s">
        <v>764</v>
      </c>
      <c r="E703" s="1" t="s">
        <v>201</v>
      </c>
      <c r="F703" s="5">
        <v>619929.0</v>
      </c>
      <c r="G703" s="5">
        <v>4661000.0</v>
      </c>
      <c r="H703" s="5">
        <v>52431.0</v>
      </c>
      <c r="I703" s="5">
        <f t="shared" si="3"/>
        <v>5333360</v>
      </c>
      <c r="J703" s="5">
        <v>5082255.0</v>
      </c>
      <c r="K703" s="5">
        <v>251105.0</v>
      </c>
    </row>
    <row r="704">
      <c r="A704" s="2">
        <v>2021.0</v>
      </c>
      <c r="B704" s="1" t="s">
        <v>595</v>
      </c>
      <c r="C704" s="5" t="s">
        <v>618</v>
      </c>
      <c r="E704" s="1" t="s">
        <v>201</v>
      </c>
      <c r="F704" s="5">
        <v>717000.0</v>
      </c>
      <c r="G704" s="5">
        <v>1.2456E7</v>
      </c>
      <c r="H704" s="5">
        <v>54000.0</v>
      </c>
      <c r="I704" s="5">
        <f t="shared" si="3"/>
        <v>13227000</v>
      </c>
      <c r="J704" s="5">
        <v>1.2953E7</v>
      </c>
      <c r="K704" s="5">
        <v>274000.0</v>
      </c>
    </row>
    <row r="705">
      <c r="A705" s="2">
        <v>2021.0</v>
      </c>
      <c r="B705" s="1" t="s">
        <v>595</v>
      </c>
      <c r="C705" s="5" t="s">
        <v>623</v>
      </c>
      <c r="E705" s="1" t="s">
        <v>201</v>
      </c>
      <c r="F705" s="5">
        <v>3499.0</v>
      </c>
      <c r="G705" s="5">
        <f>I705-F705-H705</f>
        <v>34636384</v>
      </c>
      <c r="H705" s="5">
        <v>64747.0</v>
      </c>
      <c r="I705" s="5">
        <v>3.470463E7</v>
      </c>
      <c r="J705" s="5">
        <f>I705-K705</f>
        <v>34662100</v>
      </c>
      <c r="K705" s="5">
        <v>42530.0</v>
      </c>
    </row>
    <row r="706">
      <c r="A706" s="2">
        <v>2021.0</v>
      </c>
      <c r="B706" s="1" t="s">
        <v>596</v>
      </c>
      <c r="C706" s="5" t="s">
        <v>753</v>
      </c>
      <c r="E706" s="1" t="s">
        <v>201</v>
      </c>
      <c r="F706" s="5">
        <v>845909.0</v>
      </c>
      <c r="G706" s="5">
        <v>2000000.0</v>
      </c>
      <c r="H706" s="5">
        <v>5003.0</v>
      </c>
      <c r="I706" s="5">
        <f t="shared" ref="I706:I709" si="4">SUM(F706:H706)</f>
        <v>2850912</v>
      </c>
      <c r="J706" s="5">
        <v>2775199.0</v>
      </c>
      <c r="K706" s="5">
        <v>75713.0</v>
      </c>
    </row>
    <row r="707">
      <c r="A707" s="2">
        <v>2021.0</v>
      </c>
      <c r="B707" s="1" t="s">
        <v>596</v>
      </c>
      <c r="C707" s="5" t="s">
        <v>764</v>
      </c>
      <c r="E707" s="1" t="s">
        <v>201</v>
      </c>
      <c r="F707" s="5">
        <v>251105.0</v>
      </c>
      <c r="G707" s="5">
        <v>309448.0</v>
      </c>
      <c r="H707" s="5">
        <v>22505.0</v>
      </c>
      <c r="I707" s="5">
        <f t="shared" si="4"/>
        <v>583058</v>
      </c>
      <c r="J707" s="5">
        <v>314259.0</v>
      </c>
      <c r="K707" s="5">
        <v>268799.0</v>
      </c>
    </row>
    <row r="708">
      <c r="A708" s="2">
        <v>2021.0</v>
      </c>
      <c r="B708" s="1" t="s">
        <v>596</v>
      </c>
      <c r="C708" s="5" t="s">
        <v>618</v>
      </c>
      <c r="E708" s="1" t="s">
        <v>201</v>
      </c>
      <c r="F708" s="5">
        <v>274000.0</v>
      </c>
      <c r="G708" s="5">
        <v>25000.0</v>
      </c>
      <c r="H708" s="5">
        <v>7000.0</v>
      </c>
      <c r="I708" s="5">
        <f t="shared" si="4"/>
        <v>306000</v>
      </c>
      <c r="J708" s="5">
        <v>267000.0</v>
      </c>
      <c r="K708" s="5">
        <v>39000.0</v>
      </c>
    </row>
    <row r="709">
      <c r="A709" s="2">
        <v>2021.0</v>
      </c>
      <c r="B709" s="1" t="s">
        <v>596</v>
      </c>
      <c r="C709" s="5" t="s">
        <v>623</v>
      </c>
      <c r="E709" s="1" t="s">
        <v>201</v>
      </c>
      <c r="F709" s="5">
        <v>42530.0</v>
      </c>
      <c r="G709" s="5">
        <v>469736.0</v>
      </c>
      <c r="H709" s="5">
        <v>6133.0</v>
      </c>
      <c r="I709" s="5">
        <f t="shared" si="4"/>
        <v>518399</v>
      </c>
      <c r="J709" s="5">
        <f>I709-K709</f>
        <v>512266</v>
      </c>
      <c r="K709" s="5">
        <v>6133.0</v>
      </c>
    </row>
    <row r="710">
      <c r="A710" s="2">
        <v>2021.0</v>
      </c>
      <c r="B710" s="1" t="s">
        <v>596</v>
      </c>
      <c r="C710" s="5" t="s">
        <v>603</v>
      </c>
      <c r="D710" s="5" t="s">
        <v>604</v>
      </c>
      <c r="F710" s="5">
        <v>267312.0</v>
      </c>
      <c r="G710" s="5">
        <v>97275.0</v>
      </c>
      <c r="H710" s="5">
        <v>13262.0</v>
      </c>
      <c r="I710" s="5">
        <v>377849.0</v>
      </c>
      <c r="J710" s="5">
        <v>48860.0</v>
      </c>
      <c r="K710" s="5">
        <v>328989.0</v>
      </c>
    </row>
    <row r="711">
      <c r="A711" s="2">
        <v>2021.0</v>
      </c>
      <c r="B711" s="1" t="s">
        <v>596</v>
      </c>
      <c r="F711" s="5">
        <v>1363466.0</v>
      </c>
      <c r="G711" s="5">
        <v>2139330.0</v>
      </c>
      <c r="H711" s="5">
        <v>37437.0</v>
      </c>
      <c r="I711" s="5">
        <v>3540233.0</v>
      </c>
      <c r="J711" s="5">
        <v>2956102.0</v>
      </c>
      <c r="K711" s="5">
        <v>584131.0</v>
      </c>
    </row>
    <row r="712">
      <c r="A712" s="2">
        <v>2021.0</v>
      </c>
      <c r="B712" s="1" t="s">
        <v>596</v>
      </c>
      <c r="C712" s="5" t="s">
        <v>603</v>
      </c>
      <c r="D712" s="5" t="s">
        <v>604</v>
      </c>
      <c r="F712" s="5">
        <f t="shared" ref="F712:K712" si="5">SUM(F710:F711)</f>
        <v>1630778</v>
      </c>
      <c r="G712" s="5">
        <f t="shared" si="5"/>
        <v>2236605</v>
      </c>
      <c r="H712" s="5">
        <f t="shared" si="5"/>
        <v>50699</v>
      </c>
      <c r="I712" s="5">
        <f t="shared" si="5"/>
        <v>3918082</v>
      </c>
      <c r="J712" s="5">
        <f t="shared" si="5"/>
        <v>3004962</v>
      </c>
      <c r="K712" s="5">
        <f t="shared" si="5"/>
        <v>913120</v>
      </c>
    </row>
    <row r="713">
      <c r="A713" s="2">
        <v>2021.0</v>
      </c>
      <c r="B713" s="1" t="s">
        <v>596</v>
      </c>
      <c r="D713" s="5" t="s">
        <v>778</v>
      </c>
      <c r="F713" s="5">
        <v>0.0</v>
      </c>
      <c r="G713" s="5">
        <v>2804490.0</v>
      </c>
      <c r="H713" s="5">
        <v>18855.0</v>
      </c>
      <c r="I713" s="5">
        <v>2823345.0</v>
      </c>
      <c r="J713" s="5">
        <v>1732632.0</v>
      </c>
      <c r="K713" s="5">
        <v>1090713.0</v>
      </c>
    </row>
    <row r="714">
      <c r="A714" s="2">
        <v>2021.0</v>
      </c>
      <c r="B714" s="1" t="s">
        <v>596</v>
      </c>
      <c r="D714" s="5" t="s">
        <v>778</v>
      </c>
      <c r="F714" s="5">
        <v>0.0</v>
      </c>
      <c r="G714" s="5">
        <v>2804490.0</v>
      </c>
      <c r="H714" s="5">
        <v>18855.0</v>
      </c>
      <c r="I714" s="5">
        <v>2823345.0</v>
      </c>
      <c r="J714" s="5">
        <v>1732632.0</v>
      </c>
      <c r="K714" s="5">
        <v>1090713.0</v>
      </c>
    </row>
    <row r="715">
      <c r="A715" s="2">
        <v>2021.0</v>
      </c>
      <c r="B715" s="1" t="s">
        <v>596</v>
      </c>
      <c r="D715" s="5" t="s">
        <v>610</v>
      </c>
      <c r="F715" s="5">
        <v>1269737.0</v>
      </c>
      <c r="G715" s="5">
        <v>3985284.0</v>
      </c>
      <c r="I715" s="5">
        <v>5255021.0</v>
      </c>
      <c r="J715" s="5">
        <v>2398363.0</v>
      </c>
      <c r="K715" s="5">
        <v>2856658.0</v>
      </c>
    </row>
    <row r="716">
      <c r="A716" s="2">
        <v>2021.0</v>
      </c>
      <c r="B716" s="1" t="s">
        <v>596</v>
      </c>
      <c r="F716" s="5">
        <v>140284.0</v>
      </c>
      <c r="G716" s="5">
        <v>103325.0</v>
      </c>
      <c r="H716" s="5">
        <v>7418.0</v>
      </c>
      <c r="I716" s="5">
        <v>215961.0</v>
      </c>
      <c r="J716" s="5">
        <v>0.0</v>
      </c>
      <c r="K716" s="5">
        <v>215961.0</v>
      </c>
    </row>
    <row r="717">
      <c r="A717" s="2">
        <v>2021.0</v>
      </c>
      <c r="B717" s="1" t="s">
        <v>596</v>
      </c>
      <c r="D717" s="5" t="s">
        <v>610</v>
      </c>
      <c r="F717" s="5">
        <f t="shared" ref="F717:K717" si="6">SUM(F715:F716)</f>
        <v>1410021</v>
      </c>
      <c r="G717" s="5">
        <f t="shared" si="6"/>
        <v>4088609</v>
      </c>
      <c r="H717" s="5">
        <f t="shared" si="6"/>
        <v>7418</v>
      </c>
      <c r="I717" s="5">
        <f t="shared" si="6"/>
        <v>5470982</v>
      </c>
      <c r="J717" s="5">
        <f t="shared" si="6"/>
        <v>2398363</v>
      </c>
      <c r="K717" s="5">
        <f t="shared" si="6"/>
        <v>3072619</v>
      </c>
    </row>
    <row r="718">
      <c r="A718" s="2">
        <v>2021.0</v>
      </c>
      <c r="B718" s="1" t="s">
        <v>596</v>
      </c>
      <c r="D718" s="5" t="s">
        <v>612</v>
      </c>
      <c r="F718" s="5">
        <v>6242.0</v>
      </c>
      <c r="H718" s="5">
        <v>271.0</v>
      </c>
      <c r="I718" s="5">
        <v>6513.0</v>
      </c>
      <c r="J718" s="5">
        <v>0.0</v>
      </c>
      <c r="K718" s="5">
        <v>6513.0</v>
      </c>
    </row>
    <row r="719">
      <c r="A719" s="2">
        <v>2021.0</v>
      </c>
      <c r="B719" s="1" t="s">
        <v>596</v>
      </c>
      <c r="F719" s="5">
        <v>307670.0</v>
      </c>
      <c r="G719" s="5">
        <v>2895882.0</v>
      </c>
      <c r="H719" s="5">
        <v>55238.0</v>
      </c>
      <c r="I719" s="5">
        <v>3258790.0</v>
      </c>
      <c r="J719" s="5">
        <v>1344547.0</v>
      </c>
      <c r="K719" s="5">
        <v>1914243.0</v>
      </c>
    </row>
    <row r="720">
      <c r="A720" s="2">
        <v>2021.0</v>
      </c>
      <c r="B720" s="1" t="s">
        <v>596</v>
      </c>
      <c r="F720" s="5">
        <v>1406365.0</v>
      </c>
      <c r="G720" s="5">
        <v>947962.0</v>
      </c>
      <c r="H720" s="5">
        <v>26957.0</v>
      </c>
      <c r="I720" s="5">
        <v>2381284.0</v>
      </c>
      <c r="J720" s="5">
        <v>2091692.0</v>
      </c>
      <c r="K720" s="5">
        <v>289592.0</v>
      </c>
    </row>
    <row r="721">
      <c r="A721" s="2">
        <v>2021.0</v>
      </c>
      <c r="B721" s="1" t="s">
        <v>596</v>
      </c>
      <c r="F721" s="5">
        <v>43406.0</v>
      </c>
      <c r="G721" s="5">
        <v>52815.0</v>
      </c>
      <c r="H721" s="5">
        <v>2513.0</v>
      </c>
      <c r="I721" s="5">
        <v>98734.0</v>
      </c>
      <c r="J721" s="5">
        <v>31540.0</v>
      </c>
      <c r="K721" s="5">
        <v>67194.0</v>
      </c>
    </row>
    <row r="722">
      <c r="A722" s="2">
        <v>2021.0</v>
      </c>
      <c r="B722" s="1" t="s">
        <v>596</v>
      </c>
      <c r="F722" s="5">
        <v>4349.0</v>
      </c>
      <c r="G722" s="5">
        <v>0.0</v>
      </c>
      <c r="H722" s="5">
        <v>189.0</v>
      </c>
      <c r="I722" s="5">
        <v>4538.0</v>
      </c>
      <c r="J722" s="5">
        <v>0.0</v>
      </c>
      <c r="K722" s="5">
        <v>4538.0</v>
      </c>
    </row>
    <row r="723">
      <c r="A723" s="2">
        <v>2021.0</v>
      </c>
      <c r="B723" s="1" t="s">
        <v>596</v>
      </c>
      <c r="D723" s="5" t="s">
        <v>612</v>
      </c>
      <c r="F723" s="5">
        <f t="shared" ref="F723:K723" si="7">SUM(F718:F722)</f>
        <v>1768032</v>
      </c>
      <c r="G723" s="5">
        <f t="shared" si="7"/>
        <v>3896659</v>
      </c>
      <c r="H723" s="5">
        <f t="shared" si="7"/>
        <v>85168</v>
      </c>
      <c r="I723" s="5">
        <f t="shared" si="7"/>
        <v>5749859</v>
      </c>
      <c r="J723" s="5">
        <f t="shared" si="7"/>
        <v>3467779</v>
      </c>
      <c r="K723" s="5">
        <f t="shared" si="7"/>
        <v>2282080</v>
      </c>
    </row>
    <row r="724">
      <c r="A724" s="2">
        <v>2021.0</v>
      </c>
      <c r="B724" s="1" t="s">
        <v>596</v>
      </c>
      <c r="D724" s="5" t="s">
        <v>607</v>
      </c>
      <c r="F724" s="5">
        <v>1590.0</v>
      </c>
      <c r="G724" s="5">
        <v>0.0</v>
      </c>
      <c r="H724" s="5">
        <v>0.0</v>
      </c>
      <c r="I724" s="5">
        <v>1590.0</v>
      </c>
      <c r="J724" s="5">
        <v>0.0</v>
      </c>
      <c r="K724" s="5">
        <v>1590.0</v>
      </c>
    </row>
    <row r="725">
      <c r="A725" s="2">
        <v>2021.0</v>
      </c>
      <c r="B725" s="1" t="s">
        <v>596</v>
      </c>
      <c r="F725" s="5">
        <v>436368.0</v>
      </c>
      <c r="G725" s="5">
        <v>0.0</v>
      </c>
      <c r="H725" s="5">
        <v>0.0</v>
      </c>
      <c r="I725" s="5">
        <v>436368.0</v>
      </c>
      <c r="J725" s="5">
        <v>436368.0</v>
      </c>
      <c r="K725" s="5">
        <v>0.0</v>
      </c>
    </row>
    <row r="726">
      <c r="A726" s="2">
        <v>2021.0</v>
      </c>
      <c r="B726" s="1" t="s">
        <v>596</v>
      </c>
      <c r="F726" s="5">
        <v>1394502.0</v>
      </c>
      <c r="G726" s="5">
        <v>2575284.0</v>
      </c>
      <c r="H726" s="5">
        <v>0.0</v>
      </c>
      <c r="I726" s="5">
        <v>3969786.0</v>
      </c>
      <c r="J726" s="5">
        <v>779955.0</v>
      </c>
      <c r="K726" s="5">
        <v>3189831.0</v>
      </c>
    </row>
    <row r="727">
      <c r="A727" s="2">
        <v>2021.0</v>
      </c>
      <c r="B727" s="1" t="s">
        <v>596</v>
      </c>
      <c r="F727" s="5">
        <v>585474.0</v>
      </c>
      <c r="G727" s="5">
        <v>2509515.0</v>
      </c>
      <c r="I727" s="5">
        <v>3094989.0</v>
      </c>
      <c r="J727" s="5">
        <v>1951821.0</v>
      </c>
      <c r="K727" s="5">
        <v>1143168.0</v>
      </c>
    </row>
    <row r="728">
      <c r="A728" s="2">
        <v>2021.0</v>
      </c>
      <c r="B728" s="1" t="s">
        <v>596</v>
      </c>
      <c r="F728" s="5">
        <v>91851.0</v>
      </c>
      <c r="G728" s="5">
        <v>350461.0</v>
      </c>
      <c r="H728" s="5">
        <v>0.0</v>
      </c>
      <c r="I728" s="5">
        <v>442312.0</v>
      </c>
      <c r="J728" s="5">
        <v>325043.0</v>
      </c>
      <c r="K728" s="5">
        <v>117269.0</v>
      </c>
    </row>
    <row r="729">
      <c r="A729" s="2">
        <v>2021.0</v>
      </c>
      <c r="B729" s="1" t="s">
        <v>596</v>
      </c>
      <c r="F729" s="5">
        <v>0.0</v>
      </c>
      <c r="G729" s="5">
        <v>254995.0</v>
      </c>
      <c r="H729" s="5">
        <v>0.0</v>
      </c>
      <c r="I729" s="5">
        <v>254995.0</v>
      </c>
      <c r="J729" s="5">
        <v>254995.0</v>
      </c>
      <c r="K729" s="5">
        <v>0.0</v>
      </c>
    </row>
    <row r="730">
      <c r="A730" s="2">
        <v>2021.0</v>
      </c>
      <c r="B730" s="1" t="s">
        <v>596</v>
      </c>
      <c r="D730" s="5" t="s">
        <v>607</v>
      </c>
      <c r="F730" s="5">
        <f t="shared" ref="F730:K730" si="8">SUM(F724:F729)</f>
        <v>2509785</v>
      </c>
      <c r="G730" s="5">
        <f t="shared" si="8"/>
        <v>5690255</v>
      </c>
      <c r="H730" s="5">
        <f t="shared" si="8"/>
        <v>0</v>
      </c>
      <c r="I730" s="5">
        <f t="shared" si="8"/>
        <v>8200040</v>
      </c>
      <c r="J730" s="5">
        <f t="shared" si="8"/>
        <v>3748182</v>
      </c>
      <c r="K730" s="5">
        <f t="shared" si="8"/>
        <v>4451858</v>
      </c>
    </row>
    <row r="731">
      <c r="A731" s="2">
        <v>2021.0</v>
      </c>
      <c r="B731" s="1" t="s">
        <v>596</v>
      </c>
      <c r="D731" s="5" t="s">
        <v>79</v>
      </c>
      <c r="F731" s="5">
        <v>6601.0</v>
      </c>
      <c r="G731" s="5">
        <v>0.0</v>
      </c>
      <c r="H731" s="5">
        <v>286.0</v>
      </c>
      <c r="I731" s="5">
        <v>6887.0</v>
      </c>
      <c r="J731" s="5">
        <v>0.0</v>
      </c>
      <c r="K731" s="5">
        <v>6887.0</v>
      </c>
    </row>
    <row r="732">
      <c r="A732" s="2">
        <v>2021.0</v>
      </c>
      <c r="B732" s="1" t="s">
        <v>596</v>
      </c>
      <c r="F732" s="5">
        <v>2322.0</v>
      </c>
      <c r="G732" s="5">
        <v>0.0</v>
      </c>
      <c r="H732" s="5">
        <v>101.0</v>
      </c>
      <c r="I732" s="5">
        <v>2423.0</v>
      </c>
      <c r="J732" s="5">
        <v>0.0</v>
      </c>
      <c r="K732" s="5">
        <v>2423.0</v>
      </c>
    </row>
    <row r="733">
      <c r="A733" s="2">
        <v>2021.0</v>
      </c>
      <c r="B733" s="1" t="s">
        <v>596</v>
      </c>
      <c r="F733" s="5">
        <v>709922.0</v>
      </c>
      <c r="G733" s="5">
        <v>41706.0</v>
      </c>
      <c r="H733" s="5">
        <v>9613.0</v>
      </c>
      <c r="I733" s="5">
        <v>761241.0</v>
      </c>
      <c r="J733" s="5">
        <v>750465.0</v>
      </c>
      <c r="K733" s="5">
        <v>10776.0</v>
      </c>
    </row>
    <row r="734">
      <c r="A734" s="2">
        <v>2021.0</v>
      </c>
      <c r="B734" s="1" t="s">
        <v>596</v>
      </c>
      <c r="F734" s="5">
        <v>95893.0</v>
      </c>
      <c r="G734" s="5">
        <v>34000.0</v>
      </c>
      <c r="H734" s="5">
        <v>2513.0</v>
      </c>
      <c r="I734" s="5">
        <v>132406.0</v>
      </c>
      <c r="J734" s="5">
        <v>42475.0</v>
      </c>
      <c r="K734" s="5">
        <v>89931.0</v>
      </c>
    </row>
    <row r="735">
      <c r="A735" s="2">
        <v>2021.0</v>
      </c>
      <c r="B735" s="1" t="s">
        <v>596</v>
      </c>
      <c r="D735" s="5" t="s">
        <v>79</v>
      </c>
      <c r="F735" s="5">
        <f t="shared" ref="F735:K735" si="9">SUM(F731:F734)</f>
        <v>814738</v>
      </c>
      <c r="G735" s="5">
        <f t="shared" si="9"/>
        <v>75706</v>
      </c>
      <c r="H735" s="5">
        <f t="shared" si="9"/>
        <v>12513</v>
      </c>
      <c r="I735" s="5">
        <f t="shared" si="9"/>
        <v>902957</v>
      </c>
      <c r="J735" s="5">
        <f t="shared" si="9"/>
        <v>792940</v>
      </c>
      <c r="K735" s="5">
        <f t="shared" si="9"/>
        <v>110017</v>
      </c>
    </row>
    <row r="736">
      <c r="A736" s="2">
        <v>2021.0</v>
      </c>
      <c r="B736" s="1" t="s">
        <v>596</v>
      </c>
      <c r="D736" s="5" t="s">
        <v>615</v>
      </c>
      <c r="F736" s="5">
        <v>123013.0</v>
      </c>
      <c r="G736" s="5">
        <v>17630.0</v>
      </c>
      <c r="H736" s="5">
        <v>4466.0</v>
      </c>
      <c r="I736" s="5">
        <f t="shared" ref="I736:I737" si="10">SUM(F736:H736)</f>
        <v>145109</v>
      </c>
      <c r="J736" s="5">
        <v>56018.0</v>
      </c>
      <c r="K736" s="5">
        <f t="shared" ref="K736:K737" si="11">I736-J736</f>
        <v>89091</v>
      </c>
    </row>
    <row r="737">
      <c r="A737" s="2">
        <v>2021.0</v>
      </c>
      <c r="B737" s="1" t="s">
        <v>596</v>
      </c>
      <c r="F737" s="5">
        <v>2885728.0</v>
      </c>
      <c r="G737" s="5">
        <v>3896226.0</v>
      </c>
      <c r="H737" s="5">
        <v>117466.0</v>
      </c>
      <c r="I737" s="5">
        <f t="shared" si="10"/>
        <v>6899420</v>
      </c>
      <c r="J737" s="5">
        <v>3475460.0</v>
      </c>
      <c r="K737" s="5">
        <f t="shared" si="11"/>
        <v>3423960</v>
      </c>
    </row>
    <row r="738">
      <c r="A738" s="2">
        <v>2021.0</v>
      </c>
      <c r="B738" s="1" t="s">
        <v>596</v>
      </c>
      <c r="D738" s="5" t="s">
        <v>615</v>
      </c>
      <c r="F738" s="5">
        <f t="shared" ref="F738:K738" si="12">SUM(F736:F737)</f>
        <v>3008741</v>
      </c>
      <c r="G738" s="5">
        <f t="shared" si="12"/>
        <v>3913856</v>
      </c>
      <c r="H738" s="5">
        <f t="shared" si="12"/>
        <v>121932</v>
      </c>
      <c r="I738" s="5">
        <f t="shared" si="12"/>
        <v>7044529</v>
      </c>
      <c r="J738" s="5">
        <f t="shared" si="12"/>
        <v>3531478</v>
      </c>
      <c r="K738" s="5">
        <f t="shared" si="12"/>
        <v>3513051</v>
      </c>
    </row>
    <row r="739">
      <c r="A739" s="2">
        <v>2021.0</v>
      </c>
      <c r="B739" s="1" t="s">
        <v>596</v>
      </c>
      <c r="D739" s="5" t="s">
        <v>618</v>
      </c>
      <c r="F739" s="5">
        <v>0.0</v>
      </c>
      <c r="G739" s="5">
        <v>0.0</v>
      </c>
      <c r="H739" s="5">
        <v>0.0</v>
      </c>
      <c r="I739" s="5">
        <v>0.0</v>
      </c>
      <c r="J739" s="5">
        <v>0.0</v>
      </c>
      <c r="K739" s="5">
        <v>0.0</v>
      </c>
    </row>
    <row r="740">
      <c r="A740" s="2">
        <v>2021.0</v>
      </c>
      <c r="B740" s="1" t="s">
        <v>596</v>
      </c>
      <c r="F740" s="5">
        <v>0.0</v>
      </c>
      <c r="G740" s="5">
        <v>0.0</v>
      </c>
      <c r="H740" s="5">
        <v>0.0</v>
      </c>
      <c r="I740" s="5">
        <v>0.0</v>
      </c>
      <c r="J740" s="5">
        <v>0.0</v>
      </c>
      <c r="K740" s="5">
        <v>0.0</v>
      </c>
    </row>
    <row r="741">
      <c r="A741" s="2">
        <v>2021.0</v>
      </c>
      <c r="B741" s="1" t="s">
        <v>596</v>
      </c>
      <c r="F741" s="5">
        <v>2343337.0</v>
      </c>
      <c r="G741" s="5">
        <v>24000.0</v>
      </c>
      <c r="H741" s="5">
        <v>72280.0</v>
      </c>
      <c r="I741" s="5">
        <v>2439617.0</v>
      </c>
      <c r="J741" s="5">
        <v>560505.0</v>
      </c>
      <c r="K741" s="5">
        <v>1879112.0</v>
      </c>
    </row>
    <row r="742">
      <c r="A742" s="2">
        <v>2021.0</v>
      </c>
      <c r="B742" s="1" t="s">
        <v>596</v>
      </c>
      <c r="F742" s="5">
        <v>0.0</v>
      </c>
      <c r="G742" s="5">
        <v>0.0</v>
      </c>
      <c r="H742" s="5">
        <v>0.0</v>
      </c>
      <c r="I742" s="5">
        <v>0.0</v>
      </c>
      <c r="J742" s="5">
        <v>0.0</v>
      </c>
      <c r="K742" s="5">
        <v>0.0</v>
      </c>
    </row>
    <row r="743">
      <c r="A743" s="2">
        <v>2021.0</v>
      </c>
      <c r="B743" s="1" t="s">
        <v>596</v>
      </c>
      <c r="F743" s="5">
        <v>39393.0</v>
      </c>
      <c r="G743" s="5">
        <v>235390.0</v>
      </c>
      <c r="H743" s="5">
        <v>1399.0</v>
      </c>
      <c r="I743" s="5">
        <f>SUM(F743:H743)</f>
        <v>276182</v>
      </c>
      <c r="J743" s="5">
        <v>123000.0</v>
      </c>
      <c r="K743" s="5">
        <f>I743-J743</f>
        <v>153182</v>
      </c>
    </row>
    <row r="744">
      <c r="A744" s="2">
        <v>2021.0</v>
      </c>
      <c r="B744" s="1" t="s">
        <v>596</v>
      </c>
      <c r="F744" s="5">
        <v>4049838.0</v>
      </c>
      <c r="G744" s="5">
        <v>9188449.0</v>
      </c>
      <c r="H744" s="5">
        <v>286276.0</v>
      </c>
      <c r="I744" s="5">
        <v>1.3524563E7</v>
      </c>
      <c r="J744" s="5">
        <v>4519911.0</v>
      </c>
      <c r="K744" s="5">
        <v>9004652.0</v>
      </c>
    </row>
    <row r="745">
      <c r="A745" s="2">
        <v>2021.0</v>
      </c>
      <c r="B745" s="1" t="s">
        <v>596</v>
      </c>
      <c r="C745" s="5" t="s">
        <v>618</v>
      </c>
      <c r="D745" s="5" t="s">
        <v>618</v>
      </c>
      <c r="F745" s="5">
        <f t="shared" ref="F745:K745" si="13">SUM(F739:F744)</f>
        <v>6432568</v>
      </c>
      <c r="G745" s="5">
        <f t="shared" si="13"/>
        <v>9447839</v>
      </c>
      <c r="H745" s="5">
        <f t="shared" si="13"/>
        <v>359955</v>
      </c>
      <c r="I745" s="5">
        <f t="shared" si="13"/>
        <v>16240362</v>
      </c>
      <c r="J745" s="5">
        <f t="shared" si="13"/>
        <v>5203416</v>
      </c>
      <c r="K745" s="5">
        <f t="shared" si="13"/>
        <v>11036946</v>
      </c>
    </row>
    <row r="746">
      <c r="A746" s="2">
        <v>2021.0</v>
      </c>
      <c r="B746" s="1" t="s">
        <v>596</v>
      </c>
      <c r="D746" s="5" t="s">
        <v>619</v>
      </c>
      <c r="F746" s="5">
        <v>4956.0</v>
      </c>
      <c r="G746" s="5">
        <v>0.0</v>
      </c>
      <c r="H746" s="5">
        <v>94.0</v>
      </c>
      <c r="I746" s="5">
        <v>5050.0</v>
      </c>
      <c r="J746" s="5">
        <v>0.0</v>
      </c>
      <c r="K746" s="5">
        <v>5050.0</v>
      </c>
    </row>
    <row r="747">
      <c r="A747" s="2">
        <v>2021.0</v>
      </c>
      <c r="B747" s="1" t="s">
        <v>596</v>
      </c>
      <c r="F747" s="5">
        <v>950303.0</v>
      </c>
      <c r="G747" s="5">
        <v>3300927.0</v>
      </c>
      <c r="H747" s="5">
        <v>74954.0</v>
      </c>
      <c r="I747" s="5">
        <v>4326184.0</v>
      </c>
      <c r="J747" s="5">
        <v>1539684.0</v>
      </c>
      <c r="K747" s="5">
        <v>2786500.0</v>
      </c>
    </row>
    <row r="748">
      <c r="A748" s="2">
        <v>2021.0</v>
      </c>
      <c r="B748" s="1" t="s">
        <v>596</v>
      </c>
      <c r="F748" s="5">
        <v>355749.0</v>
      </c>
      <c r="G748" s="5">
        <v>798246.0</v>
      </c>
      <c r="H748" s="5">
        <v>12142.0</v>
      </c>
      <c r="I748" s="5">
        <v>1166137.0</v>
      </c>
      <c r="J748" s="5">
        <v>704192.0</v>
      </c>
      <c r="K748" s="5">
        <v>461945.0</v>
      </c>
    </row>
    <row r="749">
      <c r="A749" s="2">
        <v>2021.0</v>
      </c>
      <c r="B749" s="1" t="s">
        <v>596</v>
      </c>
      <c r="F749" s="5">
        <v>5030.0</v>
      </c>
      <c r="G749" s="5">
        <v>0.0</v>
      </c>
      <c r="H749" s="5">
        <v>201.0</v>
      </c>
      <c r="I749" s="5">
        <v>5231.0</v>
      </c>
      <c r="J749" s="5">
        <v>0.0</v>
      </c>
      <c r="K749" s="5">
        <v>5231.0</v>
      </c>
    </row>
    <row r="750">
      <c r="A750" s="2">
        <v>2021.0</v>
      </c>
      <c r="B750" s="1" t="s">
        <v>596</v>
      </c>
      <c r="F750" s="5">
        <v>47418.0</v>
      </c>
      <c r="G750" s="5">
        <v>82340.0</v>
      </c>
      <c r="H750" s="5">
        <v>1589.0</v>
      </c>
      <c r="I750" s="5">
        <v>131347.0</v>
      </c>
      <c r="J750" s="5">
        <v>0.0</v>
      </c>
      <c r="K750" s="5">
        <v>131347.0</v>
      </c>
    </row>
    <row r="751">
      <c r="A751" s="2">
        <v>2021.0</v>
      </c>
      <c r="B751" s="1" t="s">
        <v>596</v>
      </c>
      <c r="F751" s="5">
        <v>16675.0</v>
      </c>
      <c r="G751" s="5">
        <v>15010.0</v>
      </c>
      <c r="H751" s="5">
        <v>551.0</v>
      </c>
      <c r="I751" s="5">
        <v>32236.0</v>
      </c>
      <c r="J751" s="5">
        <v>0.0</v>
      </c>
      <c r="K751" s="5">
        <v>32236.0</v>
      </c>
    </row>
    <row r="752">
      <c r="A752" s="2">
        <v>2021.0</v>
      </c>
      <c r="B752" s="1" t="s">
        <v>596</v>
      </c>
      <c r="D752" s="5" t="s">
        <v>619</v>
      </c>
      <c r="F752" s="5">
        <f t="shared" ref="F752:K752" si="14">SUM(F746:F751)</f>
        <v>1380131</v>
      </c>
      <c r="G752" s="5">
        <f t="shared" si="14"/>
        <v>4196523</v>
      </c>
      <c r="H752" s="5">
        <f t="shared" si="14"/>
        <v>89531</v>
      </c>
      <c r="I752" s="5">
        <f t="shared" si="14"/>
        <v>5666185</v>
      </c>
      <c r="J752" s="5">
        <f t="shared" si="14"/>
        <v>2243876</v>
      </c>
      <c r="K752" s="5">
        <f t="shared" si="14"/>
        <v>3422309</v>
      </c>
    </row>
    <row r="753">
      <c r="A753" s="2">
        <v>2021.0</v>
      </c>
      <c r="B753" s="1" t="s">
        <v>596</v>
      </c>
      <c r="D753" s="5" t="s">
        <v>621</v>
      </c>
      <c r="F753" s="5">
        <v>4990002.0</v>
      </c>
      <c r="G753" s="5">
        <v>7576159.0</v>
      </c>
      <c r="H753" s="5">
        <v>307039.0</v>
      </c>
      <c r="I753" s="5">
        <v>1.28732E7</v>
      </c>
      <c r="J753" s="5">
        <v>3471017.0</v>
      </c>
      <c r="K753" s="5">
        <v>9402183.0</v>
      </c>
    </row>
    <row r="754">
      <c r="A754" s="2">
        <v>2021.0</v>
      </c>
      <c r="B754" s="1" t="s">
        <v>596</v>
      </c>
      <c r="F754" s="5">
        <v>22761.0</v>
      </c>
      <c r="H754" s="5">
        <v>390.0</v>
      </c>
      <c r="I754" s="5">
        <v>23151.0</v>
      </c>
      <c r="J754" s="5">
        <v>0.0</v>
      </c>
      <c r="K754" s="5">
        <v>23151.0</v>
      </c>
    </row>
    <row r="755">
      <c r="A755" s="2">
        <v>2021.0</v>
      </c>
      <c r="B755" s="1" t="s">
        <v>596</v>
      </c>
      <c r="F755" s="5">
        <v>1732.0</v>
      </c>
      <c r="H755" s="5">
        <v>51.0</v>
      </c>
      <c r="I755" s="5">
        <v>1783.0</v>
      </c>
      <c r="J755" s="5">
        <v>0.0</v>
      </c>
      <c r="K755" s="5">
        <v>1783.0</v>
      </c>
    </row>
    <row r="756">
      <c r="A756" s="2">
        <v>2021.0</v>
      </c>
      <c r="B756" s="1" t="s">
        <v>596</v>
      </c>
      <c r="F756" s="5">
        <v>1822156.0</v>
      </c>
      <c r="G756" s="5">
        <v>2182159.0</v>
      </c>
      <c r="I756" s="5">
        <v>4004315.0</v>
      </c>
      <c r="J756" s="5">
        <v>743570.0</v>
      </c>
      <c r="K756" s="5">
        <v>3260745.0</v>
      </c>
    </row>
    <row r="757">
      <c r="A757" s="2">
        <v>2021.0</v>
      </c>
      <c r="B757" s="1" t="s">
        <v>596</v>
      </c>
      <c r="F757" s="5">
        <v>54490.0</v>
      </c>
      <c r="G757" s="5">
        <v>123080.0</v>
      </c>
      <c r="H757" s="5">
        <v>3388.0</v>
      </c>
      <c r="I757" s="5">
        <v>179876.0</v>
      </c>
      <c r="J757" s="5">
        <v>0.0</v>
      </c>
      <c r="K757" s="5">
        <v>179876.0</v>
      </c>
    </row>
    <row r="758">
      <c r="A758" s="2">
        <v>2021.0</v>
      </c>
      <c r="B758" s="1" t="s">
        <v>596</v>
      </c>
      <c r="D758" s="5" t="s">
        <v>621</v>
      </c>
      <c r="F758" s="5">
        <f t="shared" ref="F758:K758" si="15">SUM(F753:F757)</f>
        <v>6891141</v>
      </c>
      <c r="G758" s="5">
        <f t="shared" si="15"/>
        <v>9881398</v>
      </c>
      <c r="H758" s="5">
        <f t="shared" si="15"/>
        <v>310868</v>
      </c>
      <c r="I758" s="5">
        <f t="shared" si="15"/>
        <v>17082325</v>
      </c>
      <c r="J758" s="5">
        <f t="shared" si="15"/>
        <v>4214587</v>
      </c>
      <c r="K758" s="5">
        <f t="shared" si="15"/>
        <v>12867738</v>
      </c>
    </row>
    <row r="759">
      <c r="A759" s="2">
        <v>2021.0</v>
      </c>
      <c r="B759" s="1" t="s">
        <v>596</v>
      </c>
      <c r="C759" s="5" t="s">
        <v>623</v>
      </c>
      <c r="D759" s="5" t="s">
        <v>725</v>
      </c>
      <c r="F759" s="5">
        <v>360725.0</v>
      </c>
      <c r="G759" s="5">
        <v>2940350.0</v>
      </c>
      <c r="H759" s="5">
        <v>35318.0</v>
      </c>
      <c r="I759" s="5">
        <v>3336393.0</v>
      </c>
      <c r="J759" s="5">
        <v>2271707.0</v>
      </c>
      <c r="K759" s="5">
        <v>1064686.0</v>
      </c>
    </row>
    <row r="760">
      <c r="A760" s="2">
        <v>2021.0</v>
      </c>
      <c r="B760" s="1" t="s">
        <v>596</v>
      </c>
      <c r="D760" s="5" t="s">
        <v>624</v>
      </c>
      <c r="F760" s="5">
        <v>375895.0</v>
      </c>
      <c r="G760" s="5">
        <v>0.0</v>
      </c>
      <c r="H760" s="5">
        <v>10497.0</v>
      </c>
      <c r="I760" s="5">
        <v>386392.0</v>
      </c>
      <c r="J760" s="5">
        <v>326070.0</v>
      </c>
      <c r="K760" s="5">
        <v>60322.0</v>
      </c>
    </row>
    <row r="761">
      <c r="A761" s="2">
        <v>2021.0</v>
      </c>
      <c r="B761" s="1" t="s">
        <v>596</v>
      </c>
      <c r="D761" s="5" t="s">
        <v>624</v>
      </c>
      <c r="F761" s="5">
        <v>143060.0</v>
      </c>
      <c r="G761" s="5">
        <v>16500.0</v>
      </c>
      <c r="H761" s="5">
        <v>1483.0</v>
      </c>
      <c r="I761" s="5">
        <v>161043.0</v>
      </c>
      <c r="J761" s="5">
        <v>139265.0</v>
      </c>
      <c r="K761" s="5">
        <v>21778.0</v>
      </c>
    </row>
    <row r="762">
      <c r="A762" s="2">
        <v>2021.0</v>
      </c>
      <c r="B762" s="1" t="s">
        <v>596</v>
      </c>
      <c r="D762" s="5" t="s">
        <v>624</v>
      </c>
      <c r="F762" s="5">
        <v>89224.0</v>
      </c>
      <c r="G762" s="8" t="s">
        <v>1049</v>
      </c>
      <c r="H762" s="5">
        <v>39267.0</v>
      </c>
      <c r="I762" s="5">
        <v>3212311.0</v>
      </c>
      <c r="J762" s="5">
        <v>1895809.0</v>
      </c>
      <c r="K762" s="5">
        <v>1316502.0</v>
      </c>
    </row>
    <row r="763">
      <c r="A763" s="2">
        <v>2021.0</v>
      </c>
      <c r="B763" s="1" t="s">
        <v>596</v>
      </c>
      <c r="D763" s="5" t="s">
        <v>624</v>
      </c>
      <c r="F763" s="5">
        <v>8329.0</v>
      </c>
      <c r="G763" s="5">
        <v>89950.0</v>
      </c>
      <c r="H763" s="5">
        <v>1241.0</v>
      </c>
      <c r="I763" s="5">
        <v>99520.0</v>
      </c>
      <c r="J763" s="5">
        <v>52000.0</v>
      </c>
      <c r="K763" s="5">
        <v>47520.0</v>
      </c>
    </row>
    <row r="764">
      <c r="A764" s="2">
        <v>2021.0</v>
      </c>
      <c r="B764" s="1" t="s">
        <v>596</v>
      </c>
      <c r="D764" s="5" t="s">
        <v>624</v>
      </c>
      <c r="F764" s="5">
        <v>616508.0</v>
      </c>
      <c r="G764" s="5">
        <v>106450.0</v>
      </c>
      <c r="H764" s="5">
        <v>52488.0</v>
      </c>
      <c r="I764" s="5">
        <v>3859266.0</v>
      </c>
      <c r="J764" s="5">
        <v>2413144.0</v>
      </c>
      <c r="K764" s="5">
        <v>1446122.0</v>
      </c>
    </row>
    <row r="765">
      <c r="A765" s="2">
        <v>2021.0</v>
      </c>
      <c r="B765" s="1" t="s">
        <v>596</v>
      </c>
      <c r="D765" s="5" t="s">
        <v>731</v>
      </c>
      <c r="F765" s="5">
        <v>575998.0</v>
      </c>
      <c r="G765" s="5">
        <v>932400.0</v>
      </c>
      <c r="H765" s="5">
        <v>11944.0</v>
      </c>
      <c r="I765" s="5">
        <v>1520342.0</v>
      </c>
      <c r="J765" s="5">
        <v>205000.0</v>
      </c>
      <c r="K765" s="5">
        <v>1315342.0</v>
      </c>
    </row>
    <row r="766">
      <c r="A766" s="2">
        <v>2021.0</v>
      </c>
      <c r="B766" s="1" t="s">
        <v>596</v>
      </c>
      <c r="D766" s="5" t="s">
        <v>731</v>
      </c>
      <c r="F766" s="5">
        <v>0.0</v>
      </c>
      <c r="G766" s="5">
        <v>694262.0</v>
      </c>
      <c r="H766" s="5">
        <v>0.0</v>
      </c>
      <c r="I766" s="5">
        <v>694262.0</v>
      </c>
      <c r="J766" s="5">
        <v>331000.0</v>
      </c>
      <c r="K766" s="5">
        <v>363262.0</v>
      </c>
    </row>
    <row r="767">
      <c r="A767" s="2">
        <v>2021.0</v>
      </c>
      <c r="B767" s="1" t="s">
        <v>596</v>
      </c>
      <c r="D767" s="5" t="s">
        <v>731</v>
      </c>
      <c r="F767" s="5">
        <v>834383.0</v>
      </c>
      <c r="G767" s="5">
        <v>1626662.0</v>
      </c>
      <c r="H767" s="5">
        <v>11944.0</v>
      </c>
      <c r="I767" s="5">
        <v>2214604.0</v>
      </c>
      <c r="J767" s="5">
        <v>536000.0</v>
      </c>
      <c r="K767" s="5">
        <v>1678604.0</v>
      </c>
    </row>
    <row r="768">
      <c r="A768" s="2">
        <v>2021.0</v>
      </c>
      <c r="B768" s="1" t="s">
        <v>596</v>
      </c>
      <c r="D768" s="5" t="s">
        <v>628</v>
      </c>
      <c r="F768" s="5">
        <v>20549.0</v>
      </c>
      <c r="G768" s="5">
        <v>1080000.0</v>
      </c>
      <c r="H768" s="5">
        <v>20702.0</v>
      </c>
      <c r="I768" s="5">
        <v>1121251.0</v>
      </c>
      <c r="J768" s="5">
        <v>973955.0</v>
      </c>
      <c r="K768" s="5">
        <v>147296.0</v>
      </c>
    </row>
    <row r="769">
      <c r="A769" s="2">
        <v>2021.0</v>
      </c>
      <c r="B769" s="1" t="s">
        <v>596</v>
      </c>
      <c r="D769" s="5" t="s">
        <v>628</v>
      </c>
      <c r="F769" s="5">
        <v>0.0</v>
      </c>
      <c r="G769" s="5">
        <v>1823080.0</v>
      </c>
      <c r="H769" s="5">
        <v>0.0</v>
      </c>
      <c r="I769" s="5">
        <v>1823080.0</v>
      </c>
      <c r="J769" s="5">
        <v>1487702.0</v>
      </c>
      <c r="K769" s="5">
        <v>335378.0</v>
      </c>
    </row>
    <row r="770">
      <c r="A770" s="2">
        <v>2021.0</v>
      </c>
      <c r="B770" s="1" t="s">
        <v>596</v>
      </c>
      <c r="D770" s="5" t="s">
        <v>628</v>
      </c>
      <c r="F770" s="5">
        <v>716895.0</v>
      </c>
      <c r="G770" s="5">
        <v>2903080.0</v>
      </c>
      <c r="H770" s="5">
        <v>20702.0</v>
      </c>
      <c r="I770" s="5">
        <v>2944331.0</v>
      </c>
      <c r="J770" s="5">
        <v>2461657.0</v>
      </c>
      <c r="K770" s="5">
        <v>482674.0</v>
      </c>
    </row>
    <row r="771">
      <c r="A771" s="2">
        <v>2021.0</v>
      </c>
      <c r="B771" s="1" t="s">
        <v>596</v>
      </c>
      <c r="D771" s="5" t="s">
        <v>630</v>
      </c>
      <c r="F771" s="5">
        <v>360700.0</v>
      </c>
      <c r="G771" s="5">
        <v>1317700.0</v>
      </c>
      <c r="H771" s="5">
        <v>0.0</v>
      </c>
      <c r="I771" s="5">
        <v>1678400.0</v>
      </c>
      <c r="J771" s="5">
        <v>674054.0</v>
      </c>
      <c r="K771" s="5">
        <v>1004346.0</v>
      </c>
    </row>
    <row r="772">
      <c r="A772" s="2">
        <v>2021.0</v>
      </c>
      <c r="B772" s="1" t="s">
        <v>596</v>
      </c>
      <c r="D772" s="5" t="s">
        <v>630</v>
      </c>
      <c r="F772" s="5">
        <v>316663.0</v>
      </c>
      <c r="G772" s="5">
        <v>1713531.0</v>
      </c>
      <c r="H772" s="5">
        <v>0.0</v>
      </c>
      <c r="I772" s="5">
        <v>2030194.0</v>
      </c>
      <c r="J772" s="5">
        <v>1827089.0</v>
      </c>
      <c r="K772" s="5">
        <v>203105.0</v>
      </c>
    </row>
    <row r="773">
      <c r="A773" s="2">
        <v>2021.0</v>
      </c>
      <c r="B773" s="1" t="s">
        <v>596</v>
      </c>
      <c r="D773" s="5" t="s">
        <v>630</v>
      </c>
      <c r="F773" s="5">
        <v>36249.0</v>
      </c>
      <c r="G773" s="5">
        <v>113765.0</v>
      </c>
      <c r="H773" s="5">
        <v>52389.0</v>
      </c>
      <c r="I773" s="5">
        <v>202403.0</v>
      </c>
      <c r="J773" s="5">
        <v>118.0</v>
      </c>
      <c r="K773" s="5">
        <v>202285.0</v>
      </c>
    </row>
    <row r="774">
      <c r="A774" s="2">
        <v>2021.0</v>
      </c>
      <c r="B774" s="1" t="s">
        <v>596</v>
      </c>
      <c r="D774" s="5" t="s">
        <v>630</v>
      </c>
      <c r="F774" s="5">
        <v>713419.0</v>
      </c>
      <c r="G774" s="5">
        <v>3144996.0</v>
      </c>
      <c r="H774" s="5">
        <v>52389.0</v>
      </c>
      <c r="I774" s="5">
        <v>3910997.0</v>
      </c>
      <c r="J774" s="5">
        <v>2501261.0</v>
      </c>
      <c r="K774" s="5">
        <v>1409736.0</v>
      </c>
    </row>
    <row r="775">
      <c r="A775" s="2">
        <v>2021.0</v>
      </c>
      <c r="B775" s="1" t="s">
        <v>596</v>
      </c>
      <c r="D775" s="5" t="s">
        <v>791</v>
      </c>
      <c r="F775" s="5">
        <v>0.0</v>
      </c>
      <c r="G775" s="5">
        <v>2984702.0</v>
      </c>
      <c r="H775" s="5">
        <v>30113.0</v>
      </c>
      <c r="I775" s="5">
        <v>3014815.0</v>
      </c>
      <c r="J775" s="5">
        <v>1807350.0</v>
      </c>
      <c r="K775" s="5">
        <v>1207465.0</v>
      </c>
    </row>
    <row r="776">
      <c r="A776" s="2">
        <v>2021.0</v>
      </c>
      <c r="B776" s="1" t="s">
        <v>596</v>
      </c>
      <c r="D776" s="5" t="s">
        <v>748</v>
      </c>
      <c r="F776" s="5">
        <v>665357.0</v>
      </c>
      <c r="G776" s="5">
        <v>0.0</v>
      </c>
      <c r="H776" s="5">
        <v>0.0</v>
      </c>
      <c r="I776" s="5">
        <v>665357.0</v>
      </c>
      <c r="J776" s="5">
        <v>657000.0</v>
      </c>
      <c r="K776" s="5">
        <v>8357.0</v>
      </c>
    </row>
    <row r="777">
      <c r="A777" s="2">
        <v>2021.0</v>
      </c>
      <c r="B777" s="1" t="s">
        <v>596</v>
      </c>
      <c r="D777" s="5" t="s">
        <v>748</v>
      </c>
      <c r="F777" s="5">
        <v>88070.0</v>
      </c>
      <c r="G777" s="5">
        <v>3357105.0</v>
      </c>
      <c r="H777" s="5">
        <v>34851.0</v>
      </c>
      <c r="I777" s="5">
        <v>3480026.0</v>
      </c>
      <c r="J777" s="5">
        <v>1654836.0</v>
      </c>
      <c r="K777" s="5">
        <v>1825190.0</v>
      </c>
    </row>
    <row r="778">
      <c r="A778" s="2">
        <v>2021.0</v>
      </c>
      <c r="B778" s="1" t="s">
        <v>596</v>
      </c>
      <c r="D778" s="5" t="s">
        <v>748</v>
      </c>
      <c r="F778" s="5">
        <v>753427.0</v>
      </c>
      <c r="G778" s="5">
        <v>3357105.0</v>
      </c>
      <c r="H778" s="5">
        <v>34851.0</v>
      </c>
      <c r="I778" s="5">
        <v>4145383.0</v>
      </c>
      <c r="J778" s="5">
        <v>2311836.0</v>
      </c>
      <c r="K778" s="5">
        <v>1833547.0</v>
      </c>
    </row>
    <row r="779">
      <c r="A779" s="2">
        <v>2021.0</v>
      </c>
      <c r="B779" s="1" t="s">
        <v>596</v>
      </c>
      <c r="D779" s="5" t="s">
        <v>637</v>
      </c>
      <c r="F779" s="5">
        <v>968501.0</v>
      </c>
      <c r="G779" s="5">
        <v>1418450.0</v>
      </c>
      <c r="H779" s="5">
        <v>52296.0</v>
      </c>
      <c r="I779" s="5">
        <v>2439247.0</v>
      </c>
      <c r="J779" s="5">
        <v>1045163.0</v>
      </c>
      <c r="K779" s="5">
        <v>1394084.0</v>
      </c>
    </row>
    <row r="780">
      <c r="A780" s="2">
        <v>2021.0</v>
      </c>
      <c r="B780" s="1" t="s">
        <v>596</v>
      </c>
      <c r="D780" s="5" t="s">
        <v>637</v>
      </c>
      <c r="F780" s="5">
        <v>423760.0</v>
      </c>
      <c r="G780" s="5">
        <v>3800027.0</v>
      </c>
      <c r="H780" s="5">
        <v>29386.0</v>
      </c>
      <c r="I780" s="5">
        <v>4253173.0</v>
      </c>
      <c r="J780" s="5">
        <v>3930461.0</v>
      </c>
      <c r="K780" s="5">
        <v>322712.0</v>
      </c>
    </row>
    <row r="781">
      <c r="A781" s="2">
        <v>2021.0</v>
      </c>
      <c r="B781" s="1" t="s">
        <v>596</v>
      </c>
      <c r="D781" s="5" t="s">
        <v>637</v>
      </c>
      <c r="F781" s="5">
        <v>1392260.0</v>
      </c>
      <c r="G781" s="5">
        <v>5218477.0</v>
      </c>
      <c r="H781" s="5">
        <v>81682.0</v>
      </c>
      <c r="I781" s="5">
        <v>6692420.0</v>
      </c>
      <c r="J781" s="5">
        <v>4975624.0</v>
      </c>
      <c r="K781" s="5">
        <v>1716796.0</v>
      </c>
    </row>
    <row r="782">
      <c r="A782" s="2">
        <v>2021.0</v>
      </c>
      <c r="B782" s="1" t="s">
        <v>596</v>
      </c>
      <c r="D782" s="5" t="s">
        <v>638</v>
      </c>
      <c r="F782" s="5">
        <v>18861.0</v>
      </c>
      <c r="G782" s="5">
        <v>17300.0</v>
      </c>
      <c r="H782" s="5">
        <v>306.0</v>
      </c>
      <c r="I782" s="5">
        <v>36467.0</v>
      </c>
      <c r="J782" s="5">
        <v>33800.0</v>
      </c>
      <c r="K782" s="5">
        <v>2667.0</v>
      </c>
    </row>
    <row r="783">
      <c r="A783" s="2">
        <v>2021.0</v>
      </c>
      <c r="B783" s="1" t="s">
        <v>596</v>
      </c>
      <c r="D783" s="5" t="s">
        <v>638</v>
      </c>
      <c r="F783" s="5">
        <v>260326.0</v>
      </c>
      <c r="G783" s="5">
        <v>3794129.0</v>
      </c>
      <c r="H783" s="5">
        <v>40551.0</v>
      </c>
      <c r="I783" s="5">
        <v>4095006.0</v>
      </c>
      <c r="J783" s="5">
        <v>2767234.0</v>
      </c>
      <c r="K783" s="5">
        <v>1327772.0</v>
      </c>
    </row>
    <row r="784">
      <c r="A784" s="2">
        <v>2021.0</v>
      </c>
      <c r="B784" s="1" t="s">
        <v>596</v>
      </c>
      <c r="D784" s="5" t="s">
        <v>638</v>
      </c>
      <c r="F784" s="5">
        <v>284972.0</v>
      </c>
      <c r="G784" s="5">
        <v>3811429.0</v>
      </c>
      <c r="H784" s="5">
        <v>40857.0</v>
      </c>
      <c r="I784" s="5">
        <v>4131473.0</v>
      </c>
      <c r="J784" s="5">
        <v>2801034.0</v>
      </c>
      <c r="K784" s="5">
        <v>1330439.0</v>
      </c>
    </row>
    <row r="785">
      <c r="A785" s="2">
        <v>2021.0</v>
      </c>
      <c r="B785" s="1" t="s">
        <v>596</v>
      </c>
      <c r="D785" s="5" t="s">
        <v>640</v>
      </c>
      <c r="F785" s="5">
        <v>549711.0</v>
      </c>
      <c r="G785" s="5">
        <v>14089.0</v>
      </c>
      <c r="H785" s="5">
        <v>3824.0</v>
      </c>
      <c r="I785" s="5">
        <v>567624.0</v>
      </c>
      <c r="J785" s="5">
        <v>556856.0</v>
      </c>
      <c r="K785" s="5">
        <v>10768.0</v>
      </c>
    </row>
    <row r="786">
      <c r="A786" s="2">
        <v>2021.0</v>
      </c>
      <c r="B786" s="1" t="s">
        <v>596</v>
      </c>
      <c r="D786" s="5" t="s">
        <v>640</v>
      </c>
      <c r="F786" s="5">
        <v>338530.0</v>
      </c>
      <c r="G786" s="5">
        <v>16500.0</v>
      </c>
      <c r="H786" s="5">
        <v>3899.0</v>
      </c>
      <c r="I786" s="5">
        <v>358929.0</v>
      </c>
      <c r="J786" s="5">
        <v>356452.0</v>
      </c>
      <c r="K786" s="5">
        <v>2477.0</v>
      </c>
    </row>
    <row r="787">
      <c r="A787" s="2">
        <v>2021.0</v>
      </c>
      <c r="B787" s="1" t="s">
        <v>596</v>
      </c>
      <c r="D787" s="5" t="s">
        <v>640</v>
      </c>
      <c r="F787" s="5">
        <v>32408.0</v>
      </c>
      <c r="G787" s="5">
        <v>93300.0</v>
      </c>
      <c r="H787" s="5">
        <v>2945.0</v>
      </c>
      <c r="I787" s="5">
        <v>128653.0</v>
      </c>
      <c r="J787" s="5">
        <v>0.0</v>
      </c>
      <c r="K787" s="5">
        <v>128653.0</v>
      </c>
    </row>
    <row r="788">
      <c r="A788" s="2">
        <v>2021.0</v>
      </c>
      <c r="B788" s="1" t="s">
        <v>596</v>
      </c>
      <c r="D788" s="5" t="s">
        <v>640</v>
      </c>
      <c r="F788" s="5">
        <v>1405.0</v>
      </c>
      <c r="G788" s="5">
        <v>3782179.0</v>
      </c>
      <c r="H788" s="5">
        <v>54390.0</v>
      </c>
      <c r="I788" s="5">
        <v>3837974.0</v>
      </c>
      <c r="J788" s="5">
        <v>2628750.0</v>
      </c>
      <c r="K788" s="5">
        <v>1209224.0</v>
      </c>
    </row>
    <row r="789">
      <c r="A789" s="2">
        <v>2021.0</v>
      </c>
      <c r="B789" s="1" t="s">
        <v>596</v>
      </c>
      <c r="D789" s="5" t="s">
        <v>640</v>
      </c>
      <c r="F789" s="5">
        <v>922050.0</v>
      </c>
      <c r="G789" s="5">
        <v>3906068.0</v>
      </c>
      <c r="H789" s="5">
        <v>65058.0</v>
      </c>
      <c r="I789" s="5">
        <v>4893180.0</v>
      </c>
      <c r="J789" s="5">
        <v>3542058.0</v>
      </c>
      <c r="K789" s="5">
        <v>1351122.0</v>
      </c>
    </row>
    <row r="790">
      <c r="A790" s="2">
        <v>2021.0</v>
      </c>
      <c r="B790" s="1" t="s">
        <v>596</v>
      </c>
      <c r="C790" s="5" t="s">
        <v>753</v>
      </c>
      <c r="D790" s="5" t="s">
        <v>754</v>
      </c>
      <c r="F790" s="5">
        <v>3042245.0</v>
      </c>
      <c r="G790" s="5">
        <v>4217655.0</v>
      </c>
      <c r="H790" s="5">
        <v>64250.0</v>
      </c>
      <c r="I790" s="5">
        <f t="shared" ref="I790:I795" si="16">F790+G790+H790</f>
        <v>7324150</v>
      </c>
      <c r="J790" s="5">
        <v>3630890.0</v>
      </c>
      <c r="K790" s="5">
        <f t="shared" ref="K790:K795" si="17">I790-J790</f>
        <v>3693260</v>
      </c>
    </row>
    <row r="791">
      <c r="A791" s="2">
        <v>2021.0</v>
      </c>
      <c r="B791" s="1" t="s">
        <v>596</v>
      </c>
      <c r="D791" s="5" t="s">
        <v>756</v>
      </c>
      <c r="F791" s="5">
        <v>2707430.0</v>
      </c>
      <c r="G791" s="5">
        <v>4251023.0</v>
      </c>
      <c r="H791" s="5">
        <v>138643.0</v>
      </c>
      <c r="I791" s="5">
        <f t="shared" si="16"/>
        <v>7097096</v>
      </c>
      <c r="J791" s="5">
        <v>3589545.0</v>
      </c>
      <c r="K791" s="5">
        <f t="shared" si="17"/>
        <v>3507551</v>
      </c>
    </row>
    <row r="792">
      <c r="A792" s="2">
        <v>2021.0</v>
      </c>
      <c r="B792" s="1" t="s">
        <v>596</v>
      </c>
      <c r="D792" s="5" t="s">
        <v>927</v>
      </c>
      <c r="F792" s="5">
        <v>615603.0</v>
      </c>
      <c r="G792" s="5">
        <v>6299703.0</v>
      </c>
      <c r="H792" s="5">
        <v>0.0</v>
      </c>
      <c r="I792" s="5">
        <f t="shared" si="16"/>
        <v>6915306</v>
      </c>
      <c r="J792" s="5">
        <v>4254523.0</v>
      </c>
      <c r="K792" s="5">
        <f t="shared" si="17"/>
        <v>2660783</v>
      </c>
    </row>
    <row r="793">
      <c r="A793" s="2">
        <v>2021.0</v>
      </c>
      <c r="B793" s="1" t="s">
        <v>596</v>
      </c>
      <c r="D793" s="5" t="s">
        <v>762</v>
      </c>
      <c r="F793" s="5">
        <v>1267030.0</v>
      </c>
      <c r="G793" s="5">
        <v>66323.0</v>
      </c>
      <c r="H793" s="5">
        <v>4765309.0</v>
      </c>
      <c r="I793" s="5">
        <f t="shared" si="16"/>
        <v>6098662</v>
      </c>
      <c r="J793" s="5">
        <v>4490690.0</v>
      </c>
      <c r="K793" s="5">
        <f t="shared" si="17"/>
        <v>1607972</v>
      </c>
    </row>
    <row r="794">
      <c r="A794" s="2">
        <v>2021.0</v>
      </c>
      <c r="B794" s="1" t="s">
        <v>596</v>
      </c>
      <c r="C794" s="5" t="s">
        <v>764</v>
      </c>
      <c r="D794" s="5" t="s">
        <v>765</v>
      </c>
      <c r="F794" s="5">
        <v>1668080.0</v>
      </c>
      <c r="G794" s="5">
        <v>3322370.0</v>
      </c>
      <c r="H794" s="5">
        <v>70068.0</v>
      </c>
      <c r="I794" s="5">
        <f t="shared" si="16"/>
        <v>5060518</v>
      </c>
      <c r="J794" s="5">
        <v>2581909.0</v>
      </c>
      <c r="K794" s="5">
        <f t="shared" si="17"/>
        <v>2478609</v>
      </c>
    </row>
    <row r="795">
      <c r="A795" s="2">
        <v>2021.0</v>
      </c>
      <c r="B795" s="1" t="s">
        <v>596</v>
      </c>
      <c r="D795" s="5" t="s">
        <v>487</v>
      </c>
      <c r="F795" s="5">
        <v>1184528.0</v>
      </c>
      <c r="G795" s="5">
        <v>3676906.0</v>
      </c>
      <c r="H795" s="5">
        <v>79626.0</v>
      </c>
      <c r="I795" s="5">
        <f t="shared" si="16"/>
        <v>4941060</v>
      </c>
      <c r="J795" s="5">
        <v>2087673.0</v>
      </c>
      <c r="K795" s="5">
        <f t="shared" si="17"/>
        <v>2853387</v>
      </c>
    </row>
    <row r="796">
      <c r="A796" s="2">
        <v>2021.0</v>
      </c>
      <c r="B796" s="1" t="s">
        <v>596</v>
      </c>
      <c r="C796" s="5" t="s">
        <v>641</v>
      </c>
      <c r="D796" s="5" t="s">
        <v>642</v>
      </c>
      <c r="F796" s="5">
        <v>6804332.77</v>
      </c>
      <c r="G796" s="5">
        <v>6718031.0</v>
      </c>
      <c r="H796" s="5">
        <v>291725.0</v>
      </c>
      <c r="I796" s="5">
        <v>1.381408877E7</v>
      </c>
      <c r="J796" s="5">
        <v>5617681.2</v>
      </c>
      <c r="K796" s="5">
        <v>8196407.57</v>
      </c>
    </row>
    <row r="797">
      <c r="A797" s="2">
        <v>2021.0</v>
      </c>
      <c r="B797" s="1" t="s">
        <v>596</v>
      </c>
      <c r="D797" s="5" t="s">
        <v>644</v>
      </c>
      <c r="F797" s="5">
        <v>2641438.6</v>
      </c>
      <c r="G797" s="5">
        <v>8001059.0</v>
      </c>
      <c r="H797" s="5">
        <v>138110.0</v>
      </c>
      <c r="I797" s="5">
        <v>1.07806076E7</v>
      </c>
      <c r="J797" s="5">
        <v>6868014.0</v>
      </c>
      <c r="K797" s="5">
        <v>3912593.6</v>
      </c>
    </row>
    <row r="798">
      <c r="A798" s="2">
        <v>2021.0</v>
      </c>
      <c r="B798" s="1" t="s">
        <v>596</v>
      </c>
      <c r="D798" s="5" t="s">
        <v>646</v>
      </c>
      <c r="F798" s="5">
        <v>3825495.5</v>
      </c>
      <c r="G798" s="5">
        <v>1.6295474E7</v>
      </c>
      <c r="H798" s="5">
        <v>261013.0</v>
      </c>
      <c r="I798" s="5">
        <v>2.07785645E7</v>
      </c>
      <c r="J798" s="5">
        <v>1.3410406E7</v>
      </c>
      <c r="K798" s="5">
        <v>7368158.5</v>
      </c>
    </row>
    <row r="799">
      <c r="A799" s="2">
        <v>2021.0</v>
      </c>
      <c r="B799" s="1" t="s">
        <v>596</v>
      </c>
      <c r="D799" s="5" t="s">
        <v>647</v>
      </c>
      <c r="F799" s="5">
        <v>3403732.0</v>
      </c>
      <c r="G799" s="5">
        <v>6197081.0</v>
      </c>
      <c r="H799" s="5">
        <v>162695.0</v>
      </c>
      <c r="I799" s="5">
        <v>8905955.0</v>
      </c>
      <c r="J799" s="5">
        <v>3639523.4</v>
      </c>
      <c r="K799" s="5">
        <v>6149937.6</v>
      </c>
    </row>
    <row r="800">
      <c r="A800" s="2">
        <v>2021.0</v>
      </c>
      <c r="B800" s="1" t="s">
        <v>596</v>
      </c>
      <c r="D800" s="5" t="s">
        <v>649</v>
      </c>
      <c r="F800" s="5">
        <v>2311735.0</v>
      </c>
      <c r="G800" s="5">
        <v>6035427.0</v>
      </c>
      <c r="H800" s="5">
        <v>139526.0</v>
      </c>
      <c r="I800" s="5">
        <v>8486688.0</v>
      </c>
      <c r="J800" s="5">
        <v>5394215.5</v>
      </c>
      <c r="K800" s="5">
        <v>3092472.5</v>
      </c>
    </row>
    <row r="801">
      <c r="A801" s="2">
        <v>2021.0</v>
      </c>
      <c r="B801" s="1" t="s">
        <v>596</v>
      </c>
      <c r="D801" s="5" t="s">
        <v>652</v>
      </c>
      <c r="F801" s="5">
        <v>2856324.0</v>
      </c>
      <c r="G801" s="5">
        <v>7607462.0</v>
      </c>
      <c r="H801" s="5">
        <v>152264.0</v>
      </c>
      <c r="I801" s="5">
        <v>1.061605E7</v>
      </c>
      <c r="J801" s="5">
        <v>6876800.0</v>
      </c>
      <c r="K801" s="5">
        <v>3739250.0</v>
      </c>
    </row>
    <row r="802">
      <c r="A802" s="2">
        <v>2021.0</v>
      </c>
      <c r="B802" s="1" t="s">
        <v>596</v>
      </c>
      <c r="D802" s="5" t="s">
        <v>655</v>
      </c>
      <c r="F802" s="5">
        <v>5216134.5</v>
      </c>
      <c r="G802" s="5">
        <v>7525449.0</v>
      </c>
      <c r="H802" s="5">
        <v>225504.0</v>
      </c>
      <c r="I802" s="5">
        <v>1.29670875E7</v>
      </c>
      <c r="J802" s="5">
        <v>6885144.5</v>
      </c>
      <c r="K802" s="5">
        <v>6081943.0</v>
      </c>
    </row>
    <row r="803">
      <c r="A803" s="2">
        <v>2021.0</v>
      </c>
      <c r="B803" s="1" t="s">
        <v>596</v>
      </c>
      <c r="D803" s="5" t="s">
        <v>656</v>
      </c>
      <c r="F803" s="5">
        <v>2213911.5300000003</v>
      </c>
      <c r="G803" s="5">
        <v>4402728.0</v>
      </c>
      <c r="H803" s="5">
        <v>140953.0</v>
      </c>
      <c r="I803" s="5">
        <v>6757592.53</v>
      </c>
      <c r="J803" s="5">
        <v>2025327.0</v>
      </c>
      <c r="K803" s="5">
        <v>4732265.53</v>
      </c>
    </row>
    <row r="804">
      <c r="A804" s="2">
        <v>2021.0</v>
      </c>
      <c r="B804" s="1" t="s">
        <v>596</v>
      </c>
      <c r="D804" s="5" t="s">
        <v>658</v>
      </c>
      <c r="F804" s="5">
        <v>2088263.0</v>
      </c>
      <c r="G804" s="5">
        <v>5112957.0</v>
      </c>
      <c r="H804" s="5">
        <v>99035.0</v>
      </c>
      <c r="I804" s="5">
        <v>7292973.0</v>
      </c>
      <c r="J804" s="5">
        <v>3391899.0</v>
      </c>
      <c r="K804" s="5">
        <v>3901074.0</v>
      </c>
    </row>
    <row r="805">
      <c r="A805" s="2">
        <v>2021.0</v>
      </c>
      <c r="B805" s="1" t="s">
        <v>213</v>
      </c>
      <c r="C805" s="5" t="s">
        <v>603</v>
      </c>
      <c r="D805" s="5" t="s">
        <v>604</v>
      </c>
      <c r="E805" s="1" t="s">
        <v>420</v>
      </c>
      <c r="F805" s="5">
        <v>3968737.0</v>
      </c>
      <c r="G805" s="5">
        <v>1.8567E7</v>
      </c>
      <c r="H805" s="5">
        <v>60526.0</v>
      </c>
      <c r="I805" s="5">
        <v>2.2596263E7</v>
      </c>
      <c r="J805" s="5">
        <v>2.2109795E7</v>
      </c>
      <c r="K805" s="5">
        <v>486468.0</v>
      </c>
    </row>
    <row r="806">
      <c r="A806" s="2">
        <v>2021.0</v>
      </c>
      <c r="B806" s="1" t="s">
        <v>213</v>
      </c>
      <c r="D806" s="5" t="s">
        <v>79</v>
      </c>
      <c r="E806" s="1" t="s">
        <v>420</v>
      </c>
      <c r="F806" s="5">
        <v>735648.0</v>
      </c>
      <c r="G806" s="5">
        <v>2060000.0</v>
      </c>
      <c r="H806" s="5">
        <v>15365.0</v>
      </c>
      <c r="I806" s="5">
        <v>2811013.0</v>
      </c>
      <c r="J806" s="5">
        <v>2573097.0</v>
      </c>
      <c r="K806" s="5">
        <v>237916.0</v>
      </c>
    </row>
    <row r="807">
      <c r="A807" s="2">
        <v>2021.0</v>
      </c>
      <c r="B807" s="1" t="s">
        <v>213</v>
      </c>
      <c r="D807" s="5" t="s">
        <v>670</v>
      </c>
      <c r="E807" s="1" t="s">
        <v>420</v>
      </c>
      <c r="F807" s="5">
        <v>2564009.0</v>
      </c>
      <c r="G807" s="5">
        <v>1.031508E7</v>
      </c>
      <c r="H807" s="5">
        <v>38546.0</v>
      </c>
      <c r="I807" s="5">
        <v>1.2917635E7</v>
      </c>
      <c r="J807" s="5">
        <v>1.2525124E7</v>
      </c>
      <c r="K807" s="5">
        <v>392511.0</v>
      </c>
    </row>
    <row r="808">
      <c r="A808" s="2">
        <v>2021.0</v>
      </c>
      <c r="B808" s="1" t="s">
        <v>213</v>
      </c>
      <c r="D808" s="5" t="s">
        <v>612</v>
      </c>
      <c r="E808" s="1" t="s">
        <v>420</v>
      </c>
      <c r="F808" s="5">
        <v>3755074.0</v>
      </c>
      <c r="G808" s="5">
        <v>1.920179E7</v>
      </c>
      <c r="H808" s="5">
        <v>62146.0</v>
      </c>
      <c r="I808" s="5">
        <v>2.301901E7</v>
      </c>
      <c r="J808" s="5">
        <v>2.2335228E7</v>
      </c>
      <c r="K808" s="5">
        <f>I808-J808</f>
        <v>683782</v>
      </c>
    </row>
    <row r="809">
      <c r="A809" s="2">
        <v>2021.0</v>
      </c>
      <c r="B809" s="1" t="s">
        <v>213</v>
      </c>
      <c r="D809" s="5" t="s">
        <v>607</v>
      </c>
      <c r="E809" s="1" t="s">
        <v>420</v>
      </c>
      <c r="F809" s="5">
        <v>2286129.0</v>
      </c>
      <c r="G809" s="5">
        <v>1.4032E7</v>
      </c>
      <c r="H809" s="5">
        <v>39117.0</v>
      </c>
      <c r="I809" s="5">
        <v>1.6357246E7</v>
      </c>
      <c r="J809" s="5">
        <v>1.6303073E7</v>
      </c>
      <c r="K809" s="5">
        <v>54173.0</v>
      </c>
    </row>
    <row r="810">
      <c r="A810" s="2">
        <v>2021.0</v>
      </c>
      <c r="B810" s="1" t="s">
        <v>213</v>
      </c>
      <c r="D810" s="5" t="s">
        <v>615</v>
      </c>
      <c r="E810" s="1" t="s">
        <v>420</v>
      </c>
      <c r="F810" s="5">
        <v>6293941.0</v>
      </c>
      <c r="G810" s="5">
        <v>1.4811E7</v>
      </c>
      <c r="H810" s="5">
        <v>118640.0</v>
      </c>
      <c r="I810" s="5">
        <v>2.12233581E8</v>
      </c>
      <c r="J810" s="5">
        <v>1.927768E7</v>
      </c>
      <c r="K810" s="5">
        <v>1945901.0</v>
      </c>
    </row>
    <row r="811">
      <c r="A811" s="2">
        <v>2021.0</v>
      </c>
      <c r="B811" s="1" t="s">
        <v>213</v>
      </c>
      <c r="C811" s="5" t="s">
        <v>618</v>
      </c>
      <c r="D811" s="5" t="s">
        <v>808</v>
      </c>
      <c r="E811" s="1" t="s">
        <v>420</v>
      </c>
      <c r="F811" s="5">
        <v>2893939.0</v>
      </c>
      <c r="G811" s="5">
        <v>2.4877625E7</v>
      </c>
      <c r="H811" s="5">
        <v>144501.0</v>
      </c>
      <c r="I811" s="5">
        <v>2.7916065E7</v>
      </c>
      <c r="J811" s="5">
        <v>2.4877004E7</v>
      </c>
      <c r="K811" s="5">
        <v>3039061.0</v>
      </c>
    </row>
    <row r="812">
      <c r="A812" s="2">
        <v>2021.0</v>
      </c>
      <c r="B812" s="1" t="s">
        <v>213</v>
      </c>
      <c r="C812" s="5" t="s">
        <v>623</v>
      </c>
      <c r="D812" s="5" t="s">
        <v>811</v>
      </c>
      <c r="E812" s="1" t="s">
        <v>420</v>
      </c>
      <c r="F812" s="5">
        <v>1975182.0</v>
      </c>
      <c r="G812" s="5">
        <f>2995810+260000</f>
        <v>3255810</v>
      </c>
      <c r="H812" s="5">
        <v>0.0</v>
      </c>
      <c r="I812" s="5">
        <f t="shared" ref="I812:I818" si="18">F812+G812</f>
        <v>5230992</v>
      </c>
      <c r="J812" s="5">
        <v>5006272.0</v>
      </c>
      <c r="K812" s="5">
        <f t="shared" ref="K812:K818" si="19">I812-J812</f>
        <v>224720</v>
      </c>
    </row>
    <row r="813">
      <c r="A813" s="2">
        <v>2021.0</v>
      </c>
      <c r="B813" s="1" t="s">
        <v>213</v>
      </c>
      <c r="D813" s="5" t="s">
        <v>813</v>
      </c>
      <c r="E813" s="1" t="s">
        <v>420</v>
      </c>
      <c r="F813" s="5">
        <v>280153.0</v>
      </c>
      <c r="G813" s="5">
        <v>1.4174946E7</v>
      </c>
      <c r="H813" s="5">
        <v>0.0</v>
      </c>
      <c r="I813" s="5">
        <f t="shared" si="18"/>
        <v>14455099</v>
      </c>
      <c r="J813" s="5">
        <v>1.3064233E7</v>
      </c>
      <c r="K813" s="5">
        <f t="shared" si="19"/>
        <v>1390866</v>
      </c>
    </row>
    <row r="814">
      <c r="A814" s="2">
        <v>2021.0</v>
      </c>
      <c r="B814" s="1" t="s">
        <v>213</v>
      </c>
      <c r="D814" s="5" t="s">
        <v>815</v>
      </c>
      <c r="E814" s="1" t="s">
        <v>420</v>
      </c>
      <c r="F814" s="5">
        <v>564042.0</v>
      </c>
      <c r="G814" s="5">
        <v>2.064108E7</v>
      </c>
      <c r="H814" s="5">
        <v>0.0</v>
      </c>
      <c r="I814" s="5">
        <f t="shared" si="18"/>
        <v>21205122</v>
      </c>
      <c r="J814" s="5">
        <v>2.1153454E7</v>
      </c>
      <c r="K814" s="5">
        <f t="shared" si="19"/>
        <v>51668</v>
      </c>
    </row>
    <row r="815">
      <c r="A815" s="2">
        <v>2021.0</v>
      </c>
      <c r="B815" s="1" t="s">
        <v>213</v>
      </c>
      <c r="D815" s="5" t="s">
        <v>623</v>
      </c>
      <c r="E815" s="1" t="s">
        <v>420</v>
      </c>
      <c r="F815" s="5">
        <v>1467699.0</v>
      </c>
      <c r="G815" s="5">
        <v>1.4620862E7</v>
      </c>
      <c r="H815" s="5">
        <v>0.0</v>
      </c>
      <c r="I815" s="5">
        <f t="shared" si="18"/>
        <v>16088561</v>
      </c>
      <c r="J815" s="5">
        <v>1.4165207E7</v>
      </c>
      <c r="K815" s="5">
        <f t="shared" si="19"/>
        <v>1923354</v>
      </c>
    </row>
    <row r="816">
      <c r="A816" s="2">
        <v>2021.0</v>
      </c>
      <c r="B816" s="1" t="s">
        <v>213</v>
      </c>
      <c r="D816" s="5" t="s">
        <v>818</v>
      </c>
      <c r="E816" s="1" t="s">
        <v>420</v>
      </c>
      <c r="F816" s="5">
        <v>814699.0</v>
      </c>
      <c r="G816" s="5">
        <v>2.5254034E7</v>
      </c>
      <c r="H816" s="5">
        <v>0.0</v>
      </c>
      <c r="I816" s="5">
        <f t="shared" si="18"/>
        <v>26068733</v>
      </c>
      <c r="J816" s="5">
        <v>1.8828009E7</v>
      </c>
      <c r="K816" s="5">
        <f t="shared" si="19"/>
        <v>7240724</v>
      </c>
    </row>
    <row r="817">
      <c r="A817" s="2">
        <v>2021.0</v>
      </c>
      <c r="B817" s="1" t="s">
        <v>213</v>
      </c>
      <c r="D817" s="5" t="s">
        <v>819</v>
      </c>
      <c r="E817" s="1" t="s">
        <v>420</v>
      </c>
      <c r="F817" s="5">
        <v>142158.0</v>
      </c>
      <c r="G817" s="5">
        <v>8909026.0</v>
      </c>
      <c r="H817" s="5">
        <v>0.0</v>
      </c>
      <c r="I817" s="5">
        <f t="shared" si="18"/>
        <v>9051184</v>
      </c>
      <c r="J817" s="5">
        <v>8847543.0</v>
      </c>
      <c r="K817" s="5">
        <f t="shared" si="19"/>
        <v>203641</v>
      </c>
    </row>
    <row r="818">
      <c r="A818" s="2">
        <v>2021.0</v>
      </c>
      <c r="B818" s="1" t="s">
        <v>213</v>
      </c>
      <c r="D818" s="5" t="s">
        <v>821</v>
      </c>
      <c r="E818" s="1" t="s">
        <v>420</v>
      </c>
      <c r="F818" s="5">
        <v>731143.0</v>
      </c>
      <c r="G818" s="5">
        <v>9457345.0</v>
      </c>
      <c r="H818" s="5">
        <v>0.0</v>
      </c>
      <c r="I818" s="5">
        <f t="shared" si="18"/>
        <v>10188488</v>
      </c>
      <c r="J818" s="5">
        <v>8954944.0</v>
      </c>
      <c r="K818" s="5">
        <f t="shared" si="19"/>
        <v>1233544</v>
      </c>
    </row>
    <row r="819">
      <c r="A819" s="2">
        <v>2021.0</v>
      </c>
      <c r="B819" s="1" t="s">
        <v>213</v>
      </c>
      <c r="C819" s="5" t="s">
        <v>641</v>
      </c>
      <c r="D819" s="5" t="s">
        <v>1089</v>
      </c>
      <c r="E819" s="1" t="s">
        <v>420</v>
      </c>
      <c r="F819" s="9">
        <v>199322.0</v>
      </c>
      <c r="G819" s="5">
        <v>1.4344133E7</v>
      </c>
      <c r="H819" s="5">
        <v>36073.0</v>
      </c>
      <c r="I819" s="5">
        <v>1.4579528E7</v>
      </c>
      <c r="J819" s="5">
        <v>1.4523729E7</v>
      </c>
      <c r="K819" s="5">
        <v>55799.0</v>
      </c>
    </row>
    <row r="820">
      <c r="A820" s="2">
        <v>2021.0</v>
      </c>
      <c r="B820" s="1" t="s">
        <v>213</v>
      </c>
      <c r="D820" s="5" t="s">
        <v>1091</v>
      </c>
      <c r="E820" s="1" t="s">
        <v>420</v>
      </c>
      <c r="F820" s="5">
        <v>219048.0</v>
      </c>
      <c r="G820" s="5">
        <v>2.1661527E7</v>
      </c>
      <c r="H820" s="5">
        <v>59598.0</v>
      </c>
      <c r="I820" s="5">
        <v>2.1940173E7</v>
      </c>
      <c r="J820" s="5">
        <v>2.0936677E7</v>
      </c>
      <c r="K820" s="5">
        <v>1003496.0</v>
      </c>
    </row>
    <row r="821">
      <c r="A821" s="2">
        <v>2021.0</v>
      </c>
      <c r="B821" s="1" t="s">
        <v>213</v>
      </c>
      <c r="D821" s="5" t="s">
        <v>1093</v>
      </c>
      <c r="E821" s="1" t="s">
        <v>420</v>
      </c>
      <c r="F821" s="5">
        <v>654381.0</v>
      </c>
      <c r="G821" s="5">
        <v>2.1300799E7</v>
      </c>
      <c r="H821" s="5">
        <v>51255.0</v>
      </c>
      <c r="I821" s="5">
        <v>2.2006435E7</v>
      </c>
      <c r="J821" s="5">
        <v>2.192965E7</v>
      </c>
      <c r="K821" s="5">
        <v>76785.0</v>
      </c>
    </row>
    <row r="822">
      <c r="A822" s="2">
        <v>2021.0</v>
      </c>
      <c r="B822" s="1" t="s">
        <v>213</v>
      </c>
      <c r="D822" s="5" t="s">
        <v>1095</v>
      </c>
      <c r="E822" s="1" t="s">
        <v>420</v>
      </c>
      <c r="F822" s="5">
        <v>157061.0</v>
      </c>
      <c r="G822" s="5">
        <v>1.1791319E7</v>
      </c>
      <c r="H822" s="5">
        <v>28053.0</v>
      </c>
      <c r="I822" s="5">
        <v>1.1976433E7</v>
      </c>
      <c r="J822" s="5">
        <v>1.1953394E7</v>
      </c>
      <c r="K822" s="5">
        <v>23039.0</v>
      </c>
    </row>
    <row r="823">
      <c r="A823" s="2">
        <v>2021.0</v>
      </c>
      <c r="B823" s="1" t="s">
        <v>213</v>
      </c>
      <c r="D823" s="5" t="s">
        <v>1096</v>
      </c>
      <c r="E823" s="1" t="s">
        <v>420</v>
      </c>
      <c r="F823" s="5">
        <v>803785.0</v>
      </c>
      <c r="G823" s="5">
        <v>3.4671455E7</v>
      </c>
      <c r="H823" s="5">
        <v>166925.0</v>
      </c>
      <c r="I823" s="5">
        <v>3.5642165E7</v>
      </c>
      <c r="J823" s="5">
        <v>3.1298453E7</v>
      </c>
      <c r="K823" s="5">
        <v>4343712.0</v>
      </c>
    </row>
    <row r="824">
      <c r="A824" s="2">
        <v>2021.0</v>
      </c>
      <c r="B824" s="1" t="s">
        <v>213</v>
      </c>
      <c r="D824" s="5" t="s">
        <v>1097</v>
      </c>
      <c r="E824" s="1" t="s">
        <v>420</v>
      </c>
      <c r="F824" s="5">
        <v>551585.0</v>
      </c>
      <c r="G824" s="5">
        <v>2.1647707E7</v>
      </c>
      <c r="H824" s="5">
        <v>63099.0</v>
      </c>
      <c r="I824" s="5">
        <v>2.2262391E7</v>
      </c>
      <c r="J824" s="5">
        <v>2.1629866E7</v>
      </c>
      <c r="K824" s="5">
        <v>632525.0</v>
      </c>
    </row>
    <row r="825">
      <c r="A825" s="2">
        <v>2021.0</v>
      </c>
      <c r="B825" s="1" t="s">
        <v>213</v>
      </c>
      <c r="D825" s="5" t="s">
        <v>1099</v>
      </c>
      <c r="E825" s="1" t="s">
        <v>420</v>
      </c>
      <c r="F825" s="5">
        <v>1212230.0</v>
      </c>
      <c r="G825" s="5">
        <v>1.4213185E7</v>
      </c>
      <c r="H825" s="5">
        <v>42391.0</v>
      </c>
      <c r="I825" s="5">
        <v>1.5467806E7</v>
      </c>
      <c r="J825" s="5">
        <v>1.5269317E7</v>
      </c>
      <c r="K825" s="5">
        <v>198489.0</v>
      </c>
    </row>
    <row r="826">
      <c r="A826" s="2">
        <v>2021.0</v>
      </c>
      <c r="B826" s="1" t="s">
        <v>213</v>
      </c>
      <c r="D826" s="5" t="s">
        <v>1100</v>
      </c>
      <c r="E826" s="1" t="s">
        <v>420</v>
      </c>
      <c r="F826" s="5">
        <v>5872245.0</v>
      </c>
      <c r="G826" s="5">
        <v>9850363.0</v>
      </c>
      <c r="H826" s="5">
        <v>145017.0</v>
      </c>
      <c r="I826" s="5">
        <v>1.5867625E7</v>
      </c>
      <c r="J826" s="5">
        <v>1.2921654E7</v>
      </c>
      <c r="K826" s="5">
        <v>2945971.0</v>
      </c>
    </row>
    <row r="827">
      <c r="A827" s="2">
        <v>2021.0</v>
      </c>
      <c r="B827" s="5" t="s">
        <v>213</v>
      </c>
      <c r="D827" s="5" t="s">
        <v>594</v>
      </c>
      <c r="F827" s="5">
        <v>1.8569357E7</v>
      </c>
      <c r="G827" s="5">
        <v>1.35353778E8</v>
      </c>
      <c r="H827" s="5">
        <v>573770.0</v>
      </c>
      <c r="I827" s="5">
        <v>1.54496905E8</v>
      </c>
      <c r="J827" s="5">
        <v>1.33480014E8</v>
      </c>
      <c r="K827" s="5">
        <v>2.1016891E7</v>
      </c>
    </row>
    <row r="828">
      <c r="A828" s="2">
        <v>2021.0</v>
      </c>
      <c r="B828" s="5" t="s">
        <v>332</v>
      </c>
      <c r="F828" s="5">
        <v>2.1016891E7</v>
      </c>
      <c r="G828" s="5">
        <v>1.04417661E8</v>
      </c>
      <c r="H828" s="5">
        <v>748062.0</v>
      </c>
      <c r="I828" s="5">
        <v>1.26182614E8</v>
      </c>
      <c r="J828" s="5">
        <v>1.17036852E8</v>
      </c>
      <c r="K828" s="5">
        <v>9145762.0</v>
      </c>
    </row>
    <row r="829">
      <c r="A829" s="2">
        <v>2021.0</v>
      </c>
      <c r="B829" s="5" t="s">
        <v>595</v>
      </c>
      <c r="F829" s="5">
        <v>9145762.0</v>
      </c>
      <c r="G829" s="5">
        <v>1.43577919E8</v>
      </c>
      <c r="H829" s="5">
        <v>1486613.0</v>
      </c>
      <c r="I829" s="5">
        <v>1.54210294E8</v>
      </c>
      <c r="J829" s="5">
        <v>1.19142944E8</v>
      </c>
      <c r="K829" s="5">
        <v>3.506735E7</v>
      </c>
    </row>
    <row r="830">
      <c r="A830" s="2">
        <v>2021.0</v>
      </c>
      <c r="B830" s="5" t="s">
        <v>596</v>
      </c>
      <c r="F830" s="5">
        <v>3.506735E7</v>
      </c>
      <c r="G830" s="5">
        <v>1.22048287E8</v>
      </c>
      <c r="H830" s="5">
        <v>2572542.0</v>
      </c>
      <c r="I830" s="5">
        <v>1.59688179E8</v>
      </c>
      <c r="J830" s="5">
        <v>7.4895806E7</v>
      </c>
      <c r="K830" s="5">
        <v>8.4792373E7</v>
      </c>
    </row>
    <row r="831">
      <c r="A831" s="2">
        <v>2021.0</v>
      </c>
      <c r="B831" s="5" t="s">
        <v>595</v>
      </c>
      <c r="D831" s="5" t="s">
        <v>234</v>
      </c>
      <c r="F831" s="5">
        <v>5.7338157E7</v>
      </c>
      <c r="G831" s="5" t="s">
        <v>1101</v>
      </c>
    </row>
    <row r="832">
      <c r="A832" s="2">
        <v>2021.0</v>
      </c>
      <c r="B832" s="5" t="s">
        <v>595</v>
      </c>
      <c r="D832" s="5" t="s">
        <v>236</v>
      </c>
      <c r="F832" s="5">
        <v>3.8610809E7</v>
      </c>
      <c r="G832" s="5" t="s">
        <v>1101</v>
      </c>
    </row>
    <row r="833">
      <c r="A833" s="2">
        <v>2021.0</v>
      </c>
      <c r="B833" s="5" t="s">
        <v>595</v>
      </c>
      <c r="D833" s="5" t="s">
        <v>532</v>
      </c>
      <c r="F833" s="5">
        <v>4.2715181E7</v>
      </c>
      <c r="G833" s="5" t="s">
        <v>1101</v>
      </c>
    </row>
    <row r="834">
      <c r="A834" s="2">
        <v>2021.0</v>
      </c>
      <c r="B834" s="5" t="s">
        <v>595</v>
      </c>
      <c r="D834" s="5" t="s">
        <v>535</v>
      </c>
      <c r="F834" s="5">
        <v>7339807.0</v>
      </c>
      <c r="G834" s="5" t="s">
        <v>1103</v>
      </c>
    </row>
    <row r="835">
      <c r="A835" s="2">
        <v>2021.0</v>
      </c>
      <c r="B835" s="5" t="s">
        <v>595</v>
      </c>
      <c r="D835" s="5" t="s">
        <v>537</v>
      </c>
      <c r="F835" s="5">
        <v>2.652871E7</v>
      </c>
      <c r="G835" s="5" t="s">
        <v>1103</v>
      </c>
    </row>
    <row r="836">
      <c r="A836" s="2">
        <v>2021.0</v>
      </c>
      <c r="B836" s="5" t="s">
        <v>595</v>
      </c>
      <c r="D836" s="5" t="s">
        <v>539</v>
      </c>
      <c r="F836" s="5">
        <v>8429071.0</v>
      </c>
      <c r="G836" s="5" t="s">
        <v>1103</v>
      </c>
    </row>
    <row r="837">
      <c r="A837" s="2">
        <v>2021.0</v>
      </c>
      <c r="B837" s="5" t="s">
        <v>595</v>
      </c>
      <c r="D837" s="5" t="s">
        <v>216</v>
      </c>
      <c r="F837" s="5">
        <v>9293634.0</v>
      </c>
      <c r="G837" s="5" t="s">
        <v>1108</v>
      </c>
    </row>
    <row r="838">
      <c r="A838" s="2">
        <v>2021.0</v>
      </c>
      <c r="B838" s="5" t="s">
        <v>595</v>
      </c>
      <c r="D838" s="5" t="s">
        <v>870</v>
      </c>
      <c r="F838" s="5">
        <v>3280419.0</v>
      </c>
      <c r="G838" s="5">
        <v>1.1663E7</v>
      </c>
      <c r="H838" s="5">
        <v>72696.0</v>
      </c>
      <c r="I838" s="5">
        <v>1.5016115E7</v>
      </c>
      <c r="J838" s="5">
        <v>1.3375672E7</v>
      </c>
      <c r="K838" s="5">
        <v>1640443.0</v>
      </c>
    </row>
    <row r="839">
      <c r="A839" s="2">
        <v>2021.0</v>
      </c>
      <c r="D839" s="5" t="s">
        <v>871</v>
      </c>
      <c r="F839" s="5">
        <v>6954065.0</v>
      </c>
      <c r="G839" s="5">
        <v>2.3430178E7</v>
      </c>
      <c r="H839" s="5">
        <v>269334.0</v>
      </c>
      <c r="I839" s="5">
        <v>3.0653577E7</v>
      </c>
      <c r="J839" s="5">
        <v>2.4125586E7</v>
      </c>
      <c r="K839" s="5">
        <v>6527991.0</v>
      </c>
    </row>
    <row r="840">
      <c r="A840" s="2">
        <v>2021.0</v>
      </c>
      <c r="B840" s="5" t="s">
        <v>596</v>
      </c>
      <c r="D840" s="5" t="s">
        <v>870</v>
      </c>
      <c r="F840" s="5">
        <v>1640443.0</v>
      </c>
      <c r="G840" s="5">
        <v>1.3767102E7</v>
      </c>
      <c r="H840" s="5">
        <v>45520.0</v>
      </c>
      <c r="I840" s="5">
        <v>1.5453065E7</v>
      </c>
      <c r="J840" s="5">
        <v>1.3605386E7</v>
      </c>
      <c r="K840" s="5">
        <v>1847679.0</v>
      </c>
    </row>
    <row r="841">
      <c r="A841" s="2">
        <v>2021.0</v>
      </c>
      <c r="D841" s="5" t="s">
        <v>871</v>
      </c>
      <c r="F841" s="5">
        <v>6527991.0</v>
      </c>
      <c r="G841" s="5">
        <v>2.8544759E7</v>
      </c>
      <c r="H841" s="5">
        <v>395600.0</v>
      </c>
      <c r="I841" s="5">
        <v>3.546835E7</v>
      </c>
      <c r="J841" s="5">
        <v>2.767721E7</v>
      </c>
      <c r="K841" s="5">
        <v>7791140.0</v>
      </c>
    </row>
    <row r="842">
      <c r="A842" s="2">
        <v>2021.0</v>
      </c>
      <c r="B842" s="5" t="s">
        <v>595</v>
      </c>
      <c r="D842" s="5" t="s">
        <v>1109</v>
      </c>
      <c r="F842" s="5">
        <v>5.9025717E7</v>
      </c>
      <c r="G842" s="5" t="s">
        <v>1111</v>
      </c>
    </row>
    <row r="843">
      <c r="A843" s="2">
        <v>2021.0</v>
      </c>
      <c r="B843" s="5" t="s">
        <v>595</v>
      </c>
      <c r="D843" s="5" t="s">
        <v>870</v>
      </c>
      <c r="F843" s="5">
        <v>3280419.0</v>
      </c>
      <c r="G843" s="5">
        <v>1.1663E7</v>
      </c>
      <c r="H843" s="5">
        <v>72696.0</v>
      </c>
      <c r="I843" s="5">
        <v>1.5016115E7</v>
      </c>
      <c r="J843" s="5">
        <v>1.3375672E7</v>
      </c>
      <c r="K843" s="5">
        <v>1640443.0</v>
      </c>
    </row>
    <row r="844">
      <c r="A844" s="2">
        <v>2021.0</v>
      </c>
      <c r="D844" s="5" t="s">
        <v>1113</v>
      </c>
      <c r="F844" s="5">
        <v>6954065.0</v>
      </c>
      <c r="G844" s="5">
        <v>2.3430178E7</v>
      </c>
      <c r="H844" s="5">
        <v>269334.0</v>
      </c>
      <c r="I844" s="5">
        <v>3.0653577E7</v>
      </c>
      <c r="J844" s="5">
        <v>2.4125586E7</v>
      </c>
      <c r="K844" s="5">
        <v>6527991.0</v>
      </c>
    </row>
    <row r="845">
      <c r="A845" s="2">
        <v>2021.0</v>
      </c>
      <c r="B845" s="5" t="s">
        <v>596</v>
      </c>
      <c r="D845" s="5" t="s">
        <v>870</v>
      </c>
      <c r="F845" s="5">
        <v>1640443.0</v>
      </c>
      <c r="G845" s="5">
        <v>1.3767102E7</v>
      </c>
      <c r="H845" s="5">
        <v>45520.0</v>
      </c>
      <c r="I845" s="5">
        <v>1.5453065E7</v>
      </c>
      <c r="J845" s="5">
        <v>1.3605386E7</v>
      </c>
      <c r="K845" s="5">
        <v>1847679.0</v>
      </c>
    </row>
    <row r="846">
      <c r="A846" s="2">
        <v>2021.0</v>
      </c>
      <c r="D846" s="5" t="s">
        <v>1113</v>
      </c>
      <c r="F846" s="5">
        <v>6527991.0</v>
      </c>
      <c r="G846" s="5">
        <v>2.8544759E7</v>
      </c>
      <c r="H846" s="5">
        <v>395600.0</v>
      </c>
      <c r="I846" s="5">
        <v>3.546835E7</v>
      </c>
      <c r="J846" s="5">
        <v>2.767721E7</v>
      </c>
      <c r="K846" s="5">
        <v>7791140.0</v>
      </c>
    </row>
    <row r="847">
      <c r="A847" s="2">
        <v>2021.0</v>
      </c>
      <c r="B847" s="5" t="s">
        <v>213</v>
      </c>
      <c r="D847" s="5" t="s">
        <v>603</v>
      </c>
      <c r="F847" s="5">
        <v>3968737.0</v>
      </c>
      <c r="G847" s="5">
        <v>1.8567E7</v>
      </c>
      <c r="H847" s="5">
        <v>60526.0</v>
      </c>
      <c r="I847" s="5">
        <v>2.2596263E7</v>
      </c>
      <c r="J847" s="5">
        <v>2.2109795E7</v>
      </c>
      <c r="K847" s="5">
        <v>486468.0</v>
      </c>
    </row>
    <row r="848">
      <c r="A848" s="2">
        <v>2021.0</v>
      </c>
      <c r="B848" s="5" t="s">
        <v>332</v>
      </c>
      <c r="F848" s="5">
        <v>486468.0</v>
      </c>
      <c r="G848" s="5">
        <v>2.6881E7</v>
      </c>
      <c r="H848" s="5">
        <v>91889.0</v>
      </c>
      <c r="I848" s="5">
        <v>2.7459357E7</v>
      </c>
      <c r="J848" s="5">
        <v>2.3986661E7</v>
      </c>
      <c r="K848" s="5">
        <v>3472696.0</v>
      </c>
    </row>
    <row r="849">
      <c r="A849" s="2">
        <v>2021.0</v>
      </c>
      <c r="B849" s="5" t="s">
        <v>595</v>
      </c>
      <c r="F849" s="5">
        <v>3472696.0</v>
      </c>
      <c r="G849" s="5">
        <v>2.816E7</v>
      </c>
      <c r="H849" s="5">
        <v>72074.0</v>
      </c>
      <c r="I849" s="5">
        <v>3.170477E7</v>
      </c>
      <c r="J849" s="5">
        <v>2.3296299E7</v>
      </c>
      <c r="K849" s="5">
        <v>8408471.0</v>
      </c>
    </row>
    <row r="850">
      <c r="A850" s="2">
        <v>2021.0</v>
      </c>
      <c r="B850" s="5" t="s">
        <v>596</v>
      </c>
      <c r="F850" s="5">
        <v>8408471.0</v>
      </c>
      <c r="G850" s="5">
        <v>1.3032012E7</v>
      </c>
      <c r="H850" s="5">
        <v>135013.0</v>
      </c>
      <c r="I850" s="5">
        <v>2.1575496E7</v>
      </c>
      <c r="J850" s="5">
        <v>2.0370253E7</v>
      </c>
      <c r="K850" s="5">
        <v>1205243.0</v>
      </c>
    </row>
    <row r="851">
      <c r="A851" s="2">
        <v>2021.0</v>
      </c>
      <c r="B851" s="5" t="s">
        <v>596</v>
      </c>
      <c r="D851" s="5" t="s">
        <v>847</v>
      </c>
      <c r="F851" s="5">
        <v>0.0</v>
      </c>
      <c r="G851" s="5">
        <v>1.0311144E7</v>
      </c>
      <c r="H851" s="5">
        <v>26290.0</v>
      </c>
      <c r="I851" s="5">
        <v>1.0337434E7</v>
      </c>
      <c r="J851" s="5">
        <v>1.0250857E7</v>
      </c>
      <c r="K851" s="5">
        <v>86577.0</v>
      </c>
    </row>
    <row r="852">
      <c r="A852" s="2">
        <v>2021.0</v>
      </c>
      <c r="B852" s="5" t="s">
        <v>213</v>
      </c>
      <c r="D852" s="5" t="s">
        <v>79</v>
      </c>
      <c r="F852" s="5">
        <v>735648.0</v>
      </c>
      <c r="G852" s="5">
        <v>2060000.0</v>
      </c>
      <c r="H852" s="5">
        <v>15365.0</v>
      </c>
      <c r="I852" s="5">
        <v>2811013.0</v>
      </c>
      <c r="J852" s="5">
        <v>2573097.0</v>
      </c>
      <c r="K852" s="5">
        <v>237916.0</v>
      </c>
    </row>
    <row r="853">
      <c r="A853" s="2">
        <v>2021.0</v>
      </c>
      <c r="B853" s="5" t="s">
        <v>332</v>
      </c>
      <c r="F853" s="5">
        <v>237916.0</v>
      </c>
      <c r="G853" s="5">
        <v>7950000.0</v>
      </c>
      <c r="H853" s="5">
        <v>17539.0</v>
      </c>
      <c r="I853" s="5">
        <v>8205455.0</v>
      </c>
      <c r="J853" s="5">
        <v>7432962.0</v>
      </c>
      <c r="K853" s="5">
        <v>772493.0</v>
      </c>
    </row>
    <row r="854">
      <c r="A854" s="2">
        <v>2021.0</v>
      </c>
      <c r="B854" s="5" t="s">
        <v>595</v>
      </c>
      <c r="F854" s="5">
        <v>772493.0</v>
      </c>
      <c r="G854" s="5">
        <v>5044461.0</v>
      </c>
      <c r="H854" s="5">
        <v>17273.0</v>
      </c>
      <c r="I854" s="5">
        <v>5834227.0</v>
      </c>
      <c r="J854" s="5">
        <v>4308761.0</v>
      </c>
      <c r="K854" s="5">
        <v>1525466.0</v>
      </c>
    </row>
    <row r="855">
      <c r="A855" s="2">
        <v>2021.0</v>
      </c>
      <c r="B855" s="5" t="s">
        <v>596</v>
      </c>
      <c r="F855" s="5">
        <v>1525466.0</v>
      </c>
      <c r="G855" s="5">
        <v>4130587.0</v>
      </c>
      <c r="H855" s="5">
        <v>32173.0</v>
      </c>
      <c r="I855" s="5">
        <v>5688226.0</v>
      </c>
      <c r="J855" s="5">
        <v>4977048.0</v>
      </c>
      <c r="K855" s="5">
        <v>711178.0</v>
      </c>
    </row>
    <row r="856">
      <c r="A856" s="2">
        <v>2021.0</v>
      </c>
      <c r="B856" s="5" t="s">
        <v>213</v>
      </c>
      <c r="D856" s="5" t="s">
        <v>670</v>
      </c>
      <c r="F856" s="5">
        <v>2564009.0</v>
      </c>
      <c r="G856" s="5">
        <v>1.031508E7</v>
      </c>
      <c r="H856" s="5">
        <v>38546.0</v>
      </c>
      <c r="I856" s="5">
        <v>1.2917635E7</v>
      </c>
      <c r="J856" s="5">
        <v>1.2525124E7</v>
      </c>
      <c r="K856" s="5">
        <v>392511.0</v>
      </c>
    </row>
    <row r="857">
      <c r="A857" s="2">
        <v>2021.0</v>
      </c>
      <c r="B857" s="5" t="s">
        <v>332</v>
      </c>
      <c r="F857" s="5">
        <v>392511.0</v>
      </c>
      <c r="G857" s="5">
        <v>1.465E7</v>
      </c>
      <c r="H857" s="5">
        <v>54963.0</v>
      </c>
      <c r="I857" s="5">
        <v>1.5097474E7</v>
      </c>
      <c r="J857" s="5">
        <v>1.2709206E7</v>
      </c>
      <c r="K857" s="5">
        <v>2388268.0</v>
      </c>
    </row>
    <row r="858">
      <c r="A858" s="2">
        <v>2021.0</v>
      </c>
      <c r="B858" s="5" t="s">
        <v>595</v>
      </c>
      <c r="F858" s="5">
        <v>2388268.0</v>
      </c>
      <c r="G858" s="5">
        <v>1.408304E7</v>
      </c>
      <c r="H858" s="5">
        <v>48747.0</v>
      </c>
      <c r="I858" s="5">
        <v>1.6520055E7</v>
      </c>
      <c r="J858" s="5">
        <v>1.2279792E7</v>
      </c>
      <c r="K858" s="5">
        <v>4240263.0</v>
      </c>
    </row>
    <row r="859">
      <c r="A859" s="2">
        <v>2021.0</v>
      </c>
      <c r="B859" s="5" t="s">
        <v>596</v>
      </c>
      <c r="F859" s="5">
        <v>4240263.0</v>
      </c>
      <c r="G859" s="5">
        <v>9298150.0</v>
      </c>
      <c r="H859" s="5">
        <v>71424.0</v>
      </c>
      <c r="I859" s="5">
        <v>1.3609837E7</v>
      </c>
      <c r="J859" s="5">
        <v>1.3500364E7</v>
      </c>
      <c r="K859" s="5">
        <v>109473.0</v>
      </c>
    </row>
    <row r="860">
      <c r="A860" s="2">
        <v>2021.0</v>
      </c>
      <c r="B860" s="5" t="s">
        <v>213</v>
      </c>
      <c r="D860" s="5" t="s">
        <v>612</v>
      </c>
      <c r="F860" s="5">
        <v>3755074.0</v>
      </c>
      <c r="G860" s="5">
        <v>1.920179E7</v>
      </c>
      <c r="H860" s="5">
        <v>62146.0</v>
      </c>
      <c r="I860" s="5">
        <v>2.301901E7</v>
      </c>
      <c r="K860" s="5">
        <v>2.301901E7</v>
      </c>
    </row>
    <row r="861">
      <c r="A861" s="2">
        <v>2021.0</v>
      </c>
      <c r="B861" s="5" t="s">
        <v>332</v>
      </c>
      <c r="F861" s="5">
        <v>683782.0</v>
      </c>
      <c r="G861" s="5">
        <v>2.7181E7</v>
      </c>
      <c r="H861" s="5">
        <v>100039.0</v>
      </c>
      <c r="I861" s="5">
        <v>2.7964821E7</v>
      </c>
      <c r="J861" s="5">
        <v>2.311494E7</v>
      </c>
      <c r="K861" s="5">
        <v>4849881.0</v>
      </c>
    </row>
    <row r="862">
      <c r="A862" s="2">
        <v>2021.0</v>
      </c>
      <c r="B862" s="5" t="s">
        <v>595</v>
      </c>
      <c r="F862" s="5">
        <v>4849881.0</v>
      </c>
      <c r="G862" s="5">
        <v>2.389E7</v>
      </c>
      <c r="H862" s="5">
        <v>62152.0</v>
      </c>
      <c r="I862" s="5">
        <v>2.8802033E7</v>
      </c>
      <c r="J862" s="5">
        <v>2.1644768E7</v>
      </c>
      <c r="K862" s="5">
        <v>7157265.0</v>
      </c>
    </row>
    <row r="863">
      <c r="A863" s="2">
        <v>2021.0</v>
      </c>
      <c r="B863" s="5" t="s">
        <v>596</v>
      </c>
      <c r="F863" s="5">
        <v>7157265.0</v>
      </c>
      <c r="G863" s="5">
        <v>2.0010577E7</v>
      </c>
      <c r="H863" s="5">
        <v>137074.0</v>
      </c>
      <c r="I863" s="5">
        <v>2.7304916E7</v>
      </c>
      <c r="J863" s="5">
        <v>2.5623347E7</v>
      </c>
      <c r="K863" s="5">
        <v>1681569.0</v>
      </c>
    </row>
    <row r="864">
      <c r="A864" s="2">
        <v>2021.0</v>
      </c>
      <c r="B864" s="5" t="s">
        <v>213</v>
      </c>
      <c r="D864" s="5" t="s">
        <v>607</v>
      </c>
      <c r="F864" s="5">
        <v>2286129.0</v>
      </c>
      <c r="G864" s="5">
        <v>1.4032E7</v>
      </c>
      <c r="H864" s="5">
        <v>39117.0</v>
      </c>
      <c r="I864" s="5">
        <v>1.6357246E7</v>
      </c>
      <c r="J864" s="5">
        <v>1.6303073E7</v>
      </c>
      <c r="K864" s="5">
        <v>54173.0</v>
      </c>
    </row>
    <row r="865">
      <c r="A865" s="2">
        <v>2021.0</v>
      </c>
      <c r="B865" s="5" t="s">
        <v>332</v>
      </c>
      <c r="F865" s="5">
        <v>54173.0</v>
      </c>
      <c r="G865" s="5">
        <v>1.7059696E7</v>
      </c>
      <c r="H865" s="5">
        <v>47598.0</v>
      </c>
      <c r="I865" s="5">
        <v>1.7161467E7</v>
      </c>
      <c r="J865" s="5">
        <v>1.7035375E7</v>
      </c>
      <c r="K865" s="5">
        <v>126092.0</v>
      </c>
    </row>
    <row r="866">
      <c r="A866" s="2">
        <v>2021.0</v>
      </c>
      <c r="B866" s="5" t="s">
        <v>595</v>
      </c>
      <c r="F866" s="5">
        <v>126092.0</v>
      </c>
      <c r="G866" s="5">
        <v>1.9546987E7</v>
      </c>
      <c r="H866" s="5">
        <v>66895.0</v>
      </c>
      <c r="I866" s="5">
        <v>1.9739974E7</v>
      </c>
      <c r="J866" s="5">
        <v>1.6422844E7</v>
      </c>
      <c r="K866" s="5">
        <v>3317130.0</v>
      </c>
    </row>
    <row r="867">
      <c r="A867" s="2">
        <v>2021.0</v>
      </c>
      <c r="B867" s="5" t="s">
        <v>596</v>
      </c>
      <c r="F867" s="5">
        <v>3317130.0</v>
      </c>
      <c r="G867" s="5">
        <v>2.358996E7</v>
      </c>
      <c r="H867" s="5">
        <v>103199.0</v>
      </c>
      <c r="I867" s="5">
        <v>2.7010289E7</v>
      </c>
      <c r="J867" s="5">
        <v>2.6196129E7</v>
      </c>
      <c r="K867" s="5">
        <v>814160.0</v>
      </c>
    </row>
    <row r="868">
      <c r="A868" s="2">
        <v>2021.0</v>
      </c>
      <c r="B868" s="5" t="s">
        <v>213</v>
      </c>
      <c r="D868" s="5" t="s">
        <v>615</v>
      </c>
      <c r="F868" s="5">
        <v>6293941.0</v>
      </c>
      <c r="G868" s="5">
        <v>1.4811E7</v>
      </c>
      <c r="H868" s="5">
        <v>118640.0</v>
      </c>
      <c r="I868" s="5">
        <v>2.12233581E8</v>
      </c>
      <c r="J868" s="5">
        <v>1.927768E7</v>
      </c>
      <c r="K868" s="5">
        <v>1945901.0</v>
      </c>
    </row>
    <row r="869">
      <c r="A869" s="2">
        <v>2021.0</v>
      </c>
      <c r="B869" s="5" t="s">
        <v>595</v>
      </c>
      <c r="F869" s="5">
        <v>449626.0</v>
      </c>
      <c r="G869" s="5">
        <v>2.7162418E7</v>
      </c>
      <c r="H869" s="5">
        <v>93190.0</v>
      </c>
      <c r="I869" s="5">
        <v>2.7705234E7</v>
      </c>
      <c r="J869" s="5">
        <v>2.4771361E7</v>
      </c>
      <c r="K869" s="5">
        <v>2933873.0</v>
      </c>
    </row>
    <row r="870">
      <c r="A870" s="2">
        <v>2021.0</v>
      </c>
      <c r="B870" s="5" t="s">
        <v>596</v>
      </c>
      <c r="F870" s="5">
        <v>2933873.0</v>
      </c>
      <c r="G870" s="5">
        <v>2.8358E7</v>
      </c>
      <c r="H870" s="5">
        <v>142304.0</v>
      </c>
      <c r="I870" s="5">
        <v>3.1434177E7</v>
      </c>
      <c r="J870" s="5">
        <v>2.9823362E7</v>
      </c>
      <c r="K870" s="5">
        <v>1610815.0</v>
      </c>
    </row>
    <row r="871">
      <c r="A871" s="2">
        <v>2021.0</v>
      </c>
      <c r="B871" s="5" t="s">
        <v>213</v>
      </c>
      <c r="D871" s="5" t="s">
        <v>604</v>
      </c>
      <c r="E871" s="5" t="s">
        <v>114</v>
      </c>
      <c r="F871" s="5">
        <v>1600151.0</v>
      </c>
      <c r="G871" s="5">
        <v>100000.0</v>
      </c>
      <c r="H871" s="5">
        <v>38651.0</v>
      </c>
      <c r="I871" s="5">
        <v>1738802.0</v>
      </c>
      <c r="J871" s="5">
        <v>1724077.0</v>
      </c>
      <c r="K871" s="5">
        <v>14725.0</v>
      </c>
    </row>
    <row r="872">
      <c r="A872" s="2">
        <v>2021.0</v>
      </c>
      <c r="B872" s="5" t="s">
        <v>332</v>
      </c>
      <c r="F872" s="5">
        <v>14725.0</v>
      </c>
      <c r="H872" s="5">
        <v>595.0</v>
      </c>
      <c r="I872" s="5">
        <v>15320.0</v>
      </c>
      <c r="J872" s="5">
        <v>15320.0</v>
      </c>
      <c r="K872" s="5">
        <v>0.0</v>
      </c>
    </row>
    <row r="873">
      <c r="A873" s="2">
        <v>2021.0</v>
      </c>
      <c r="B873" s="5" t="s">
        <v>213</v>
      </c>
      <c r="E873" s="5" t="s">
        <v>32</v>
      </c>
      <c r="F873" s="5">
        <v>131073.0</v>
      </c>
      <c r="G873" s="5">
        <v>22709.0</v>
      </c>
      <c r="H873" s="5">
        <v>3007.0</v>
      </c>
      <c r="I873" s="5">
        <v>156789.0</v>
      </c>
      <c r="J873" s="5">
        <v>0.0</v>
      </c>
      <c r="K873" s="5">
        <v>156789.0</v>
      </c>
    </row>
    <row r="874">
      <c r="A874" s="2">
        <v>2021.0</v>
      </c>
      <c r="B874" s="5" t="s">
        <v>332</v>
      </c>
      <c r="F874" s="5">
        <v>156789.0</v>
      </c>
      <c r="G874" s="5">
        <v>100760.0</v>
      </c>
      <c r="H874" s="5">
        <v>6334.0</v>
      </c>
      <c r="I874" s="5">
        <v>263883.0</v>
      </c>
      <c r="J874" s="5">
        <v>75439.0</v>
      </c>
      <c r="K874" s="5">
        <v>188444.0</v>
      </c>
    </row>
    <row r="875">
      <c r="A875" s="2">
        <v>2021.0</v>
      </c>
      <c r="B875" s="5" t="s">
        <v>595</v>
      </c>
      <c r="F875" s="5">
        <v>188444.0</v>
      </c>
      <c r="G875" s="5">
        <v>73104.0</v>
      </c>
      <c r="H875" s="5">
        <v>7264.0</v>
      </c>
      <c r="I875" s="5">
        <v>268812.0</v>
      </c>
      <c r="J875" s="5">
        <v>1500.0</v>
      </c>
      <c r="K875" s="5">
        <v>267312.0</v>
      </c>
    </row>
    <row r="876">
      <c r="A876" s="2">
        <v>2021.0</v>
      </c>
      <c r="B876" s="5" t="s">
        <v>596</v>
      </c>
      <c r="F876" s="5">
        <v>267312.0</v>
      </c>
      <c r="G876" s="5">
        <v>97275.0</v>
      </c>
      <c r="H876" s="5">
        <v>13262.0</v>
      </c>
      <c r="I876" s="5">
        <v>377849.0</v>
      </c>
      <c r="J876" s="5">
        <v>48860.0</v>
      </c>
      <c r="K876" s="5">
        <v>328989.0</v>
      </c>
    </row>
    <row r="877">
      <c r="A877" s="2">
        <v>2021.0</v>
      </c>
      <c r="B877" s="5" t="s">
        <v>213</v>
      </c>
      <c r="E877" s="5" t="s">
        <v>469</v>
      </c>
      <c r="F877" s="5">
        <v>52439.0</v>
      </c>
      <c r="G877" s="5">
        <v>1264926.0</v>
      </c>
      <c r="H877" s="5">
        <v>13933.0</v>
      </c>
      <c r="I877" s="5">
        <v>1331298.0</v>
      </c>
      <c r="J877" s="5">
        <v>565287.0</v>
      </c>
      <c r="K877" s="5">
        <v>766011.0</v>
      </c>
    </row>
    <row r="878">
      <c r="A878" s="2">
        <v>2021.0</v>
      </c>
      <c r="B878" s="5" t="s">
        <v>332</v>
      </c>
      <c r="F878" s="5">
        <v>766011.0</v>
      </c>
      <c r="G878" s="5">
        <v>2408147.0</v>
      </c>
      <c r="H878" s="5">
        <v>13783.0</v>
      </c>
      <c r="I878" s="5">
        <v>3187941.0</v>
      </c>
      <c r="J878" s="5">
        <v>1668373.0</v>
      </c>
      <c r="K878" s="5">
        <v>1519568.0</v>
      </c>
    </row>
    <row r="879">
      <c r="A879" s="2">
        <v>2021.0</v>
      </c>
      <c r="B879" s="5" t="s">
        <v>595</v>
      </c>
      <c r="F879" s="5">
        <v>1519568.0</v>
      </c>
      <c r="G879" s="5">
        <v>2235999.0</v>
      </c>
      <c r="H879" s="5">
        <v>50223.0</v>
      </c>
      <c r="I879" s="5">
        <v>3805790.0</v>
      </c>
      <c r="J879" s="5">
        <v>2442324.0</v>
      </c>
      <c r="K879" s="5">
        <v>1363466.0</v>
      </c>
    </row>
    <row r="880">
      <c r="A880" s="2">
        <v>2021.0</v>
      </c>
      <c r="B880" s="5" t="s">
        <v>596</v>
      </c>
      <c r="F880" s="5">
        <v>1363466.0</v>
      </c>
      <c r="G880" s="5">
        <v>2139330.0</v>
      </c>
      <c r="H880" s="5">
        <v>37437.0</v>
      </c>
      <c r="I880" s="5">
        <v>3540233.0</v>
      </c>
      <c r="J880" s="5">
        <v>2956102.0</v>
      </c>
      <c r="K880" s="5">
        <v>584131.0</v>
      </c>
    </row>
    <row r="881">
      <c r="A881" s="2">
        <v>2021.0</v>
      </c>
      <c r="B881" s="5" t="s">
        <v>596</v>
      </c>
      <c r="D881" s="5" t="s">
        <v>778</v>
      </c>
      <c r="F881" s="5">
        <v>0.0</v>
      </c>
      <c r="G881" s="5">
        <v>2804490.0</v>
      </c>
      <c r="H881" s="5">
        <v>18855.0</v>
      </c>
      <c r="I881" s="5">
        <v>2823345.0</v>
      </c>
      <c r="J881" s="5">
        <v>1732632.0</v>
      </c>
      <c r="K881" s="5">
        <v>1090713.0</v>
      </c>
    </row>
    <row r="882">
      <c r="A882" s="2">
        <v>2021.0</v>
      </c>
      <c r="B882" s="5" t="s">
        <v>213</v>
      </c>
      <c r="E882" s="5" t="s">
        <v>114</v>
      </c>
      <c r="F882" s="5">
        <v>1135712.0</v>
      </c>
      <c r="G882" s="5">
        <v>100000.0</v>
      </c>
      <c r="H882" s="5">
        <v>11182.0</v>
      </c>
      <c r="I882" s="5">
        <v>1246894.0</v>
      </c>
      <c r="J882" s="5">
        <v>1071683.0</v>
      </c>
      <c r="K882" s="5">
        <v>175211.0</v>
      </c>
    </row>
    <row r="883">
      <c r="A883" s="2">
        <v>2021.0</v>
      </c>
      <c r="B883" s="5" t="s">
        <v>332</v>
      </c>
      <c r="F883" s="5">
        <v>175211.0</v>
      </c>
      <c r="H883" s="5">
        <v>789.0</v>
      </c>
      <c r="I883" s="5">
        <v>176000.0</v>
      </c>
      <c r="J883" s="5">
        <v>170000.0</v>
      </c>
      <c r="K883" s="5">
        <v>6000.0</v>
      </c>
    </row>
    <row r="884">
      <c r="A884" s="2">
        <v>2021.0</v>
      </c>
      <c r="B884" s="5" t="s">
        <v>595</v>
      </c>
      <c r="F884" s="5">
        <v>6000.0</v>
      </c>
      <c r="H884" s="5">
        <v>242.0</v>
      </c>
      <c r="I884" s="5">
        <v>6242.0</v>
      </c>
      <c r="J884" s="5">
        <v>0.0</v>
      </c>
      <c r="K884" s="5">
        <v>6242.0</v>
      </c>
    </row>
    <row r="885">
      <c r="A885" s="2">
        <v>2021.0</v>
      </c>
      <c r="B885" s="5" t="s">
        <v>596</v>
      </c>
      <c r="F885" s="5">
        <v>6242.0</v>
      </c>
      <c r="H885" s="5">
        <v>271.0</v>
      </c>
      <c r="I885" s="5">
        <v>6513.0</v>
      </c>
      <c r="J885" s="5">
        <v>0.0</v>
      </c>
      <c r="K885" s="5">
        <v>6513.0</v>
      </c>
    </row>
    <row r="886">
      <c r="A886" s="2">
        <v>2021.0</v>
      </c>
      <c r="B886" s="5" t="s">
        <v>213</v>
      </c>
      <c r="E886" s="5" t="s">
        <v>1135</v>
      </c>
      <c r="F886" s="5">
        <v>33947.0</v>
      </c>
      <c r="G886" s="5">
        <v>687841.0</v>
      </c>
      <c r="H886" s="5">
        <v>3844.0</v>
      </c>
      <c r="I886" s="5">
        <v>725632.0</v>
      </c>
      <c r="J886" s="5">
        <v>679420.0</v>
      </c>
      <c r="K886" s="5">
        <v>46212.0</v>
      </c>
    </row>
    <row r="887">
      <c r="A887" s="2">
        <v>2021.0</v>
      </c>
      <c r="B887" s="5" t="s">
        <v>332</v>
      </c>
      <c r="F887" s="5">
        <v>46212.0</v>
      </c>
      <c r="H887" s="5">
        <v>1648.0</v>
      </c>
      <c r="I887" s="5">
        <v>47860.0</v>
      </c>
      <c r="J887" s="5">
        <v>39381.0</v>
      </c>
      <c r="K887" s="5">
        <v>8479.0</v>
      </c>
    </row>
    <row r="888">
      <c r="A888" s="2">
        <v>2021.0</v>
      </c>
      <c r="B888" s="5" t="s">
        <v>595</v>
      </c>
      <c r="F888" s="5">
        <v>8479.0</v>
      </c>
      <c r="G888" s="5">
        <v>298876.0</v>
      </c>
      <c r="H888" s="5">
        <v>315.0</v>
      </c>
      <c r="I888" s="5">
        <v>307670.0</v>
      </c>
      <c r="J888" s="5">
        <v>0.0</v>
      </c>
      <c r="K888" s="5">
        <v>307670.0</v>
      </c>
    </row>
    <row r="889">
      <c r="A889" s="2">
        <v>2021.0</v>
      </c>
      <c r="B889" s="5" t="s">
        <v>596</v>
      </c>
      <c r="F889" s="5">
        <v>307670.0</v>
      </c>
      <c r="G889" s="5">
        <v>2895882.0</v>
      </c>
      <c r="H889" s="5">
        <v>55238.0</v>
      </c>
      <c r="I889" s="5">
        <v>3258790.0</v>
      </c>
      <c r="J889" s="5">
        <v>1344547.0</v>
      </c>
      <c r="K889" s="5">
        <v>1914243.0</v>
      </c>
    </row>
    <row r="890">
      <c r="A890" s="2">
        <v>2021.0</v>
      </c>
      <c r="B890" s="5" t="s">
        <v>213</v>
      </c>
      <c r="E890" s="5" t="s">
        <v>759</v>
      </c>
      <c r="F890" s="5">
        <v>69588.0</v>
      </c>
      <c r="G890" s="5">
        <v>644000.0</v>
      </c>
      <c r="H890" s="5">
        <v>7271.0</v>
      </c>
      <c r="I890" s="5">
        <v>720859.0</v>
      </c>
      <c r="J890" s="5">
        <v>625704.0</v>
      </c>
      <c r="K890" s="5">
        <v>95155.0</v>
      </c>
    </row>
    <row r="891">
      <c r="A891" s="2">
        <v>2021.0</v>
      </c>
      <c r="B891" s="5" t="s">
        <v>332</v>
      </c>
      <c r="F891" s="5">
        <v>95155.0</v>
      </c>
      <c r="G891" s="5">
        <v>1931108.0</v>
      </c>
      <c r="H891" s="5">
        <v>7487.0</v>
      </c>
      <c r="I891" s="5">
        <v>2033750.0</v>
      </c>
      <c r="J891" s="5">
        <v>1087507.0</v>
      </c>
      <c r="K891" s="5">
        <v>946243.0</v>
      </c>
    </row>
    <row r="892">
      <c r="A892" s="2">
        <v>2021.0</v>
      </c>
      <c r="B892" s="5" t="s">
        <v>595</v>
      </c>
      <c r="F892" s="5">
        <v>946243.0</v>
      </c>
      <c r="G892" s="5">
        <v>1755986.0</v>
      </c>
      <c r="H892" s="5">
        <v>38928.0</v>
      </c>
      <c r="I892" s="5">
        <v>2741157.0</v>
      </c>
      <c r="J892" s="5">
        <v>1334792.0</v>
      </c>
      <c r="K892" s="5">
        <v>1406365.0</v>
      </c>
    </row>
    <row r="893">
      <c r="A893" s="2">
        <v>2021.0</v>
      </c>
      <c r="B893" s="5" t="s">
        <v>596</v>
      </c>
      <c r="F893" s="5">
        <v>1406365.0</v>
      </c>
      <c r="G893" s="5">
        <v>947962.0</v>
      </c>
      <c r="H893" s="5">
        <v>26957.0</v>
      </c>
      <c r="I893" s="5">
        <v>2381284.0</v>
      </c>
      <c r="J893" s="5">
        <v>2091692.0</v>
      </c>
      <c r="K893" s="5">
        <v>289592.0</v>
      </c>
    </row>
    <row r="894">
      <c r="A894" s="2">
        <v>2021.0</v>
      </c>
      <c r="B894" s="5" t="s">
        <v>213</v>
      </c>
      <c r="E894" s="5" t="s">
        <v>32</v>
      </c>
      <c r="F894" s="5">
        <v>43883.0</v>
      </c>
      <c r="G894" s="5">
        <v>3890.0</v>
      </c>
      <c r="H894" s="5">
        <v>1903.0</v>
      </c>
      <c r="I894" s="5">
        <v>49676.0</v>
      </c>
      <c r="J894" s="5">
        <v>0.0</v>
      </c>
      <c r="K894" s="5">
        <v>49676.0</v>
      </c>
    </row>
    <row r="895">
      <c r="A895" s="2">
        <v>2021.0</v>
      </c>
      <c r="B895" s="5" t="s">
        <v>332</v>
      </c>
      <c r="F895" s="5">
        <v>49676.0</v>
      </c>
      <c r="G895" s="5">
        <v>13865.0</v>
      </c>
      <c r="H895" s="5">
        <v>1875.0</v>
      </c>
      <c r="I895" s="5">
        <v>65416.0</v>
      </c>
      <c r="J895" s="5">
        <v>30000.0</v>
      </c>
      <c r="K895" s="5">
        <v>35416.0</v>
      </c>
    </row>
    <row r="896">
      <c r="A896" s="2">
        <v>2021.0</v>
      </c>
      <c r="B896" s="5" t="s">
        <v>595</v>
      </c>
      <c r="F896" s="5">
        <v>35416.0</v>
      </c>
      <c r="G896" s="5">
        <v>6470.0</v>
      </c>
      <c r="H896" s="5">
        <v>1620.0</v>
      </c>
      <c r="I896" s="5">
        <v>43506.0</v>
      </c>
      <c r="J896" s="5">
        <v>100.0</v>
      </c>
      <c r="K896" s="5">
        <v>43406.0</v>
      </c>
    </row>
    <row r="897">
      <c r="A897" s="2">
        <v>2021.0</v>
      </c>
      <c r="B897" s="5" t="s">
        <v>596</v>
      </c>
      <c r="F897" s="5">
        <v>43406.0</v>
      </c>
      <c r="G897" s="5">
        <v>52815.0</v>
      </c>
      <c r="H897" s="5">
        <v>2513.0</v>
      </c>
      <c r="I897" s="5">
        <v>98734.0</v>
      </c>
      <c r="J897" s="5">
        <v>31540.0</v>
      </c>
      <c r="K897" s="5">
        <v>67194.0</v>
      </c>
    </row>
    <row r="898">
      <c r="A898" s="2">
        <v>2021.0</v>
      </c>
      <c r="B898" s="5" t="s">
        <v>213</v>
      </c>
      <c r="E898" s="5" t="s">
        <v>460</v>
      </c>
      <c r="F898" s="5">
        <v>42810.0</v>
      </c>
      <c r="G898" s="5">
        <v>38000.0</v>
      </c>
      <c r="H898" s="5">
        <v>744.0</v>
      </c>
      <c r="I898" s="5">
        <v>81554.0</v>
      </c>
      <c r="J898" s="5">
        <v>77160.0</v>
      </c>
      <c r="K898" s="5">
        <v>4394.0</v>
      </c>
    </row>
    <row r="899">
      <c r="A899" s="2">
        <v>2021.0</v>
      </c>
      <c r="B899" s="5" t="s">
        <v>332</v>
      </c>
      <c r="F899" s="5">
        <v>4394.0</v>
      </c>
      <c r="G899" s="5">
        <v>0.0</v>
      </c>
      <c r="H899" s="5">
        <v>178.0</v>
      </c>
      <c r="I899" s="5">
        <v>4572.0</v>
      </c>
      <c r="J899" s="5">
        <v>0.0</v>
      </c>
      <c r="K899" s="5">
        <v>4572.0</v>
      </c>
    </row>
    <row r="900">
      <c r="A900" s="2">
        <v>2021.0</v>
      </c>
      <c r="B900" s="5" t="s">
        <v>595</v>
      </c>
      <c r="F900" s="5">
        <v>4572.0</v>
      </c>
      <c r="G900" s="5">
        <v>0.0</v>
      </c>
      <c r="H900" s="5">
        <v>177.0</v>
      </c>
      <c r="I900" s="5">
        <v>4749.0</v>
      </c>
      <c r="J900" s="5">
        <v>400.0</v>
      </c>
      <c r="K900" s="5">
        <v>4349.0</v>
      </c>
    </row>
    <row r="901">
      <c r="A901" s="2">
        <v>2021.0</v>
      </c>
      <c r="B901" s="5" t="s">
        <v>596</v>
      </c>
      <c r="F901" s="5">
        <v>4349.0</v>
      </c>
      <c r="G901" s="5">
        <v>0.0</v>
      </c>
      <c r="H901" s="5">
        <v>189.0</v>
      </c>
      <c r="I901" s="5">
        <v>4538.0</v>
      </c>
      <c r="J901" s="5">
        <v>0.0</v>
      </c>
      <c r="K901" s="5">
        <v>4538.0</v>
      </c>
    </row>
    <row r="902">
      <c r="A902" s="2">
        <v>2021.0</v>
      </c>
      <c r="B902" s="5" t="s">
        <v>213</v>
      </c>
      <c r="D902" s="5" t="s">
        <v>1139</v>
      </c>
      <c r="E902" s="5" t="s">
        <v>114</v>
      </c>
      <c r="F902" s="5">
        <v>150029.0</v>
      </c>
      <c r="G902" s="5">
        <v>100000.0</v>
      </c>
      <c r="H902" s="5">
        <v>3859.0</v>
      </c>
      <c r="I902" s="5">
        <v>253888.0</v>
      </c>
      <c r="J902" s="5">
        <v>190392.0</v>
      </c>
      <c r="K902" s="5">
        <v>63496.0</v>
      </c>
    </row>
    <row r="903">
      <c r="A903" s="2">
        <v>2021.0</v>
      </c>
      <c r="B903" s="5" t="s">
        <v>332</v>
      </c>
      <c r="F903" s="5">
        <v>63496.0</v>
      </c>
      <c r="G903" s="5">
        <v>0.0</v>
      </c>
      <c r="H903" s="5">
        <v>635.0</v>
      </c>
      <c r="I903" s="5">
        <v>64131.0</v>
      </c>
      <c r="J903" s="5">
        <v>64131.0</v>
      </c>
      <c r="K903" s="5">
        <v>0.0</v>
      </c>
    </row>
    <row r="904">
      <c r="A904" s="2">
        <v>2021.0</v>
      </c>
      <c r="B904" s="5" t="s">
        <v>213</v>
      </c>
      <c r="E904" s="5" t="s">
        <v>460</v>
      </c>
      <c r="F904" s="5">
        <v>1199.0</v>
      </c>
      <c r="G904" s="5">
        <v>50000.0</v>
      </c>
      <c r="H904" s="5">
        <v>56.0</v>
      </c>
      <c r="I904" s="5">
        <v>51255.0</v>
      </c>
      <c r="J904" s="5">
        <v>49786.0</v>
      </c>
      <c r="K904" s="5">
        <v>1469.0</v>
      </c>
    </row>
    <row r="905">
      <c r="A905" s="2">
        <v>2021.0</v>
      </c>
      <c r="B905" s="5" t="s">
        <v>332</v>
      </c>
      <c r="F905" s="5">
        <v>1469.0</v>
      </c>
      <c r="G905" s="5">
        <v>0.0</v>
      </c>
      <c r="H905" s="5">
        <v>59.0</v>
      </c>
      <c r="I905" s="5">
        <v>1528.0</v>
      </c>
      <c r="J905" s="5">
        <v>0.0</v>
      </c>
      <c r="K905" s="5">
        <v>1528.0</v>
      </c>
    </row>
    <row r="906">
      <c r="A906" s="2">
        <v>2021.0</v>
      </c>
      <c r="B906" s="5" t="s">
        <v>595</v>
      </c>
      <c r="F906" s="5">
        <v>1528.0</v>
      </c>
      <c r="G906" s="5">
        <v>0.0</v>
      </c>
      <c r="H906" s="5">
        <v>62.0</v>
      </c>
      <c r="I906" s="5">
        <v>1590.0</v>
      </c>
      <c r="J906" s="5">
        <v>0.0</v>
      </c>
      <c r="K906" s="5">
        <v>1590.0</v>
      </c>
    </row>
    <row r="907">
      <c r="A907" s="2">
        <v>2021.0</v>
      </c>
      <c r="B907" s="5" t="s">
        <v>596</v>
      </c>
      <c r="F907" s="5">
        <v>1590.0</v>
      </c>
      <c r="G907" s="5">
        <v>0.0</v>
      </c>
      <c r="H907" s="5">
        <v>0.0</v>
      </c>
      <c r="I907" s="5">
        <v>1590.0</v>
      </c>
      <c r="J907" s="5">
        <v>0.0</v>
      </c>
      <c r="K907" s="5">
        <v>1590.0</v>
      </c>
    </row>
    <row r="908">
      <c r="A908" s="2">
        <v>2021.0</v>
      </c>
      <c r="B908" s="5" t="s">
        <v>213</v>
      </c>
      <c r="E908" s="5" t="s">
        <v>173</v>
      </c>
      <c r="F908" s="5">
        <v>339187.0</v>
      </c>
      <c r="G908" s="5">
        <v>603515.0</v>
      </c>
      <c r="H908" s="5">
        <v>31512.0</v>
      </c>
      <c r="I908" s="5">
        <v>974214.0</v>
      </c>
      <c r="J908" s="5">
        <v>537846.0</v>
      </c>
      <c r="K908" s="5">
        <v>436368.0</v>
      </c>
    </row>
    <row r="909">
      <c r="A909" s="2">
        <v>2021.0</v>
      </c>
      <c r="B909" s="5" t="s">
        <v>332</v>
      </c>
      <c r="F909" s="5">
        <v>436368.0</v>
      </c>
      <c r="G909" s="5">
        <v>0.0</v>
      </c>
      <c r="H909" s="5">
        <v>0.0</v>
      </c>
      <c r="I909" s="5">
        <v>436368.0</v>
      </c>
      <c r="J909" s="5">
        <v>0.0</v>
      </c>
      <c r="K909" s="5">
        <v>436368.0</v>
      </c>
    </row>
    <row r="910">
      <c r="A910" s="2">
        <v>2021.0</v>
      </c>
      <c r="B910" s="5" t="s">
        <v>595</v>
      </c>
      <c r="F910" s="5">
        <v>436368.0</v>
      </c>
      <c r="G910" s="5">
        <v>0.0</v>
      </c>
      <c r="H910" s="5">
        <v>0.0</v>
      </c>
      <c r="I910" s="5">
        <v>436368.0</v>
      </c>
      <c r="J910" s="5">
        <v>0.0</v>
      </c>
      <c r="K910" s="5">
        <v>436368.0</v>
      </c>
    </row>
    <row r="911">
      <c r="A911" s="2">
        <v>2021.0</v>
      </c>
      <c r="B911" s="5" t="s">
        <v>596</v>
      </c>
      <c r="F911" s="5">
        <v>436368.0</v>
      </c>
      <c r="G911" s="5">
        <v>0.0</v>
      </c>
      <c r="H911" s="5">
        <v>0.0</v>
      </c>
      <c r="I911" s="5">
        <v>436368.0</v>
      </c>
      <c r="J911" s="5">
        <v>436368.0</v>
      </c>
      <c r="K911" s="5">
        <v>0.0</v>
      </c>
    </row>
    <row r="912">
      <c r="A912" s="2">
        <v>2021.0</v>
      </c>
      <c r="B912" s="5" t="s">
        <v>213</v>
      </c>
      <c r="E912" s="5" t="s">
        <v>759</v>
      </c>
      <c r="F912" s="5">
        <v>0.0</v>
      </c>
      <c r="G912" s="5">
        <v>968000.0</v>
      </c>
      <c r="H912" s="5">
        <v>0.0</v>
      </c>
      <c r="I912" s="5">
        <v>968000.0</v>
      </c>
      <c r="J912" s="5">
        <v>659000.0</v>
      </c>
      <c r="K912" s="5">
        <v>309000.0</v>
      </c>
    </row>
    <row r="913">
      <c r="A913" s="2">
        <v>2021.0</v>
      </c>
      <c r="B913" s="5" t="s">
        <v>332</v>
      </c>
      <c r="F913" s="5">
        <v>309000.0</v>
      </c>
      <c r="G913" s="5">
        <v>800000.0</v>
      </c>
      <c r="H913" s="5">
        <v>27308.0</v>
      </c>
      <c r="I913" s="5">
        <v>1136308.0</v>
      </c>
      <c r="J913" s="5">
        <v>263265.0</v>
      </c>
      <c r="K913" s="5">
        <v>873043.0</v>
      </c>
    </row>
    <row r="914">
      <c r="A914" s="2">
        <v>2021.0</v>
      </c>
      <c r="B914" s="5" t="s">
        <v>595</v>
      </c>
      <c r="F914" s="5">
        <v>873043.0</v>
      </c>
      <c r="G914" s="5">
        <v>1698450.0</v>
      </c>
      <c r="H914" s="5">
        <v>32757.0</v>
      </c>
      <c r="I914" s="5">
        <v>2604250.0</v>
      </c>
      <c r="J914" s="5">
        <v>1209748.0</v>
      </c>
      <c r="K914" s="5">
        <v>1394502.0</v>
      </c>
    </row>
    <row r="915">
      <c r="A915" s="2">
        <v>2021.0</v>
      </c>
      <c r="B915" s="5" t="s">
        <v>596</v>
      </c>
      <c r="F915" s="5">
        <v>1394502.0</v>
      </c>
      <c r="G915" s="5">
        <v>2575284.0</v>
      </c>
      <c r="H915" s="5">
        <v>0.0</v>
      </c>
      <c r="I915" s="5">
        <v>3969786.0</v>
      </c>
      <c r="J915" s="5">
        <v>779955.0</v>
      </c>
      <c r="K915" s="5">
        <v>3189831.0</v>
      </c>
    </row>
    <row r="916">
      <c r="A916" s="2">
        <v>2021.0</v>
      </c>
      <c r="B916" s="5" t="s">
        <v>213</v>
      </c>
      <c r="E916" s="5" t="s">
        <v>1142</v>
      </c>
      <c r="F916" s="5">
        <v>14990.0</v>
      </c>
      <c r="G916" s="5">
        <v>658635.0</v>
      </c>
      <c r="H916" s="5">
        <v>1987.0</v>
      </c>
      <c r="I916" s="5">
        <v>675612.0</v>
      </c>
      <c r="J916" s="5">
        <v>435463.0</v>
      </c>
      <c r="K916" s="5">
        <v>240149.0</v>
      </c>
    </row>
    <row r="917">
      <c r="A917" s="2">
        <v>2021.0</v>
      </c>
      <c r="B917" s="5" t="s">
        <v>332</v>
      </c>
      <c r="F917" s="5">
        <v>240149.0</v>
      </c>
      <c r="G917" s="5">
        <v>940990.0</v>
      </c>
      <c r="H917" s="5">
        <v>6162.0</v>
      </c>
      <c r="I917" s="5">
        <v>1187301.0</v>
      </c>
      <c r="J917" s="5">
        <v>1168117.0</v>
      </c>
      <c r="K917" s="5">
        <v>19184.0</v>
      </c>
    </row>
    <row r="918">
      <c r="A918" s="2">
        <v>2021.0</v>
      </c>
      <c r="B918" s="5" t="s">
        <v>595</v>
      </c>
      <c r="F918" s="5">
        <v>19184.0</v>
      </c>
      <c r="G918" s="5">
        <v>1417178.0</v>
      </c>
      <c r="H918" s="5">
        <v>19171.0</v>
      </c>
      <c r="I918" s="5">
        <v>1455533.0</v>
      </c>
      <c r="J918" s="5">
        <v>870059.0</v>
      </c>
      <c r="K918" s="5">
        <v>585474.0</v>
      </c>
    </row>
    <row r="919">
      <c r="A919" s="2">
        <v>2021.0</v>
      </c>
      <c r="B919" s="5" t="s">
        <v>596</v>
      </c>
      <c r="F919" s="5">
        <v>585474.0</v>
      </c>
      <c r="G919" s="5">
        <v>2509515.0</v>
      </c>
      <c r="I919" s="5">
        <v>3094989.0</v>
      </c>
      <c r="J919" s="5">
        <v>1951821.0</v>
      </c>
      <c r="K919" s="5">
        <v>1143168.0</v>
      </c>
    </row>
    <row r="920">
      <c r="A920" s="2">
        <v>2021.0</v>
      </c>
      <c r="B920" s="5" t="s">
        <v>213</v>
      </c>
      <c r="E920" s="5" t="s">
        <v>32</v>
      </c>
      <c r="F920" s="5">
        <v>70543.0</v>
      </c>
      <c r="G920" s="5">
        <v>36668.0</v>
      </c>
      <c r="H920" s="5">
        <v>0.0</v>
      </c>
      <c r="I920" s="5">
        <v>107211.0</v>
      </c>
      <c r="J920" s="5">
        <v>36933.0</v>
      </c>
      <c r="K920" s="5">
        <v>70278.0</v>
      </c>
    </row>
    <row r="921">
      <c r="A921" s="2">
        <v>2021.0</v>
      </c>
      <c r="B921" s="5" t="s">
        <v>332</v>
      </c>
      <c r="F921" s="5">
        <v>70278.0</v>
      </c>
      <c r="G921" s="5">
        <v>46730.0</v>
      </c>
      <c r="H921" s="5">
        <v>1996.0</v>
      </c>
      <c r="I921" s="5">
        <v>119004.0</v>
      </c>
      <c r="J921" s="5">
        <v>89321.0</v>
      </c>
      <c r="K921" s="5">
        <v>29683.0</v>
      </c>
    </row>
    <row r="922">
      <c r="A922" s="2">
        <v>2021.0</v>
      </c>
      <c r="B922" s="5" t="s">
        <v>595</v>
      </c>
      <c r="F922" s="5">
        <v>29683.0</v>
      </c>
      <c r="G922" s="5">
        <v>60467.0</v>
      </c>
      <c r="H922" s="5">
        <v>2658.0</v>
      </c>
      <c r="I922" s="5">
        <v>92808.0</v>
      </c>
      <c r="J922" s="5">
        <v>957.0</v>
      </c>
      <c r="K922" s="5">
        <v>91851.0</v>
      </c>
    </row>
    <row r="923">
      <c r="A923" s="2">
        <v>2021.0</v>
      </c>
      <c r="B923" s="5" t="s">
        <v>596</v>
      </c>
      <c r="F923" s="5">
        <v>91851.0</v>
      </c>
      <c r="G923" s="5">
        <v>350461.0</v>
      </c>
      <c r="H923" s="5">
        <v>0.0</v>
      </c>
      <c r="I923" s="5">
        <v>442312.0</v>
      </c>
      <c r="J923" s="5">
        <v>325043.0</v>
      </c>
      <c r="K923" s="5">
        <v>117269.0</v>
      </c>
    </row>
    <row r="924">
      <c r="A924" s="2">
        <v>2021.0</v>
      </c>
      <c r="B924" s="5" t="s">
        <v>596</v>
      </c>
      <c r="E924" s="5" t="s">
        <v>1144</v>
      </c>
      <c r="F924" s="5">
        <v>0.0</v>
      </c>
      <c r="G924" s="5">
        <v>254995.0</v>
      </c>
      <c r="H924" s="5">
        <v>0.0</v>
      </c>
      <c r="I924" s="5">
        <v>254995.0</v>
      </c>
      <c r="J924" s="5">
        <v>254995.0</v>
      </c>
      <c r="K924" s="5">
        <v>0.0</v>
      </c>
    </row>
    <row r="925">
      <c r="A925" s="2">
        <v>2021.0</v>
      </c>
      <c r="B925" s="5" t="s">
        <v>213</v>
      </c>
      <c r="D925" s="5" t="s">
        <v>1146</v>
      </c>
      <c r="E925" s="5" t="s">
        <v>114</v>
      </c>
      <c r="F925" s="5">
        <v>1026012.0</v>
      </c>
      <c r="G925" s="5">
        <v>101000.0</v>
      </c>
      <c r="H925" s="5">
        <v>14839.0</v>
      </c>
      <c r="I925" s="5">
        <v>1141851.0</v>
      </c>
      <c r="J925" s="5">
        <v>1137331.0</v>
      </c>
      <c r="K925" s="5">
        <v>4520.0</v>
      </c>
    </row>
    <row r="926">
      <c r="A926" s="2">
        <v>2021.0</v>
      </c>
      <c r="B926" s="5" t="s">
        <v>332</v>
      </c>
      <c r="F926" s="5">
        <v>4520.0</v>
      </c>
      <c r="G926" s="5">
        <v>0.0</v>
      </c>
      <c r="H926" s="5">
        <v>182.0</v>
      </c>
      <c r="I926" s="5">
        <v>4702.0</v>
      </c>
      <c r="K926" s="5">
        <v>4702.0</v>
      </c>
    </row>
    <row r="927">
      <c r="A927" s="2">
        <v>2021.0</v>
      </c>
      <c r="B927" s="5" t="s">
        <v>595</v>
      </c>
      <c r="F927" s="5">
        <v>4702.0</v>
      </c>
      <c r="G927" s="5">
        <v>2000.0</v>
      </c>
      <c r="H927" s="5">
        <v>199.0</v>
      </c>
      <c r="I927" s="5">
        <v>6901.0</v>
      </c>
      <c r="J927" s="5">
        <v>300.0</v>
      </c>
      <c r="K927" s="5">
        <v>6601.0</v>
      </c>
    </row>
    <row r="928">
      <c r="A928" s="2">
        <v>2021.0</v>
      </c>
      <c r="B928" s="5" t="s">
        <v>596</v>
      </c>
      <c r="F928" s="5">
        <v>6601.0</v>
      </c>
      <c r="G928" s="5">
        <v>0.0</v>
      </c>
      <c r="H928" s="5">
        <v>286.0</v>
      </c>
      <c r="I928" s="5">
        <v>6887.0</v>
      </c>
      <c r="J928" s="5">
        <v>0.0</v>
      </c>
      <c r="K928" s="5">
        <v>6887.0</v>
      </c>
    </row>
    <row r="929">
      <c r="A929" s="2">
        <v>2021.0</v>
      </c>
      <c r="B929" s="5" t="s">
        <v>213</v>
      </c>
      <c r="E929" s="5" t="s">
        <v>460</v>
      </c>
      <c r="F929" s="5">
        <v>2336.0</v>
      </c>
      <c r="G929" s="5">
        <v>0.0</v>
      </c>
      <c r="H929" s="5">
        <v>95.0</v>
      </c>
      <c r="I929" s="5">
        <v>2431.0</v>
      </c>
      <c r="J929" s="5">
        <v>0.0</v>
      </c>
      <c r="K929" s="5">
        <v>2431.0</v>
      </c>
    </row>
    <row r="930">
      <c r="A930" s="2">
        <v>2021.0</v>
      </c>
      <c r="B930" s="5" t="s">
        <v>332</v>
      </c>
      <c r="F930" s="5">
        <v>2431.0</v>
      </c>
      <c r="G930" s="5">
        <v>0.0</v>
      </c>
      <c r="H930" s="5">
        <v>99.0</v>
      </c>
      <c r="I930" s="5">
        <v>2530.0</v>
      </c>
      <c r="J930" s="5">
        <v>0.0</v>
      </c>
      <c r="K930" s="5">
        <v>2530.0</v>
      </c>
    </row>
    <row r="931">
      <c r="A931" s="2">
        <v>2021.0</v>
      </c>
      <c r="B931" s="5" t="s">
        <v>595</v>
      </c>
      <c r="F931" s="5">
        <v>2530.0</v>
      </c>
      <c r="G931" s="5">
        <v>0.0</v>
      </c>
      <c r="H931" s="5">
        <v>92.0</v>
      </c>
      <c r="I931" s="5">
        <v>2622.0</v>
      </c>
      <c r="J931" s="5">
        <v>300.0</v>
      </c>
      <c r="K931" s="5">
        <v>2322.0</v>
      </c>
    </row>
    <row r="932">
      <c r="A932" s="2">
        <v>2021.0</v>
      </c>
      <c r="B932" s="5" t="s">
        <v>596</v>
      </c>
      <c r="F932" s="5">
        <v>2322.0</v>
      </c>
      <c r="G932" s="5">
        <v>0.0</v>
      </c>
      <c r="H932" s="5">
        <v>101.0</v>
      </c>
      <c r="I932" s="5">
        <v>2423.0</v>
      </c>
      <c r="J932" s="5">
        <v>0.0</v>
      </c>
      <c r="K932" s="5">
        <v>2423.0</v>
      </c>
    </row>
    <row r="933">
      <c r="A933" s="2">
        <v>2021.0</v>
      </c>
      <c r="B933" s="5" t="s">
        <v>213</v>
      </c>
      <c r="E933" s="5" t="s">
        <v>1149</v>
      </c>
      <c r="F933" s="5">
        <v>150130.0</v>
      </c>
      <c r="G933" s="5">
        <v>622000.0</v>
      </c>
      <c r="H933" s="5">
        <v>12158.0</v>
      </c>
      <c r="I933" s="5">
        <v>784288.0</v>
      </c>
      <c r="J933" s="5">
        <v>642398.0</v>
      </c>
      <c r="K933" s="5">
        <v>141890.0</v>
      </c>
    </row>
    <row r="934">
      <c r="A934" s="2">
        <v>2021.0</v>
      </c>
      <c r="B934" s="5" t="s">
        <v>332</v>
      </c>
      <c r="F934" s="5">
        <v>141890.0</v>
      </c>
      <c r="G934" s="5">
        <v>1667898.0</v>
      </c>
      <c r="H934" s="5">
        <v>6324.0</v>
      </c>
      <c r="I934" s="5">
        <v>1816112.0</v>
      </c>
      <c r="J934" s="5">
        <v>1203230.0</v>
      </c>
      <c r="K934" s="5">
        <v>612882.0</v>
      </c>
    </row>
    <row r="935">
      <c r="A935" s="2">
        <v>2021.0</v>
      </c>
      <c r="B935" s="5" t="s">
        <v>595</v>
      </c>
      <c r="F935" s="5">
        <v>612882.0</v>
      </c>
      <c r="G935" s="5">
        <v>1888241.0</v>
      </c>
      <c r="H935" s="5">
        <v>22422.0</v>
      </c>
      <c r="I935" s="5">
        <v>2523545.0</v>
      </c>
      <c r="J935" s="5">
        <v>1813623.0</v>
      </c>
      <c r="K935" s="5">
        <v>709922.0</v>
      </c>
    </row>
    <row r="936">
      <c r="A936" s="2">
        <v>2021.0</v>
      </c>
      <c r="B936" s="5" t="s">
        <v>596</v>
      </c>
      <c r="F936" s="5">
        <v>709922.0</v>
      </c>
      <c r="G936" s="5">
        <v>41706.0</v>
      </c>
      <c r="H936" s="5">
        <v>9613.0</v>
      </c>
      <c r="I936" s="5">
        <v>761241.0</v>
      </c>
      <c r="J936" s="5">
        <v>750465.0</v>
      </c>
      <c r="K936" s="5">
        <v>10776.0</v>
      </c>
    </row>
    <row r="937">
      <c r="A937" s="2">
        <v>2021.0</v>
      </c>
      <c r="B937" s="5" t="s">
        <v>213</v>
      </c>
      <c r="E937" s="5" t="s">
        <v>32</v>
      </c>
      <c r="F937" s="5">
        <v>52398.0</v>
      </c>
      <c r="G937" s="5">
        <v>16145.0</v>
      </c>
      <c r="H937" s="5">
        <v>2442.0</v>
      </c>
      <c r="I937" s="5">
        <v>70985.0</v>
      </c>
      <c r="J937" s="5">
        <v>4000.0</v>
      </c>
      <c r="K937" s="5">
        <v>66985.0</v>
      </c>
    </row>
    <row r="938">
      <c r="A938" s="2">
        <v>2021.0</v>
      </c>
      <c r="B938" s="5" t="s">
        <v>332</v>
      </c>
      <c r="F938" s="5">
        <v>66985.0</v>
      </c>
      <c r="G938" s="5">
        <v>15895.0</v>
      </c>
      <c r="H938" s="5">
        <v>3132.0</v>
      </c>
      <c r="I938" s="5">
        <v>86012.0</v>
      </c>
      <c r="J938" s="5">
        <v>14000.0</v>
      </c>
      <c r="K938" s="5">
        <v>72012.0</v>
      </c>
    </row>
    <row r="939">
      <c r="A939" s="2">
        <v>2021.0</v>
      </c>
      <c r="B939" s="5" t="s">
        <v>595</v>
      </c>
      <c r="F939" s="5">
        <v>72012.0</v>
      </c>
      <c r="G939" s="5">
        <v>20540.0</v>
      </c>
      <c r="H939" s="5">
        <v>3541.0</v>
      </c>
      <c r="I939" s="5">
        <v>96093.0</v>
      </c>
      <c r="J939" s="5">
        <v>200.0</v>
      </c>
      <c r="K939" s="5">
        <v>95893.0</v>
      </c>
    </row>
    <row r="940">
      <c r="A940" s="2">
        <v>2021.0</v>
      </c>
      <c r="B940" s="5" t="s">
        <v>596</v>
      </c>
      <c r="F940" s="5">
        <v>95893.0</v>
      </c>
      <c r="G940" s="5">
        <v>34000.0</v>
      </c>
      <c r="H940" s="5">
        <v>2513.0</v>
      </c>
      <c r="I940" s="5">
        <v>132406.0</v>
      </c>
      <c r="J940" s="5">
        <v>42475.0</v>
      </c>
      <c r="K940" s="5">
        <v>89931.0</v>
      </c>
    </row>
    <row r="941">
      <c r="A941" s="2">
        <v>2021.0</v>
      </c>
      <c r="B941" s="5" t="s">
        <v>213</v>
      </c>
      <c r="D941" s="5" t="s">
        <v>1150</v>
      </c>
      <c r="E941" s="5" t="s">
        <v>114</v>
      </c>
      <c r="F941" s="5">
        <v>973794.0</v>
      </c>
      <c r="G941" s="5">
        <v>100000.0</v>
      </c>
      <c r="H941" s="5">
        <v>15151.0</v>
      </c>
      <c r="I941" s="5">
        <v>1088945.0</v>
      </c>
      <c r="J941" s="5">
        <v>1073078.0</v>
      </c>
      <c r="K941" s="5">
        <v>15867.0</v>
      </c>
    </row>
    <row r="942">
      <c r="A942" s="2">
        <v>2021.0</v>
      </c>
      <c r="B942" s="5" t="s">
        <v>332</v>
      </c>
      <c r="F942" s="5">
        <v>15867.0</v>
      </c>
      <c r="G942" s="5">
        <v>8198.0</v>
      </c>
      <c r="H942" s="5">
        <v>417.0</v>
      </c>
      <c r="I942" s="5">
        <v>24482.0</v>
      </c>
      <c r="J942" s="5">
        <v>21000.0</v>
      </c>
      <c r="K942" s="5">
        <v>3482.0</v>
      </c>
    </row>
    <row r="943">
      <c r="A943" s="2">
        <v>2021.0</v>
      </c>
      <c r="B943" s="5" t="s">
        <v>595</v>
      </c>
      <c r="F943" s="5">
        <v>3482.0</v>
      </c>
      <c r="G943" s="5">
        <v>0.0</v>
      </c>
      <c r="H943" s="5">
        <v>0.0</v>
      </c>
      <c r="I943" s="5">
        <v>3482.0</v>
      </c>
      <c r="J943" s="5">
        <v>3482.0</v>
      </c>
      <c r="K943" s="5">
        <v>0.0</v>
      </c>
    </row>
    <row r="944">
      <c r="A944" s="2">
        <v>2021.0</v>
      </c>
      <c r="B944" s="5" t="s">
        <v>213</v>
      </c>
      <c r="E944" s="5" t="s">
        <v>460</v>
      </c>
      <c r="F944" s="5">
        <v>22522.0</v>
      </c>
      <c r="G944" s="5">
        <v>0.0</v>
      </c>
      <c r="H944" s="5">
        <v>406.0</v>
      </c>
      <c r="I944" s="5">
        <v>22928.0</v>
      </c>
      <c r="J944" s="5">
        <v>20000.0</v>
      </c>
      <c r="K944" s="5">
        <v>2928.0</v>
      </c>
    </row>
    <row r="945">
      <c r="A945" s="2">
        <v>2021.0</v>
      </c>
      <c r="B945" s="5" t="s">
        <v>213</v>
      </c>
      <c r="E945" s="5" t="s">
        <v>173</v>
      </c>
      <c r="F945" s="5">
        <v>38248.0</v>
      </c>
      <c r="G945" s="5">
        <v>402400.0</v>
      </c>
      <c r="H945" s="5">
        <v>2096.0</v>
      </c>
      <c r="I945" s="5">
        <v>442744.0</v>
      </c>
      <c r="J945" s="5">
        <v>413089.0</v>
      </c>
      <c r="K945" s="5">
        <v>29655.0</v>
      </c>
    </row>
    <row r="946">
      <c r="A946" s="2">
        <v>2021.0</v>
      </c>
      <c r="B946" s="5" t="s">
        <v>332</v>
      </c>
      <c r="F946" s="5">
        <v>29655.0</v>
      </c>
      <c r="G946" s="5">
        <v>491406.0</v>
      </c>
      <c r="H946" s="5">
        <v>1631.0</v>
      </c>
      <c r="I946" s="5">
        <v>522692.0</v>
      </c>
      <c r="J946" s="5">
        <v>511529.0</v>
      </c>
      <c r="K946" s="5">
        <v>11163.0</v>
      </c>
    </row>
    <row r="947">
      <c r="A947" s="2">
        <v>2021.0</v>
      </c>
      <c r="B947" s="5" t="s">
        <v>595</v>
      </c>
      <c r="F947" s="5">
        <v>11163.0</v>
      </c>
      <c r="G947" s="5">
        <v>850870.0</v>
      </c>
      <c r="H947" s="5">
        <v>2962.0</v>
      </c>
      <c r="I947" s="5">
        <v>864995.0</v>
      </c>
      <c r="J947" s="5">
        <v>829929.0</v>
      </c>
      <c r="K947" s="5">
        <v>35066.0</v>
      </c>
    </row>
    <row r="948">
      <c r="A948" s="2">
        <v>2021.0</v>
      </c>
      <c r="B948" s="5" t="s">
        <v>213</v>
      </c>
      <c r="E948" s="5" t="s">
        <v>1152</v>
      </c>
      <c r="F948" s="5">
        <v>0.0</v>
      </c>
      <c r="G948" s="5">
        <v>646000.0</v>
      </c>
      <c r="H948" s="5">
        <v>0.0</v>
      </c>
      <c r="I948" s="5">
        <v>646000.0</v>
      </c>
      <c r="J948" s="5">
        <v>216560.0</v>
      </c>
      <c r="K948" s="5">
        <v>429440.0</v>
      </c>
    </row>
    <row r="949">
      <c r="A949" s="2">
        <v>2021.0</v>
      </c>
      <c r="B949" s="5" t="s">
        <v>332</v>
      </c>
      <c r="F949" s="5">
        <v>429440.0</v>
      </c>
      <c r="G949" s="5">
        <v>1442800.0</v>
      </c>
      <c r="I949" s="5">
        <v>1872240.0</v>
      </c>
      <c r="J949" s="5">
        <v>902825.0</v>
      </c>
      <c r="K949" s="5">
        <v>969415.0</v>
      </c>
    </row>
    <row r="950">
      <c r="A950" s="2">
        <v>2021.0</v>
      </c>
      <c r="B950" s="5" t="s">
        <v>595</v>
      </c>
      <c r="F950" s="5">
        <v>969415.0</v>
      </c>
      <c r="G950" s="5">
        <v>1102589.0</v>
      </c>
      <c r="H950" s="5">
        <v>0.0</v>
      </c>
      <c r="I950" s="5">
        <v>2072004.0</v>
      </c>
      <c r="J950" s="5">
        <v>802267.0</v>
      </c>
      <c r="K950" s="5">
        <v>1269737.0</v>
      </c>
    </row>
    <row r="951">
      <c r="A951" s="2">
        <v>2021.0</v>
      </c>
      <c r="B951" s="5" t="s">
        <v>596</v>
      </c>
      <c r="F951" s="5">
        <v>1269737.0</v>
      </c>
      <c r="G951" s="5">
        <v>3985284.0</v>
      </c>
      <c r="I951" s="5">
        <v>5255021.0</v>
      </c>
      <c r="J951" s="5">
        <v>2398363.0</v>
      </c>
      <c r="K951" s="5">
        <v>2856658.0</v>
      </c>
    </row>
    <row r="952">
      <c r="A952" s="2">
        <v>2021.0</v>
      </c>
      <c r="B952" s="5" t="s">
        <v>213</v>
      </c>
      <c r="E952" s="5" t="s">
        <v>32</v>
      </c>
      <c r="F952" s="5">
        <v>87946.0</v>
      </c>
      <c r="G952" s="5">
        <v>32490.0</v>
      </c>
      <c r="H952" s="5">
        <v>3903.0</v>
      </c>
      <c r="I952" s="5">
        <v>124339.0</v>
      </c>
      <c r="J952" s="5">
        <v>0.0</v>
      </c>
      <c r="K952" s="5">
        <v>124339.0</v>
      </c>
    </row>
    <row r="953">
      <c r="A953" s="2">
        <v>2021.0</v>
      </c>
      <c r="B953" s="5" t="s">
        <v>332</v>
      </c>
      <c r="F953" s="5">
        <v>124339.0</v>
      </c>
      <c r="G953" s="5">
        <v>23570.0</v>
      </c>
      <c r="H953" s="5">
        <v>4683.0</v>
      </c>
      <c r="I953" s="5">
        <v>152592.0</v>
      </c>
      <c r="J953" s="5">
        <v>61609.0</v>
      </c>
      <c r="K953" s="5">
        <v>90983.0</v>
      </c>
    </row>
    <row r="954">
      <c r="A954" s="2">
        <v>2021.0</v>
      </c>
      <c r="B954" s="5" t="s">
        <v>595</v>
      </c>
      <c r="F954" s="5">
        <v>90983.0</v>
      </c>
      <c r="G954" s="5">
        <v>29320.0</v>
      </c>
      <c r="H954" s="5">
        <v>4015.0</v>
      </c>
      <c r="I954" s="5">
        <v>124318.0</v>
      </c>
      <c r="J954" s="5">
        <v>19100.0</v>
      </c>
      <c r="K954" s="5">
        <v>105218.0</v>
      </c>
    </row>
    <row r="955">
      <c r="A955" s="2">
        <v>2021.0</v>
      </c>
      <c r="B955" s="5" t="s">
        <v>596</v>
      </c>
      <c r="F955" s="5">
        <v>105218.0</v>
      </c>
      <c r="G955" s="5">
        <v>103325.0</v>
      </c>
      <c r="H955" s="5">
        <v>7418.0</v>
      </c>
      <c r="I955" s="5">
        <v>215961.0</v>
      </c>
      <c r="J955" s="5">
        <v>0.0</v>
      </c>
      <c r="K955" s="5">
        <v>215961.0</v>
      </c>
    </row>
    <row r="956">
      <c r="A956" s="2">
        <v>2021.0</v>
      </c>
      <c r="B956" s="5" t="s">
        <v>213</v>
      </c>
      <c r="E956" s="5" t="s">
        <v>1155</v>
      </c>
      <c r="F956" s="4">
        <v>179792.0</v>
      </c>
      <c r="G956" s="5">
        <v>109000.0</v>
      </c>
      <c r="H956" s="5">
        <v>9736.0</v>
      </c>
      <c r="I956" s="5">
        <v>298528.0</v>
      </c>
      <c r="J956" s="5">
        <v>169.0</v>
      </c>
      <c r="K956" s="5">
        <v>298359.0</v>
      </c>
    </row>
    <row r="957">
      <c r="A957" s="2">
        <v>2021.0</v>
      </c>
      <c r="B957" s="5" t="s">
        <v>332</v>
      </c>
      <c r="F957" s="4">
        <v>298358.0</v>
      </c>
      <c r="G957" s="4">
        <v>24000.0</v>
      </c>
      <c r="H957" s="5">
        <v>15116.0</v>
      </c>
      <c r="I957" s="5">
        <v>337474.0</v>
      </c>
      <c r="J957" s="5">
        <v>24115.0</v>
      </c>
      <c r="K957" s="5">
        <v>313359.0</v>
      </c>
    </row>
    <row r="958">
      <c r="A958" s="2">
        <v>2021.0</v>
      </c>
      <c r="B958" s="5" t="s">
        <v>595</v>
      </c>
      <c r="F958" s="5">
        <v>313359.0</v>
      </c>
      <c r="G958" s="5">
        <v>0.0</v>
      </c>
      <c r="H958" s="5">
        <v>10141.0</v>
      </c>
      <c r="I958" s="5">
        <v>323500.0</v>
      </c>
      <c r="J958" s="5">
        <v>323500.0</v>
      </c>
      <c r="K958" s="5">
        <v>0.0</v>
      </c>
    </row>
    <row r="959">
      <c r="A959" s="2">
        <v>2021.0</v>
      </c>
      <c r="B959" s="5" t="s">
        <v>596</v>
      </c>
      <c r="F959" s="5">
        <v>0.0</v>
      </c>
      <c r="G959" s="5">
        <v>0.0</v>
      </c>
      <c r="H959" s="5">
        <v>0.0</v>
      </c>
      <c r="I959" s="5">
        <v>0.0</v>
      </c>
      <c r="J959" s="5">
        <v>0.0</v>
      </c>
      <c r="K959" s="5">
        <v>0.0</v>
      </c>
    </row>
    <row r="960">
      <c r="A960" s="2">
        <v>2021.0</v>
      </c>
      <c r="B960" s="5" t="s">
        <v>213</v>
      </c>
      <c r="E960" s="5" t="s">
        <v>173</v>
      </c>
      <c r="F960" s="4">
        <v>475027.0</v>
      </c>
      <c r="G960" s="5">
        <v>603515.0</v>
      </c>
      <c r="H960" s="5">
        <v>33709.0</v>
      </c>
      <c r="I960" s="5">
        <v>1112251.0</v>
      </c>
      <c r="J960" s="4">
        <v>811876.0</v>
      </c>
      <c r="K960" s="5">
        <v>300375.0</v>
      </c>
    </row>
    <row r="961">
      <c r="A961" s="2">
        <v>2021.0</v>
      </c>
      <c r="B961" s="5" t="s">
        <v>332</v>
      </c>
      <c r="F961" s="4">
        <v>300375.0</v>
      </c>
      <c r="G961" s="5">
        <v>0.0</v>
      </c>
      <c r="H961" s="5">
        <v>17861.0</v>
      </c>
      <c r="I961" s="5">
        <v>318236.0</v>
      </c>
      <c r="J961" s="5">
        <v>10000.0</v>
      </c>
      <c r="K961" s="5">
        <v>308236.0</v>
      </c>
    </row>
    <row r="962">
      <c r="A962" s="2">
        <v>2021.0</v>
      </c>
      <c r="B962" s="5" t="s">
        <v>595</v>
      </c>
      <c r="F962" s="5">
        <v>308236.0</v>
      </c>
      <c r="G962" s="5">
        <v>0.0</v>
      </c>
      <c r="H962" s="5">
        <v>6162.0</v>
      </c>
      <c r="I962" s="5">
        <v>314398.0</v>
      </c>
      <c r="J962" s="5">
        <v>314398.0</v>
      </c>
      <c r="K962" s="5">
        <v>0.0</v>
      </c>
    </row>
    <row r="963">
      <c r="A963" s="2">
        <v>2021.0</v>
      </c>
      <c r="B963" s="5" t="s">
        <v>596</v>
      </c>
      <c r="F963" s="5">
        <v>0.0</v>
      </c>
      <c r="G963" s="5">
        <v>0.0</v>
      </c>
      <c r="H963" s="5">
        <v>0.0</v>
      </c>
      <c r="I963" s="5">
        <v>0.0</v>
      </c>
      <c r="J963" s="5">
        <v>0.0</v>
      </c>
      <c r="K963" s="5">
        <v>0.0</v>
      </c>
    </row>
    <row r="964">
      <c r="A964" s="2">
        <v>2021.0</v>
      </c>
      <c r="B964" s="5" t="s">
        <v>213</v>
      </c>
      <c r="E964" s="5" t="s">
        <v>56</v>
      </c>
      <c r="F964" s="5">
        <v>415789.0</v>
      </c>
      <c r="G964" s="5">
        <v>744119.0</v>
      </c>
      <c r="H964" s="5">
        <v>7853.0</v>
      </c>
      <c r="I964" s="5">
        <v>1167761.0</v>
      </c>
      <c r="J964" s="5">
        <v>490565.0</v>
      </c>
      <c r="K964" s="5">
        <v>677196.0</v>
      </c>
    </row>
    <row r="965">
      <c r="A965" s="2">
        <v>2021.0</v>
      </c>
      <c r="B965" s="5" t="s">
        <v>332</v>
      </c>
      <c r="F965" s="5">
        <v>677196.0</v>
      </c>
      <c r="G965" s="5">
        <v>1009510.0</v>
      </c>
      <c r="H965" s="5">
        <v>20059.0</v>
      </c>
      <c r="I965" s="5">
        <v>1706765.0</v>
      </c>
      <c r="J965" s="5">
        <v>508770.0</v>
      </c>
      <c r="K965" s="5">
        <v>1197995.0</v>
      </c>
    </row>
    <row r="966">
      <c r="A966" s="2">
        <v>2021.0</v>
      </c>
      <c r="B966" s="5" t="s">
        <v>595</v>
      </c>
      <c r="F966" s="5">
        <v>1197995.0</v>
      </c>
      <c r="G966" s="5">
        <v>1782813.0</v>
      </c>
      <c r="H966" s="5">
        <v>65101.0</v>
      </c>
      <c r="I966" s="5">
        <v>3045909.0</v>
      </c>
      <c r="J966" s="5">
        <v>702572.0</v>
      </c>
      <c r="K966" s="5">
        <v>2343337.0</v>
      </c>
    </row>
    <row r="967">
      <c r="A967" s="2">
        <v>2021.0</v>
      </c>
      <c r="B967" s="5" t="s">
        <v>596</v>
      </c>
      <c r="F967" s="5">
        <v>2343337.0</v>
      </c>
      <c r="G967" s="5">
        <v>24000.0</v>
      </c>
      <c r="H967" s="5">
        <v>72280.0</v>
      </c>
      <c r="I967" s="5">
        <v>2439617.0</v>
      </c>
      <c r="J967" s="5">
        <v>560505.0</v>
      </c>
      <c r="K967" s="5">
        <v>1879112.0</v>
      </c>
    </row>
    <row r="968">
      <c r="A968" s="2">
        <v>2021.0</v>
      </c>
      <c r="B968" s="5" t="s">
        <v>213</v>
      </c>
      <c r="E968" s="5" t="s">
        <v>460</v>
      </c>
      <c r="F968" s="5">
        <v>12914.0</v>
      </c>
      <c r="G968" s="5">
        <v>50000.0</v>
      </c>
      <c r="H968" s="5">
        <v>630.0</v>
      </c>
      <c r="I968" s="5">
        <v>63544.0</v>
      </c>
      <c r="J968" s="5">
        <v>44050.0</v>
      </c>
      <c r="K968" s="5">
        <v>19494.0</v>
      </c>
    </row>
    <row r="969">
      <c r="A969" s="2">
        <v>2021.0</v>
      </c>
      <c r="B969" s="5" t="s">
        <v>332</v>
      </c>
      <c r="F969" s="5">
        <v>19494.0</v>
      </c>
      <c r="G969" s="5">
        <v>126987.0</v>
      </c>
      <c r="H969" s="5">
        <v>953.0</v>
      </c>
      <c r="I969" s="5">
        <v>147434.0</v>
      </c>
      <c r="J969" s="5">
        <v>126988.0</v>
      </c>
      <c r="K969" s="5">
        <v>20446.0</v>
      </c>
    </row>
    <row r="970">
      <c r="A970" s="2">
        <v>2021.0</v>
      </c>
      <c r="B970" s="5" t="s">
        <v>595</v>
      </c>
      <c r="F970" s="5">
        <v>20446.0</v>
      </c>
      <c r="G970" s="5">
        <v>0.0</v>
      </c>
      <c r="H970" s="5">
        <v>275.0</v>
      </c>
      <c r="I970" s="5">
        <v>20721.0</v>
      </c>
      <c r="J970" s="5">
        <v>20721.0</v>
      </c>
      <c r="K970" s="5">
        <v>0.0</v>
      </c>
    </row>
    <row r="971">
      <c r="A971" s="2">
        <v>2021.0</v>
      </c>
      <c r="B971" s="5" t="s">
        <v>596</v>
      </c>
      <c r="F971" s="5">
        <v>0.0</v>
      </c>
      <c r="G971" s="5">
        <v>0.0</v>
      </c>
      <c r="H971" s="5">
        <v>0.0</v>
      </c>
      <c r="I971" s="5">
        <v>0.0</v>
      </c>
      <c r="J971" s="5">
        <v>0.0</v>
      </c>
      <c r="K971" s="5">
        <v>0.0</v>
      </c>
    </row>
    <row r="972">
      <c r="A972" s="2">
        <v>2021.0</v>
      </c>
      <c r="B972" s="5" t="s">
        <v>213</v>
      </c>
      <c r="E972" s="5" t="s">
        <v>32</v>
      </c>
      <c r="F972" s="5">
        <v>73476.0</v>
      </c>
      <c r="G972" s="5">
        <v>90506.0</v>
      </c>
      <c r="H972" s="5">
        <v>2837.0</v>
      </c>
      <c r="I972" s="5">
        <v>166819.0</v>
      </c>
      <c r="J972" s="5">
        <v>87003.0</v>
      </c>
      <c r="K972" s="5">
        <v>79816.0</v>
      </c>
    </row>
    <row r="973">
      <c r="A973" s="2">
        <v>2021.0</v>
      </c>
      <c r="B973" s="5" t="s">
        <v>332</v>
      </c>
      <c r="F973" s="5">
        <v>79816.0</v>
      </c>
      <c r="G973" s="5">
        <v>87990.0</v>
      </c>
      <c r="H973" s="5">
        <v>4201.0</v>
      </c>
      <c r="I973" s="5">
        <v>172007.0</v>
      </c>
      <c r="J973" s="5">
        <v>82001.9</v>
      </c>
      <c r="K973" s="5">
        <v>90005.0</v>
      </c>
    </row>
    <row r="974">
      <c r="A974" s="2">
        <v>2021.0</v>
      </c>
      <c r="B974" s="5" t="s">
        <v>595</v>
      </c>
      <c r="F974" s="5">
        <v>90005.0</v>
      </c>
      <c r="G974" s="5">
        <v>118862.0</v>
      </c>
      <c r="H974" s="5">
        <v>2427.0</v>
      </c>
      <c r="I974" s="5">
        <v>211294.0</v>
      </c>
      <c r="J974" s="5">
        <v>171901.0</v>
      </c>
      <c r="K974" s="5">
        <v>39393.0</v>
      </c>
    </row>
    <row r="975">
      <c r="A975" s="2">
        <v>2021.0</v>
      </c>
      <c r="B975" s="5" t="s">
        <v>596</v>
      </c>
      <c r="F975" s="5">
        <v>393929.0</v>
      </c>
      <c r="G975" s="5">
        <v>235390.0</v>
      </c>
      <c r="H975" s="5">
        <v>1399.0</v>
      </c>
      <c r="I975" s="5">
        <v>630718.0</v>
      </c>
      <c r="J975" s="5">
        <v>123000.0</v>
      </c>
      <c r="K975" s="5">
        <v>507718.0</v>
      </c>
    </row>
    <row r="976">
      <c r="A976" s="2">
        <v>2021.0</v>
      </c>
      <c r="B976" s="5" t="s">
        <v>213</v>
      </c>
      <c r="E976" s="5" t="s">
        <v>715</v>
      </c>
      <c r="F976" s="5">
        <v>0.0</v>
      </c>
      <c r="G976" s="5">
        <v>2156500.0</v>
      </c>
      <c r="H976" s="5">
        <v>9693.0</v>
      </c>
      <c r="I976" s="5">
        <v>2166193.0</v>
      </c>
      <c r="J976" s="5">
        <v>53360.0</v>
      </c>
      <c r="K976" s="5">
        <v>2112833.0</v>
      </c>
    </row>
    <row r="977">
      <c r="A977" s="2">
        <v>2021.0</v>
      </c>
      <c r="B977" s="5" t="s">
        <v>332</v>
      </c>
      <c r="F977" s="5">
        <v>2112833.0</v>
      </c>
      <c r="G977" s="5">
        <v>2984000.0</v>
      </c>
      <c r="H977" s="5">
        <v>83678.0</v>
      </c>
      <c r="I977" s="5">
        <v>5180511.0</v>
      </c>
      <c r="J977" s="5">
        <v>651429.0</v>
      </c>
      <c r="K977" s="5">
        <v>4529082.0</v>
      </c>
    </row>
    <row r="978">
      <c r="A978" s="2">
        <v>2021.0</v>
      </c>
      <c r="B978" s="5" t="s">
        <v>595</v>
      </c>
      <c r="F978" s="5">
        <v>4529082.0</v>
      </c>
      <c r="G978" s="5">
        <v>1723300.0</v>
      </c>
      <c r="H978" s="5">
        <v>186366.0</v>
      </c>
      <c r="I978" s="5">
        <v>6438748.0</v>
      </c>
      <c r="J978" s="5">
        <v>2388910.0</v>
      </c>
      <c r="K978" s="5">
        <v>4049838.0</v>
      </c>
    </row>
    <row r="979">
      <c r="A979" s="2">
        <v>2021.0</v>
      </c>
      <c r="B979" s="5" t="s">
        <v>596</v>
      </c>
      <c r="F979" s="5">
        <v>4049838.0</v>
      </c>
      <c r="G979" s="5">
        <v>9188449.0</v>
      </c>
      <c r="H979" s="5">
        <v>286276.0</v>
      </c>
      <c r="I979" s="5">
        <v>1.3524563E7</v>
      </c>
      <c r="J979" s="5">
        <v>4519911.0</v>
      </c>
      <c r="K979" s="5">
        <v>9004652.0</v>
      </c>
    </row>
    <row r="980">
      <c r="A980" s="2">
        <v>2021.0</v>
      </c>
      <c r="B980" s="5" t="s">
        <v>213</v>
      </c>
      <c r="D980" s="5" t="s">
        <v>1162</v>
      </c>
      <c r="E980" s="5" t="s">
        <v>1155</v>
      </c>
      <c r="F980" s="4">
        <v>97456.0</v>
      </c>
      <c r="G980" s="5">
        <v>9000.0</v>
      </c>
      <c r="H980" s="5">
        <v>4005.0</v>
      </c>
      <c r="I980" s="5">
        <v>110461.0</v>
      </c>
      <c r="J980" s="4">
        <v>46353.0</v>
      </c>
      <c r="K980" s="5">
        <v>64108.0</v>
      </c>
    </row>
    <row r="981">
      <c r="A981" s="2">
        <v>2021.0</v>
      </c>
      <c r="B981" s="5" t="s">
        <v>332</v>
      </c>
      <c r="F981" s="4">
        <v>64108.0</v>
      </c>
      <c r="G981" s="4">
        <v>24000.0</v>
      </c>
      <c r="H981" s="5">
        <v>3238.0</v>
      </c>
      <c r="I981" s="5">
        <v>91346.0</v>
      </c>
      <c r="J981" s="5">
        <v>24115.0</v>
      </c>
      <c r="K981" s="5">
        <v>67231.0</v>
      </c>
    </row>
    <row r="982">
      <c r="A982" s="2">
        <v>2021.0</v>
      </c>
      <c r="B982" s="5" t="s">
        <v>595</v>
      </c>
      <c r="F982" s="5">
        <v>67231.0</v>
      </c>
      <c r="G982" s="5">
        <v>0.0</v>
      </c>
      <c r="H982" s="5">
        <v>1305.0</v>
      </c>
      <c r="I982" s="5">
        <v>68536.0</v>
      </c>
      <c r="J982" s="5">
        <v>63580.0</v>
      </c>
      <c r="K982" s="5">
        <v>4956.0</v>
      </c>
    </row>
    <row r="983">
      <c r="A983" s="2">
        <v>2021.0</v>
      </c>
      <c r="B983" s="5" t="s">
        <v>596</v>
      </c>
      <c r="F983" s="5">
        <v>4956.0</v>
      </c>
      <c r="G983" s="5">
        <v>0.0</v>
      </c>
      <c r="H983" s="5">
        <v>94.0</v>
      </c>
      <c r="I983" s="5">
        <v>5050.0</v>
      </c>
      <c r="J983" s="5">
        <v>0.0</v>
      </c>
      <c r="K983" s="5">
        <v>5050.0</v>
      </c>
    </row>
    <row r="984">
      <c r="A984" s="2">
        <v>2021.0</v>
      </c>
      <c r="B984" s="5" t="s">
        <v>213</v>
      </c>
      <c r="E984" s="5" t="s">
        <v>469</v>
      </c>
      <c r="F984" s="5">
        <v>540052.0</v>
      </c>
      <c r="G984" s="5">
        <v>1141200.0</v>
      </c>
      <c r="H984" s="5">
        <v>22684.0</v>
      </c>
      <c r="I984" s="5">
        <v>1703936.0</v>
      </c>
      <c r="J984" s="5">
        <v>897190.0</v>
      </c>
      <c r="K984" s="5">
        <v>806746.0</v>
      </c>
    </row>
    <row r="985">
      <c r="A985" s="2">
        <v>2021.0</v>
      </c>
      <c r="B985" s="5" t="s">
        <v>332</v>
      </c>
      <c r="F985" s="5">
        <v>806746.0</v>
      </c>
      <c r="G985" s="5">
        <v>1344827.0</v>
      </c>
      <c r="H985" s="5">
        <v>28732.0</v>
      </c>
      <c r="I985" s="5">
        <v>2180305.0</v>
      </c>
      <c r="J985" s="5">
        <v>813391.0</v>
      </c>
      <c r="K985" s="5">
        <v>1366914.0</v>
      </c>
    </row>
    <row r="986">
      <c r="A986" s="2">
        <v>2021.0</v>
      </c>
      <c r="B986" s="5" t="s">
        <v>595</v>
      </c>
      <c r="F986" s="5">
        <v>1366914.0</v>
      </c>
      <c r="G986" s="5">
        <v>589270.0</v>
      </c>
      <c r="H986" s="5">
        <v>35434.0</v>
      </c>
      <c r="I986" s="5">
        <v>1991618.0</v>
      </c>
      <c r="J986" s="5">
        <v>1041315.0</v>
      </c>
      <c r="K986" s="5">
        <v>950303.0</v>
      </c>
    </row>
    <row r="987">
      <c r="A987" s="2">
        <v>2021.0</v>
      </c>
      <c r="B987" s="5" t="s">
        <v>596</v>
      </c>
      <c r="F987" s="5">
        <v>950303.0</v>
      </c>
      <c r="G987" s="5">
        <v>3300927.0</v>
      </c>
      <c r="H987" s="5">
        <v>74954.0</v>
      </c>
      <c r="I987" s="5">
        <v>4326184.0</v>
      </c>
      <c r="J987" s="5">
        <v>1539684.0</v>
      </c>
      <c r="K987" s="5">
        <v>2786500.0</v>
      </c>
    </row>
    <row r="988">
      <c r="A988" s="2">
        <v>2021.0</v>
      </c>
      <c r="B988" s="5" t="s">
        <v>213</v>
      </c>
      <c r="E988" s="5" t="s">
        <v>56</v>
      </c>
      <c r="F988" s="5">
        <v>124952.0</v>
      </c>
      <c r="G988" s="5">
        <v>33000.0</v>
      </c>
      <c r="H988" s="5">
        <v>346.0</v>
      </c>
      <c r="I988" s="5">
        <v>158298.0</v>
      </c>
      <c r="J988" s="5">
        <v>115200.0</v>
      </c>
      <c r="K988" s="5">
        <v>43098.0</v>
      </c>
    </row>
    <row r="989">
      <c r="A989" s="2">
        <v>2021.0</v>
      </c>
      <c r="B989" s="5" t="s">
        <v>332</v>
      </c>
      <c r="F989" s="5">
        <v>43098.0</v>
      </c>
      <c r="G989" s="5">
        <v>963162.0</v>
      </c>
      <c r="H989" s="5">
        <v>3175.0</v>
      </c>
      <c r="I989" s="5">
        <v>1009435.0</v>
      </c>
      <c r="J989" s="5">
        <v>903719.0</v>
      </c>
      <c r="K989" s="5">
        <v>105716.0</v>
      </c>
    </row>
    <row r="990">
      <c r="A990" s="2">
        <v>2021.0</v>
      </c>
      <c r="B990" s="5" t="s">
        <v>595</v>
      </c>
      <c r="F990" s="5">
        <v>105716.0</v>
      </c>
      <c r="G990" s="5">
        <v>1265191.0</v>
      </c>
      <c r="H990" s="5">
        <v>10203.0</v>
      </c>
      <c r="I990" s="5">
        <v>1381110.0</v>
      </c>
      <c r="J990" s="5">
        <v>1025361.0</v>
      </c>
      <c r="K990" s="5">
        <v>355749.0</v>
      </c>
    </row>
    <row r="991">
      <c r="A991" s="2">
        <v>2021.0</v>
      </c>
      <c r="B991" s="5" t="s">
        <v>596</v>
      </c>
      <c r="F991" s="5">
        <v>355749.0</v>
      </c>
      <c r="G991" s="5">
        <v>798246.0</v>
      </c>
      <c r="H991" s="5">
        <v>12142.0</v>
      </c>
      <c r="I991" s="5">
        <v>1166137.0</v>
      </c>
      <c r="J991" s="5">
        <v>704192.0</v>
      </c>
      <c r="K991" s="5">
        <v>461945.0</v>
      </c>
    </row>
    <row r="992">
      <c r="A992" s="2">
        <v>2021.0</v>
      </c>
      <c r="B992" s="5" t="s">
        <v>213</v>
      </c>
      <c r="E992" s="5" t="s">
        <v>460</v>
      </c>
      <c r="F992" s="5">
        <v>8917.0</v>
      </c>
      <c r="G992" s="5">
        <v>50000.0</v>
      </c>
      <c r="H992" s="5">
        <v>216.0</v>
      </c>
      <c r="I992" s="5">
        <v>59133.0</v>
      </c>
      <c r="J992" s="5">
        <v>54359.0</v>
      </c>
      <c r="K992" s="5">
        <v>4774.0</v>
      </c>
    </row>
    <row r="993">
      <c r="A993" s="2">
        <v>2021.0</v>
      </c>
      <c r="B993" s="5" t="s">
        <v>332</v>
      </c>
      <c r="F993" s="5">
        <v>4774.0</v>
      </c>
      <c r="G993" s="5">
        <v>0.0</v>
      </c>
      <c r="H993" s="5">
        <v>169.0</v>
      </c>
      <c r="I993" s="5">
        <v>4943.0</v>
      </c>
      <c r="J993" s="5">
        <v>0.0</v>
      </c>
      <c r="K993" s="5">
        <v>4943.0</v>
      </c>
    </row>
    <row r="994">
      <c r="A994" s="2">
        <v>2021.0</v>
      </c>
      <c r="B994" s="5" t="s">
        <v>595</v>
      </c>
      <c r="F994" s="5">
        <v>4943.0</v>
      </c>
      <c r="G994" s="5">
        <v>0.0</v>
      </c>
      <c r="H994" s="5">
        <v>87.0</v>
      </c>
      <c r="I994" s="5">
        <v>5030.0</v>
      </c>
      <c r="J994" s="5">
        <v>0.0</v>
      </c>
      <c r="K994" s="5">
        <v>5030.0</v>
      </c>
    </row>
    <row r="995">
      <c r="A995" s="2">
        <v>2021.0</v>
      </c>
      <c r="B995" s="5" t="s">
        <v>596</v>
      </c>
      <c r="F995" s="5">
        <v>5030.0</v>
      </c>
      <c r="G995" s="5">
        <v>0.0</v>
      </c>
      <c r="H995" s="5">
        <v>201.0</v>
      </c>
      <c r="I995" s="5">
        <v>5231.0</v>
      </c>
      <c r="J995" s="5">
        <v>0.0</v>
      </c>
      <c r="K995" s="5">
        <v>5231.0</v>
      </c>
    </row>
    <row r="996">
      <c r="A996" s="2">
        <v>2021.0</v>
      </c>
      <c r="B996" s="5" t="s">
        <v>213</v>
      </c>
      <c r="E996" s="5" t="s">
        <v>1164</v>
      </c>
      <c r="F996" s="5">
        <v>61669.0</v>
      </c>
      <c r="G996" s="5">
        <v>32560.0</v>
      </c>
      <c r="H996" s="5">
        <v>0.0</v>
      </c>
      <c r="I996" s="5">
        <v>94229.0</v>
      </c>
      <c r="J996" s="5">
        <v>68.0</v>
      </c>
      <c r="K996" s="5">
        <v>94161.0</v>
      </c>
    </row>
    <row r="997">
      <c r="A997" s="2">
        <v>2021.0</v>
      </c>
      <c r="B997" s="5" t="s">
        <v>332</v>
      </c>
      <c r="F997" s="5">
        <v>94161.0</v>
      </c>
      <c r="G997" s="5">
        <v>60051.0</v>
      </c>
      <c r="H997" s="5">
        <v>4451.0</v>
      </c>
      <c r="I997" s="5">
        <v>158663.0</v>
      </c>
      <c r="J997" s="5">
        <v>50000.0</v>
      </c>
      <c r="K997" s="5">
        <v>108663.0</v>
      </c>
    </row>
    <row r="998">
      <c r="A998" s="2">
        <v>2021.0</v>
      </c>
      <c r="B998" s="5" t="s">
        <v>595</v>
      </c>
      <c r="F998" s="5">
        <v>108663.0</v>
      </c>
      <c r="G998" s="5">
        <v>32570.0</v>
      </c>
      <c r="H998" s="5">
        <v>2415.0</v>
      </c>
      <c r="I998" s="5">
        <v>143648.0</v>
      </c>
      <c r="J998" s="5">
        <v>96230.0</v>
      </c>
      <c r="K998" s="5">
        <v>47418.0</v>
      </c>
    </row>
    <row r="999">
      <c r="A999" s="2">
        <v>2021.0</v>
      </c>
      <c r="B999" s="5" t="s">
        <v>596</v>
      </c>
      <c r="F999" s="5">
        <v>47418.0</v>
      </c>
      <c r="G999" s="5">
        <v>82340.0</v>
      </c>
      <c r="H999" s="5">
        <v>1589.0</v>
      </c>
      <c r="I999" s="5">
        <v>131347.0</v>
      </c>
      <c r="J999" s="5">
        <v>0.0</v>
      </c>
      <c r="K999" s="5">
        <v>131347.0</v>
      </c>
    </row>
    <row r="1000">
      <c r="A1000" s="2">
        <v>2021.0</v>
      </c>
      <c r="B1000" s="5" t="s">
        <v>213</v>
      </c>
      <c r="E1000" s="5" t="s">
        <v>1166</v>
      </c>
      <c r="F1000" s="5">
        <v>34113.0</v>
      </c>
      <c r="G1000" s="5">
        <v>15958.0</v>
      </c>
      <c r="H1000" s="5">
        <v>0.0</v>
      </c>
      <c r="I1000" s="5">
        <v>50071.0</v>
      </c>
      <c r="J1000" s="5">
        <v>68.0</v>
      </c>
      <c r="K1000" s="5">
        <v>50003.0</v>
      </c>
    </row>
    <row r="1001">
      <c r="A1001" s="2">
        <v>2021.0</v>
      </c>
      <c r="B1001" s="5" t="s">
        <v>332</v>
      </c>
      <c r="F1001" s="5">
        <v>50003.0</v>
      </c>
      <c r="G1001" s="5">
        <v>18340.0</v>
      </c>
      <c r="H1001" s="5">
        <v>2396.0</v>
      </c>
      <c r="I1001" s="5">
        <v>70739.0</v>
      </c>
      <c r="J1001" s="5">
        <v>0.0</v>
      </c>
      <c r="K1001" s="5">
        <v>70739.0</v>
      </c>
    </row>
    <row r="1002">
      <c r="A1002" s="2">
        <v>2021.0</v>
      </c>
      <c r="B1002" s="5" t="s">
        <v>595</v>
      </c>
      <c r="F1002" s="5">
        <v>70739.0</v>
      </c>
      <c r="G1002" s="5">
        <v>18530.0</v>
      </c>
      <c r="H1002" s="5">
        <v>1498.0</v>
      </c>
      <c r="I1002" s="5">
        <v>90767.0</v>
      </c>
      <c r="J1002" s="5">
        <v>74092.0</v>
      </c>
      <c r="K1002" s="5">
        <v>16675.0</v>
      </c>
    </row>
    <row r="1003">
      <c r="A1003" s="2">
        <v>2021.0</v>
      </c>
      <c r="B1003" s="5" t="s">
        <v>596</v>
      </c>
      <c r="F1003" s="5">
        <v>16675.0</v>
      </c>
      <c r="G1003" s="5">
        <v>15010.0</v>
      </c>
      <c r="H1003" s="5">
        <v>551.0</v>
      </c>
      <c r="I1003" s="5">
        <v>32236.0</v>
      </c>
      <c r="J1003" s="5">
        <v>0.0</v>
      </c>
      <c r="K1003" s="5">
        <v>32236.0</v>
      </c>
    </row>
    <row r="1004">
      <c r="A1004" s="2">
        <v>2021.0</v>
      </c>
      <c r="B1004" s="5" t="s">
        <v>26</v>
      </c>
      <c r="D1004" s="5" t="s">
        <v>1168</v>
      </c>
      <c r="E1004" s="5" t="s">
        <v>469</v>
      </c>
      <c r="F1004" s="5">
        <v>257148.0</v>
      </c>
      <c r="G1004" s="5">
        <v>412687.0</v>
      </c>
      <c r="H1004" s="5">
        <v>6070.0</v>
      </c>
      <c r="I1004" s="5">
        <v>675905.0</v>
      </c>
      <c r="J1004" s="5">
        <v>454360.0</v>
      </c>
      <c r="K1004" s="5">
        <v>221545.0</v>
      </c>
    </row>
    <row r="1005">
      <c r="A1005" s="2">
        <v>2021.0</v>
      </c>
      <c r="B1005" s="5" t="s">
        <v>213</v>
      </c>
      <c r="F1005" s="5">
        <v>221545.0</v>
      </c>
      <c r="G1005" s="5">
        <v>2273515.0</v>
      </c>
      <c r="H1005" s="5">
        <v>27539.0</v>
      </c>
      <c r="I1005" s="5">
        <v>2522599.0</v>
      </c>
      <c r="J1005" s="5">
        <v>1037736.0</v>
      </c>
      <c r="K1005" s="5">
        <v>1484863.0</v>
      </c>
    </row>
    <row r="1006">
      <c r="A1006" s="2">
        <v>2021.0</v>
      </c>
      <c r="B1006" s="5" t="s">
        <v>332</v>
      </c>
      <c r="F1006" s="5">
        <v>1484863.0</v>
      </c>
      <c r="G1006" s="5">
        <v>2625627.0</v>
      </c>
      <c r="H1006" s="5">
        <v>73634.0</v>
      </c>
      <c r="I1006" s="5">
        <v>4184124.0</v>
      </c>
      <c r="J1006" s="5">
        <v>288191.0</v>
      </c>
      <c r="K1006" s="5">
        <v>3895933.0</v>
      </c>
    </row>
    <row r="1007">
      <c r="A1007" s="2">
        <v>2021.0</v>
      </c>
      <c r="B1007" s="5" t="s">
        <v>595</v>
      </c>
      <c r="F1007" s="5">
        <v>3895933.0</v>
      </c>
      <c r="G1007" s="5">
        <v>1254250.0</v>
      </c>
      <c r="H1007" s="5">
        <v>148511.0</v>
      </c>
      <c r="I1007" s="5">
        <v>5298694.0</v>
      </c>
      <c r="J1007" s="5">
        <v>308692.0</v>
      </c>
      <c r="K1007" s="5">
        <v>4990002.0</v>
      </c>
    </row>
    <row r="1008">
      <c r="A1008" s="2">
        <v>2021.0</v>
      </c>
      <c r="B1008" s="5" t="s">
        <v>596</v>
      </c>
      <c r="F1008" s="5">
        <v>4990002.0</v>
      </c>
      <c r="G1008" s="5">
        <v>7576159.0</v>
      </c>
      <c r="H1008" s="5">
        <v>307039.0</v>
      </c>
      <c r="I1008" s="5">
        <v>1.28732E7</v>
      </c>
      <c r="J1008" s="5">
        <v>3471017.0</v>
      </c>
      <c r="K1008" s="5">
        <v>9402183.0</v>
      </c>
    </row>
    <row r="1009">
      <c r="A1009" s="2">
        <v>2021.0</v>
      </c>
      <c r="B1009" s="5" t="s">
        <v>26</v>
      </c>
      <c r="E1009" s="5" t="s">
        <v>114</v>
      </c>
      <c r="F1009" s="5">
        <v>508.0</v>
      </c>
      <c r="G1009" s="5">
        <v>537348.0</v>
      </c>
      <c r="H1009" s="5">
        <v>2073.0</v>
      </c>
      <c r="I1009" s="5">
        <v>539929.0</v>
      </c>
      <c r="J1009" s="5">
        <v>412681.0</v>
      </c>
      <c r="K1009" s="5">
        <v>127248.0</v>
      </c>
    </row>
    <row r="1010">
      <c r="A1010" s="2">
        <v>2021.0</v>
      </c>
      <c r="B1010" s="5" t="s">
        <v>213</v>
      </c>
      <c r="F1010" s="5">
        <v>127248.0</v>
      </c>
      <c r="H1010" s="5">
        <v>3658.0</v>
      </c>
      <c r="I1010" s="5">
        <v>130906.0</v>
      </c>
      <c r="J1010" s="5">
        <v>118900.0</v>
      </c>
      <c r="K1010" s="5">
        <v>12006.0</v>
      </c>
    </row>
    <row r="1011">
      <c r="A1011" s="2">
        <v>2021.0</v>
      </c>
      <c r="B1011" s="5" t="s">
        <v>332</v>
      </c>
      <c r="F1011" s="5">
        <v>12006.0</v>
      </c>
      <c r="G1011" s="5">
        <v>330000.0</v>
      </c>
      <c r="H1011" s="5">
        <v>982.0</v>
      </c>
      <c r="I1011" s="5">
        <v>342988.0</v>
      </c>
      <c r="J1011" s="5">
        <v>321058.0</v>
      </c>
      <c r="K1011" s="5">
        <v>21930.0</v>
      </c>
    </row>
    <row r="1012">
      <c r="A1012" s="2">
        <v>2021.0</v>
      </c>
      <c r="B1012" s="5" t="s">
        <v>595</v>
      </c>
      <c r="F1012" s="5">
        <v>21930.0</v>
      </c>
      <c r="H1012" s="5">
        <v>831.0</v>
      </c>
      <c r="I1012" s="5">
        <v>22761.0</v>
      </c>
      <c r="J1012" s="5">
        <v>0.0</v>
      </c>
      <c r="K1012" s="5">
        <v>22761.0</v>
      </c>
    </row>
    <row r="1013">
      <c r="A1013" s="2">
        <v>2021.0</v>
      </c>
      <c r="B1013" s="5" t="s">
        <v>596</v>
      </c>
      <c r="F1013" s="5">
        <v>22761.0</v>
      </c>
      <c r="H1013" s="5">
        <v>390.0</v>
      </c>
      <c r="I1013" s="5">
        <v>23151.0</v>
      </c>
      <c r="J1013" s="5">
        <v>0.0</v>
      </c>
      <c r="K1013" s="5">
        <v>23151.0</v>
      </c>
    </row>
    <row r="1014">
      <c r="A1014" s="2">
        <v>2021.0</v>
      </c>
      <c r="B1014" s="5" t="s">
        <v>26</v>
      </c>
      <c r="E1014" s="5" t="s">
        <v>460</v>
      </c>
      <c r="F1014" s="5">
        <v>50681.0</v>
      </c>
      <c r="G1014" s="5">
        <v>50000.0</v>
      </c>
      <c r="H1014" s="5">
        <v>2584.0</v>
      </c>
      <c r="I1014" s="5">
        <v>103265.0</v>
      </c>
      <c r="J1014" s="5">
        <v>70112.0</v>
      </c>
      <c r="K1014" s="5">
        <v>33153.0</v>
      </c>
    </row>
    <row r="1015">
      <c r="A1015" s="2">
        <v>2021.0</v>
      </c>
      <c r="B1015" s="5" t="s">
        <v>213</v>
      </c>
      <c r="F1015" s="5">
        <v>33153.0</v>
      </c>
      <c r="G1015" s="5">
        <v>50000.0</v>
      </c>
      <c r="H1015" s="5">
        <v>2531.0</v>
      </c>
      <c r="I1015" s="5">
        <v>85684.0</v>
      </c>
      <c r="J1015" s="5">
        <v>70112.0</v>
      </c>
      <c r="K1015" s="5">
        <v>15572.0</v>
      </c>
    </row>
    <row r="1016">
      <c r="A1016" s="2">
        <v>2021.0</v>
      </c>
      <c r="B1016" s="5" t="s">
        <v>332</v>
      </c>
      <c r="F1016" s="5">
        <v>15572.0</v>
      </c>
      <c r="G1016" s="5">
        <v>24000.0</v>
      </c>
      <c r="H1016" s="5">
        <v>532.0</v>
      </c>
      <c r="I1016" s="5">
        <v>40104.0</v>
      </c>
      <c r="J1016" s="5">
        <v>39061.0</v>
      </c>
      <c r="K1016" s="5">
        <v>1043.0</v>
      </c>
    </row>
    <row r="1017">
      <c r="A1017" s="2">
        <v>2021.0</v>
      </c>
      <c r="B1017" s="5" t="s">
        <v>595</v>
      </c>
      <c r="F1017" s="5">
        <v>1043.0</v>
      </c>
      <c r="H1017" s="5">
        <v>39.0</v>
      </c>
      <c r="I1017" s="5">
        <v>1082.0</v>
      </c>
      <c r="J1017" s="5">
        <v>0.0</v>
      </c>
      <c r="K1017" s="5">
        <v>1082.0</v>
      </c>
    </row>
    <row r="1018">
      <c r="A1018" s="2">
        <v>2021.0</v>
      </c>
      <c r="B1018" s="5" t="s">
        <v>26</v>
      </c>
      <c r="E1018" s="5" t="s">
        <v>1170</v>
      </c>
      <c r="F1018" s="5">
        <v>115200.0</v>
      </c>
      <c r="H1018" s="5">
        <v>63.0</v>
      </c>
      <c r="I1018" s="5">
        <v>115263.0</v>
      </c>
      <c r="J1018" s="5">
        <v>0.0</v>
      </c>
      <c r="K1018" s="5">
        <v>115263.0</v>
      </c>
    </row>
    <row r="1019">
      <c r="A1019" s="2">
        <v>2021.0</v>
      </c>
      <c r="B1019" s="5" t="s">
        <v>213</v>
      </c>
      <c r="F1019" s="5">
        <v>115263.0</v>
      </c>
      <c r="G1019" s="5">
        <v>91000.0</v>
      </c>
      <c r="H1019" s="5">
        <v>330.0</v>
      </c>
      <c r="I1019" s="5">
        <v>206593.0</v>
      </c>
      <c r="J1019" s="5">
        <v>205000.0</v>
      </c>
      <c r="K1019" s="5">
        <v>1593.0</v>
      </c>
    </row>
    <row r="1020">
      <c r="A1020" s="2">
        <v>2021.0</v>
      </c>
      <c r="B1020" s="5" t="s">
        <v>332</v>
      </c>
      <c r="F1020" s="5">
        <v>1593.0</v>
      </c>
      <c r="G1020" s="5">
        <v>10000.0</v>
      </c>
      <c r="H1020" s="5">
        <v>105.0</v>
      </c>
      <c r="I1020" s="5">
        <v>11698.0</v>
      </c>
      <c r="J1020" s="5">
        <v>10000.0</v>
      </c>
      <c r="K1020" s="5">
        <v>1698.0</v>
      </c>
    </row>
    <row r="1021">
      <c r="A1021" s="2">
        <v>2021.0</v>
      </c>
      <c r="B1021" s="5" t="s">
        <v>595</v>
      </c>
      <c r="F1021" s="5">
        <v>1698.0</v>
      </c>
      <c r="H1021" s="5">
        <v>34.0</v>
      </c>
      <c r="I1021" s="5">
        <v>1732.0</v>
      </c>
      <c r="J1021" s="5">
        <v>0.0</v>
      </c>
      <c r="K1021" s="5">
        <v>1732.0</v>
      </c>
    </row>
    <row r="1022">
      <c r="A1022" s="2">
        <v>2021.0</v>
      </c>
      <c r="B1022" s="5" t="s">
        <v>596</v>
      </c>
      <c r="F1022" s="5">
        <v>1732.0</v>
      </c>
      <c r="H1022" s="5">
        <v>51.0</v>
      </c>
      <c r="I1022" s="5">
        <v>1783.0</v>
      </c>
      <c r="J1022" s="5">
        <v>0.0</v>
      </c>
      <c r="K1022" s="5">
        <v>1783.0</v>
      </c>
    </row>
    <row r="1023">
      <c r="A1023" s="2">
        <v>2021.0</v>
      </c>
      <c r="B1023" s="5" t="s">
        <v>26</v>
      </c>
      <c r="E1023" s="5" t="s">
        <v>1173</v>
      </c>
      <c r="F1023" s="5">
        <v>491.0</v>
      </c>
      <c r="G1023" s="5">
        <v>240930.0</v>
      </c>
      <c r="H1023" s="5">
        <v>474.0</v>
      </c>
      <c r="I1023" s="5">
        <v>241895.0</v>
      </c>
      <c r="J1023" s="5">
        <v>231600.0</v>
      </c>
      <c r="K1023" s="5">
        <v>10295.0</v>
      </c>
    </row>
    <row r="1024">
      <c r="A1024" s="2">
        <v>2021.0</v>
      </c>
      <c r="B1024" s="5" t="s">
        <v>213</v>
      </c>
      <c r="F1024" s="5">
        <v>10295.0</v>
      </c>
      <c r="G1024" s="5">
        <v>438400.0</v>
      </c>
      <c r="H1024" s="5">
        <v>363.0</v>
      </c>
      <c r="I1024" s="5">
        <v>449058.0</v>
      </c>
      <c r="J1024" s="5">
        <v>230400.0</v>
      </c>
      <c r="K1024" s="5">
        <v>218658.0</v>
      </c>
    </row>
    <row r="1025">
      <c r="A1025" s="2">
        <v>2021.0</v>
      </c>
      <c r="B1025" s="5" t="s">
        <v>332</v>
      </c>
      <c r="F1025" s="5">
        <v>218658.0</v>
      </c>
      <c r="G1025" s="5">
        <v>771400.0</v>
      </c>
      <c r="H1025" s="5">
        <v>10867.0</v>
      </c>
      <c r="I1025" s="5">
        <v>1000925.0</v>
      </c>
      <c r="J1025" s="5">
        <v>198200.0</v>
      </c>
      <c r="K1025" s="5">
        <v>802725.0</v>
      </c>
    </row>
    <row r="1026">
      <c r="A1026" s="2">
        <v>2021.0</v>
      </c>
      <c r="B1026" s="5" t="s">
        <v>595</v>
      </c>
      <c r="F1026" s="5">
        <v>802725.0</v>
      </c>
      <c r="G1026" s="5">
        <v>1381513.0</v>
      </c>
      <c r="H1026" s="5">
        <v>47945.0</v>
      </c>
      <c r="I1026" s="5">
        <v>2232183.0</v>
      </c>
      <c r="J1026" s="5">
        <v>410027.0</v>
      </c>
      <c r="K1026" s="5">
        <v>1822156.0</v>
      </c>
    </row>
    <row r="1027">
      <c r="A1027" s="2">
        <v>2021.0</v>
      </c>
      <c r="B1027" s="5" t="s">
        <v>596</v>
      </c>
      <c r="F1027" s="5">
        <v>1822156.0</v>
      </c>
      <c r="G1027" s="5">
        <v>2182159.0</v>
      </c>
      <c r="I1027" s="5">
        <v>4004315.0</v>
      </c>
      <c r="J1027" s="5">
        <v>743570.0</v>
      </c>
      <c r="K1027" s="5">
        <v>3260745.0</v>
      </c>
    </row>
    <row r="1028">
      <c r="A1028" s="2">
        <v>2021.0</v>
      </c>
      <c r="B1028" s="5" t="s">
        <v>26</v>
      </c>
      <c r="E1028" s="5" t="s">
        <v>32</v>
      </c>
      <c r="F1028" s="5">
        <v>3000.0</v>
      </c>
      <c r="G1028" s="5">
        <v>3000.0</v>
      </c>
      <c r="H1028" s="5">
        <v>42.0</v>
      </c>
      <c r="I1028" s="5">
        <v>6042.0</v>
      </c>
      <c r="J1028" s="5">
        <v>0.0</v>
      </c>
      <c r="K1028" s="5">
        <v>6042.0</v>
      </c>
    </row>
    <row r="1029">
      <c r="A1029" s="2">
        <v>2021.0</v>
      </c>
      <c r="B1029" s="5" t="s">
        <v>213</v>
      </c>
      <c r="F1029" s="5">
        <v>6042.0</v>
      </c>
      <c r="G1029" s="5">
        <v>28000.0</v>
      </c>
      <c r="H1029" s="5">
        <v>519.0</v>
      </c>
      <c r="I1029" s="5">
        <v>34561.0</v>
      </c>
      <c r="J1029" s="5">
        <v>0.0</v>
      </c>
      <c r="K1029" s="5">
        <v>34561.0</v>
      </c>
    </row>
    <row r="1030">
      <c r="A1030" s="2">
        <v>2021.0</v>
      </c>
      <c r="B1030" s="5" t="s">
        <v>332</v>
      </c>
      <c r="F1030" s="5">
        <v>34561.0</v>
      </c>
      <c r="G1030" s="5">
        <v>28522.0</v>
      </c>
      <c r="H1030" s="5">
        <v>1323.0</v>
      </c>
      <c r="I1030" s="5">
        <v>64406.0</v>
      </c>
      <c r="J1030" s="5">
        <v>42759.0</v>
      </c>
      <c r="K1030" s="5">
        <v>21647.0</v>
      </c>
    </row>
    <row r="1031">
      <c r="A1031" s="2">
        <v>2021.0</v>
      </c>
      <c r="B1031" s="5" t="s">
        <v>595</v>
      </c>
      <c r="F1031" s="5">
        <v>21647.0</v>
      </c>
      <c r="G1031" s="5">
        <v>33765.0</v>
      </c>
      <c r="H1031" s="5">
        <v>939.0</v>
      </c>
      <c r="I1031" s="5">
        <v>56351.0</v>
      </c>
      <c r="J1031" s="5">
        <v>2943.0</v>
      </c>
      <c r="K1031" s="5">
        <v>53408.0</v>
      </c>
    </row>
    <row r="1032">
      <c r="A1032" s="2">
        <v>2021.0</v>
      </c>
      <c r="B1032" s="5" t="s">
        <v>596</v>
      </c>
      <c r="F1032" s="5">
        <v>53408.0</v>
      </c>
      <c r="G1032" s="5">
        <v>123080.0</v>
      </c>
      <c r="H1032" s="5">
        <v>3388.0</v>
      </c>
      <c r="I1032" s="5">
        <v>179876.0</v>
      </c>
      <c r="J1032" s="5">
        <v>0.0</v>
      </c>
      <c r="K1032" s="5">
        <v>179876.0</v>
      </c>
    </row>
    <row r="1033">
      <c r="A1033" s="2">
        <v>2021.0</v>
      </c>
      <c r="B1033" s="5" t="s">
        <v>213</v>
      </c>
      <c r="D1033" s="5" t="s">
        <v>1177</v>
      </c>
      <c r="F1033" s="5">
        <v>50582.0</v>
      </c>
      <c r="G1033" s="5">
        <v>8578397.0</v>
      </c>
      <c r="H1033" s="5">
        <v>22654.0</v>
      </c>
      <c r="I1033" s="5">
        <v>8651633.0</v>
      </c>
      <c r="J1033" s="5">
        <v>3817424.0</v>
      </c>
      <c r="K1033" s="5">
        <v>4834209.0</v>
      </c>
    </row>
    <row r="1034">
      <c r="A1034" s="2">
        <v>2021.0</v>
      </c>
      <c r="F1034" s="5">
        <v>1.5048367E7</v>
      </c>
      <c r="G1034" s="5">
        <v>6.9189838E7</v>
      </c>
      <c r="H1034" s="5">
        <v>254910.0</v>
      </c>
      <c r="I1034" s="5">
        <v>8.4493115E7</v>
      </c>
      <c r="J1034" s="5">
        <v>8.4398667E7</v>
      </c>
      <c r="K1034" s="5">
        <v>94448.0</v>
      </c>
    </row>
    <row r="1035">
      <c r="A1035" s="2">
        <v>2021.0</v>
      </c>
      <c r="F1035" s="5">
        <v>3470408.0</v>
      </c>
      <c r="G1035" s="5">
        <v>5.7585543E7</v>
      </c>
      <c r="H1035" s="5">
        <v>296206.0</v>
      </c>
      <c r="I1035" s="5">
        <v>6.1352157E7</v>
      </c>
      <c r="J1035" s="5">
        <v>4.5263923E7</v>
      </c>
      <c r="K1035" s="5">
        <v>1.6088234E7</v>
      </c>
    </row>
    <row r="1036">
      <c r="A1036" s="2">
        <v>2021.0</v>
      </c>
      <c r="B1036" s="5" t="s">
        <v>213</v>
      </c>
      <c r="F1036" s="5">
        <f t="shared" ref="F1036:K1036" si="20">SUM(F1033:F1035)</f>
        <v>18569357</v>
      </c>
      <c r="G1036" s="5">
        <f t="shared" si="20"/>
        <v>135353778</v>
      </c>
      <c r="H1036" s="5">
        <f t="shared" si="20"/>
        <v>573770</v>
      </c>
      <c r="I1036" s="5">
        <f t="shared" si="20"/>
        <v>154496905</v>
      </c>
      <c r="J1036" s="5">
        <f t="shared" si="20"/>
        <v>133480014</v>
      </c>
      <c r="K1036" s="5">
        <f t="shared" si="20"/>
        <v>21016891</v>
      </c>
    </row>
    <row r="1037">
      <c r="A1037" s="2">
        <v>2021.0</v>
      </c>
      <c r="B1037" s="5" t="s">
        <v>332</v>
      </c>
      <c r="F1037" s="5">
        <v>4834209.0</v>
      </c>
      <c r="G1037" s="5">
        <v>1.2542968E7</v>
      </c>
      <c r="H1037" s="5">
        <v>128833.0</v>
      </c>
      <c r="I1037" s="5">
        <v>1.750601E7</v>
      </c>
      <c r="J1037" s="5">
        <v>1.6882762E7</v>
      </c>
      <c r="K1037" s="5">
        <v>623248.0</v>
      </c>
    </row>
    <row r="1038">
      <c r="A1038" s="2">
        <v>2021.0</v>
      </c>
      <c r="F1038" s="5">
        <v>94448.0</v>
      </c>
      <c r="G1038" s="5">
        <v>3.9459101E7</v>
      </c>
      <c r="H1038" s="5">
        <v>72592.0</v>
      </c>
      <c r="I1038" s="5">
        <v>3.9626141E7</v>
      </c>
      <c r="J1038" s="5">
        <v>3.9179111E7</v>
      </c>
      <c r="K1038" s="5">
        <v>447030.0</v>
      </c>
    </row>
    <row r="1039">
      <c r="A1039" s="2">
        <v>2021.0</v>
      </c>
      <c r="F1039" s="5">
        <v>1.6088234E7</v>
      </c>
      <c r="G1039" s="5">
        <v>5.2415592E7</v>
      </c>
      <c r="H1039" s="5">
        <v>546637.0</v>
      </c>
      <c r="I1039" s="5">
        <v>6.9050463E7</v>
      </c>
      <c r="J1039" s="5">
        <v>6.0974979E7</v>
      </c>
      <c r="K1039" s="5">
        <v>8075484.0</v>
      </c>
    </row>
    <row r="1040">
      <c r="A1040" s="2">
        <v>2021.0</v>
      </c>
      <c r="B1040" s="5" t="s">
        <v>332</v>
      </c>
      <c r="F1040" s="5">
        <f t="shared" ref="F1040:K1040" si="21">SUM(F1037:F1039)</f>
        <v>21016891</v>
      </c>
      <c r="G1040" s="5">
        <f t="shared" si="21"/>
        <v>104417661</v>
      </c>
      <c r="H1040" s="5">
        <f t="shared" si="21"/>
        <v>748062</v>
      </c>
      <c r="I1040" s="5">
        <f t="shared" si="21"/>
        <v>126182614</v>
      </c>
      <c r="J1040" s="5">
        <f t="shared" si="21"/>
        <v>117036852</v>
      </c>
      <c r="K1040" s="5">
        <f t="shared" si="21"/>
        <v>9145762</v>
      </c>
    </row>
    <row r="1041">
      <c r="A1041" s="2">
        <v>2021.0</v>
      </c>
      <c r="B1041" s="5" t="s">
        <v>595</v>
      </c>
      <c r="F1041" s="5">
        <v>623248.0</v>
      </c>
      <c r="G1041" s="5">
        <v>3.6714453E7</v>
      </c>
      <c r="H1041" s="5">
        <v>142744.0</v>
      </c>
      <c r="I1041" s="5">
        <v>3.7480445E7</v>
      </c>
      <c r="J1041" s="5">
        <v>3.3403377E7</v>
      </c>
      <c r="K1041" s="5">
        <v>4077068.0</v>
      </c>
    </row>
    <row r="1042">
      <c r="A1042" s="2">
        <v>2021.0</v>
      </c>
      <c r="F1042" s="5">
        <v>447030.0</v>
      </c>
      <c r="G1042" s="5">
        <v>0.0</v>
      </c>
      <c r="H1042" s="5">
        <v>54089.0</v>
      </c>
      <c r="I1042" s="5">
        <v>501119.0</v>
      </c>
      <c r="J1042" s="5">
        <v>500954.0</v>
      </c>
      <c r="K1042" s="5">
        <v>165.0</v>
      </c>
    </row>
    <row r="1043">
      <c r="A1043" s="2">
        <v>2021.0</v>
      </c>
      <c r="F1043" s="5">
        <v>0.0</v>
      </c>
      <c r="G1043" s="5">
        <v>4.5617353E7</v>
      </c>
      <c r="H1043" s="5">
        <v>604584.0</v>
      </c>
      <c r="I1043" s="5">
        <v>4.6221937E7</v>
      </c>
      <c r="J1043" s="5">
        <v>4.115914E7</v>
      </c>
      <c r="K1043" s="5">
        <v>5062797.0</v>
      </c>
    </row>
    <row r="1044">
      <c r="A1044" s="2">
        <v>2021.0</v>
      </c>
      <c r="F1044" s="5">
        <v>8075484.0</v>
      </c>
      <c r="G1044" s="5">
        <v>5.5396113E7</v>
      </c>
      <c r="H1044" s="5">
        <v>483358.0</v>
      </c>
      <c r="I1044" s="5">
        <v>6.3954955E7</v>
      </c>
      <c r="J1044" s="5">
        <v>4.4079473E7</v>
      </c>
      <c r="K1044" s="5">
        <v>1.9875482E7</v>
      </c>
    </row>
    <row r="1045">
      <c r="A1045" s="2">
        <v>2021.0</v>
      </c>
      <c r="F1045" s="5">
        <v>0.0</v>
      </c>
      <c r="G1045" s="5">
        <v>5850000.0</v>
      </c>
      <c r="H1045" s="5">
        <v>201838.0</v>
      </c>
      <c r="I1045" s="5">
        <v>6051838.0</v>
      </c>
      <c r="J1045" s="5">
        <v>0.0</v>
      </c>
      <c r="K1045" s="5">
        <v>6051838.0</v>
      </c>
    </row>
    <row r="1046">
      <c r="A1046" s="2">
        <v>2021.0</v>
      </c>
      <c r="B1046" s="5" t="s">
        <v>595</v>
      </c>
      <c r="F1046" s="5">
        <f t="shared" ref="F1046:K1046" si="22">SUM(F1041:F1045)</f>
        <v>9145762</v>
      </c>
      <c r="G1046" s="5">
        <f t="shared" si="22"/>
        <v>143577919</v>
      </c>
      <c r="H1046" s="5">
        <f t="shared" si="22"/>
        <v>1486613</v>
      </c>
      <c r="I1046" s="5">
        <f t="shared" si="22"/>
        <v>154210294</v>
      </c>
      <c r="J1046" s="5">
        <f t="shared" si="22"/>
        <v>119142944</v>
      </c>
      <c r="K1046" s="5">
        <f t="shared" si="22"/>
        <v>35067350</v>
      </c>
    </row>
    <row r="1047">
      <c r="A1047" s="2">
        <v>2021.0</v>
      </c>
      <c r="B1047" s="5" t="s">
        <v>596</v>
      </c>
      <c r="F1047" s="5">
        <v>4077068.0</v>
      </c>
      <c r="G1047" s="5">
        <v>2.1386132E7</v>
      </c>
      <c r="H1047" s="5">
        <v>506050.0</v>
      </c>
      <c r="I1047" s="5">
        <v>2.596925E7</v>
      </c>
      <c r="J1047" s="5">
        <v>1.4993589E7</v>
      </c>
      <c r="K1047" s="5">
        <v>1.0975661E7</v>
      </c>
    </row>
    <row r="1048">
      <c r="A1048" s="2">
        <v>2021.0</v>
      </c>
      <c r="F1048" s="5">
        <v>165.0</v>
      </c>
      <c r="G1048" s="5">
        <v>0.0</v>
      </c>
      <c r="H1048" s="5">
        <v>7.0</v>
      </c>
      <c r="I1048" s="5">
        <v>172.0</v>
      </c>
      <c r="J1048" s="5">
        <v>55.0</v>
      </c>
      <c r="K1048" s="5">
        <v>117.0</v>
      </c>
    </row>
    <row r="1049">
      <c r="A1049" s="2">
        <v>2021.0</v>
      </c>
      <c r="F1049" s="5">
        <v>5062797.0</v>
      </c>
      <c r="G1049" s="5">
        <v>1.028048E7</v>
      </c>
      <c r="H1049" s="5">
        <v>401152.0</v>
      </c>
      <c r="I1049" s="5">
        <v>1.5744429E7</v>
      </c>
      <c r="J1049" s="5">
        <v>5280098.0</v>
      </c>
      <c r="K1049" s="5">
        <v>1.0464331E7</v>
      </c>
    </row>
    <row r="1050">
      <c r="A1050" s="2">
        <v>2021.0</v>
      </c>
      <c r="F1050" s="5">
        <v>1.9875482E7</v>
      </c>
      <c r="G1050" s="5">
        <v>8.4756675E7</v>
      </c>
      <c r="H1050" s="5">
        <v>1299701.0</v>
      </c>
      <c r="I1050" s="5">
        <v>1.05931858E8</v>
      </c>
      <c r="J1050" s="5">
        <v>5.1840947E7</v>
      </c>
      <c r="K1050" s="5">
        <v>5.4090911E7</v>
      </c>
    </row>
    <row r="1051">
      <c r="A1051" s="2">
        <v>2021.0</v>
      </c>
      <c r="F1051" s="5">
        <v>6051838.0</v>
      </c>
      <c r="G1051" s="5">
        <v>5625000.0</v>
      </c>
      <c r="H1051" s="5">
        <v>365632.0</v>
      </c>
      <c r="I1051" s="5">
        <v>1.204247E7</v>
      </c>
      <c r="J1051" s="5">
        <v>2781117.0</v>
      </c>
      <c r="K1051" s="5">
        <v>9261353.0</v>
      </c>
    </row>
    <row r="1052">
      <c r="A1052" s="2">
        <v>2021.0</v>
      </c>
      <c r="B1052" s="5" t="s">
        <v>596</v>
      </c>
      <c r="F1052" s="5">
        <f t="shared" ref="F1052:K1052" si="23">SUM(F1047:F1051)</f>
        <v>35067350</v>
      </c>
      <c r="G1052" s="5">
        <f t="shared" si="23"/>
        <v>122048287</v>
      </c>
      <c r="H1052" s="5">
        <f t="shared" si="23"/>
        <v>2572542</v>
      </c>
      <c r="I1052" s="5">
        <f t="shared" si="23"/>
        <v>159688179</v>
      </c>
      <c r="J1052" s="5">
        <f t="shared" si="23"/>
        <v>74895806</v>
      </c>
      <c r="K1052" s="5">
        <f t="shared" si="23"/>
        <v>84792373</v>
      </c>
    </row>
    <row r="1053">
      <c r="A1053" s="2">
        <v>2021.0</v>
      </c>
      <c r="B1053" s="5" t="s">
        <v>213</v>
      </c>
      <c r="F1053" s="5">
        <v>50582.0</v>
      </c>
      <c r="G1053" s="5">
        <v>8578397.0</v>
      </c>
      <c r="H1053" s="5">
        <v>22654.0</v>
      </c>
      <c r="I1053" s="5">
        <v>8651633.0</v>
      </c>
      <c r="J1053" s="5">
        <v>3817424.0</v>
      </c>
      <c r="K1053" s="5">
        <v>4834209.0</v>
      </c>
    </row>
    <row r="1054">
      <c r="A1054" s="2">
        <v>2021.0</v>
      </c>
      <c r="F1054" s="5">
        <v>1.5048367E7</v>
      </c>
      <c r="G1054" s="5">
        <v>6.9189838E7</v>
      </c>
      <c r="H1054" s="5">
        <v>254910.0</v>
      </c>
      <c r="I1054" s="5">
        <v>8.4493115E7</v>
      </c>
      <c r="J1054" s="5">
        <v>8.4398667E7</v>
      </c>
      <c r="K1054" s="5">
        <v>94448.0</v>
      </c>
    </row>
    <row r="1055">
      <c r="A1055" s="2">
        <v>2021.0</v>
      </c>
      <c r="F1055" s="5">
        <v>3470408.0</v>
      </c>
      <c r="G1055" s="5">
        <v>5.7585543E7</v>
      </c>
      <c r="H1055" s="5">
        <v>296206.0</v>
      </c>
      <c r="I1055" s="5">
        <v>6.1352157E7</v>
      </c>
      <c r="J1055" s="5">
        <v>4.5263923E7</v>
      </c>
      <c r="K1055" s="5">
        <v>1.6088234E7</v>
      </c>
    </row>
    <row r="1056">
      <c r="A1056" s="2">
        <v>2021.0</v>
      </c>
      <c r="B1056" s="5" t="s">
        <v>213</v>
      </c>
      <c r="F1056" s="5">
        <f t="shared" ref="F1056:K1056" si="24">SUM(F1053:F1055)</f>
        <v>18569357</v>
      </c>
      <c r="G1056" s="5">
        <f t="shared" si="24"/>
        <v>135353778</v>
      </c>
      <c r="H1056" s="5">
        <f t="shared" si="24"/>
        <v>573770</v>
      </c>
      <c r="I1056" s="5">
        <f t="shared" si="24"/>
        <v>154496905</v>
      </c>
      <c r="J1056" s="5">
        <f t="shared" si="24"/>
        <v>133480014</v>
      </c>
      <c r="K1056" s="5">
        <f t="shared" si="24"/>
        <v>21016891</v>
      </c>
    </row>
    <row r="1057">
      <c r="A1057" s="2">
        <v>2021.0</v>
      </c>
      <c r="B1057" s="5" t="s">
        <v>332</v>
      </c>
      <c r="F1057" s="5">
        <v>4834209.0</v>
      </c>
      <c r="G1057" s="5">
        <v>1.2542968E7</v>
      </c>
      <c r="H1057" s="5">
        <v>128833.0</v>
      </c>
      <c r="I1057" s="5">
        <v>1.750601E7</v>
      </c>
      <c r="J1057" s="5">
        <v>1.6882762E7</v>
      </c>
      <c r="K1057" s="5">
        <v>623248.0</v>
      </c>
    </row>
    <row r="1058">
      <c r="A1058" s="2">
        <v>2021.0</v>
      </c>
      <c r="F1058" s="5">
        <v>94448.0</v>
      </c>
      <c r="G1058" s="5">
        <v>3.9459101E7</v>
      </c>
      <c r="H1058" s="5">
        <v>72592.0</v>
      </c>
      <c r="I1058" s="5">
        <v>3.9626141E7</v>
      </c>
      <c r="J1058" s="5">
        <v>3.9179111E7</v>
      </c>
      <c r="K1058" s="5">
        <v>447030.0</v>
      </c>
    </row>
    <row r="1059">
      <c r="A1059" s="2">
        <v>2021.0</v>
      </c>
      <c r="F1059" s="5">
        <v>1.6088234E7</v>
      </c>
      <c r="G1059" s="5">
        <v>5.2415592E7</v>
      </c>
      <c r="H1059" s="5">
        <v>546637.0</v>
      </c>
      <c r="I1059" s="5">
        <v>6.9050463E7</v>
      </c>
      <c r="J1059" s="5">
        <v>6.0974979E7</v>
      </c>
      <c r="K1059" s="5">
        <v>8075484.0</v>
      </c>
    </row>
    <row r="1060">
      <c r="A1060" s="2">
        <v>2021.0</v>
      </c>
      <c r="B1060" s="5" t="s">
        <v>332</v>
      </c>
      <c r="F1060" s="5">
        <f t="shared" ref="F1060:K1060" si="25">SUM(F1057:F1059)</f>
        <v>21016891</v>
      </c>
      <c r="G1060" s="5">
        <f t="shared" si="25"/>
        <v>104417661</v>
      </c>
      <c r="H1060" s="5">
        <f t="shared" si="25"/>
        <v>748062</v>
      </c>
      <c r="I1060" s="5">
        <f t="shared" si="25"/>
        <v>126182614</v>
      </c>
      <c r="J1060" s="5">
        <f t="shared" si="25"/>
        <v>117036852</v>
      </c>
      <c r="K1060" s="5">
        <f t="shared" si="25"/>
        <v>9145762</v>
      </c>
    </row>
    <row r="1061">
      <c r="A1061" s="2">
        <v>2021.0</v>
      </c>
      <c r="B1061" s="5" t="s">
        <v>595</v>
      </c>
      <c r="F1061" s="5">
        <v>623248.0</v>
      </c>
      <c r="G1061" s="5">
        <v>3.6714453E7</v>
      </c>
      <c r="H1061" s="5">
        <v>142744.0</v>
      </c>
      <c r="I1061" s="5">
        <v>3.7480445E7</v>
      </c>
      <c r="J1061" s="5">
        <v>3.3403377E7</v>
      </c>
      <c r="K1061" s="5">
        <v>4077068.0</v>
      </c>
    </row>
    <row r="1062">
      <c r="A1062" s="2">
        <v>2021.0</v>
      </c>
      <c r="F1062" s="5">
        <v>447030.0</v>
      </c>
      <c r="G1062" s="5">
        <v>0.0</v>
      </c>
      <c r="H1062" s="5">
        <v>54089.0</v>
      </c>
      <c r="I1062" s="5">
        <v>501119.0</v>
      </c>
      <c r="J1062" s="5">
        <v>500954.0</v>
      </c>
      <c r="K1062" s="5">
        <v>165.0</v>
      </c>
    </row>
    <row r="1063">
      <c r="A1063" s="2">
        <v>2021.0</v>
      </c>
      <c r="F1063" s="5">
        <v>0.0</v>
      </c>
      <c r="G1063" s="5">
        <v>4.5617353E7</v>
      </c>
      <c r="H1063" s="5">
        <v>604584.0</v>
      </c>
      <c r="I1063" s="5">
        <v>4.6221937E7</v>
      </c>
      <c r="J1063" s="5">
        <v>4.115914E7</v>
      </c>
      <c r="K1063" s="5">
        <v>5062797.0</v>
      </c>
    </row>
    <row r="1064">
      <c r="A1064" s="2">
        <v>2021.0</v>
      </c>
      <c r="F1064" s="5">
        <v>8075484.0</v>
      </c>
      <c r="G1064" s="5">
        <v>5.5396113E7</v>
      </c>
      <c r="H1064" s="5">
        <v>483358.0</v>
      </c>
      <c r="I1064" s="5">
        <v>6.3954955E7</v>
      </c>
      <c r="J1064" s="5">
        <v>4.4079473E7</v>
      </c>
      <c r="K1064" s="5">
        <v>1.9875482E7</v>
      </c>
    </row>
    <row r="1065">
      <c r="A1065" s="2">
        <v>2021.0</v>
      </c>
      <c r="F1065" s="5">
        <v>0.0</v>
      </c>
      <c r="G1065" s="5">
        <v>5850000.0</v>
      </c>
      <c r="H1065" s="5">
        <v>201838.0</v>
      </c>
      <c r="I1065" s="5">
        <v>6051838.0</v>
      </c>
      <c r="J1065" s="5">
        <v>0.0</v>
      </c>
      <c r="K1065" s="5">
        <v>6051838.0</v>
      </c>
    </row>
    <row r="1066">
      <c r="A1066" s="2">
        <v>2021.0</v>
      </c>
      <c r="B1066" s="5" t="s">
        <v>595</v>
      </c>
      <c r="F1066" s="5">
        <f t="shared" ref="F1066:K1066" si="26">SUM(F1061:F1065)</f>
        <v>9145762</v>
      </c>
      <c r="G1066" s="5">
        <f t="shared" si="26"/>
        <v>143577919</v>
      </c>
      <c r="H1066" s="5">
        <f t="shared" si="26"/>
        <v>1486613</v>
      </c>
      <c r="I1066" s="5">
        <f t="shared" si="26"/>
        <v>154210294</v>
      </c>
      <c r="J1066" s="5">
        <f t="shared" si="26"/>
        <v>119142944</v>
      </c>
      <c r="K1066" s="5">
        <f t="shared" si="26"/>
        <v>35067350</v>
      </c>
    </row>
    <row r="1067">
      <c r="A1067" s="2">
        <v>2021.0</v>
      </c>
      <c r="B1067" s="5" t="s">
        <v>596</v>
      </c>
      <c r="F1067" s="5">
        <v>4077068.0</v>
      </c>
      <c r="G1067" s="5">
        <v>2.1386132E7</v>
      </c>
      <c r="H1067" s="5">
        <v>506050.0</v>
      </c>
      <c r="I1067" s="5">
        <v>2.596925E7</v>
      </c>
      <c r="J1067" s="5">
        <v>1.4993589E7</v>
      </c>
      <c r="K1067" s="5">
        <v>1.0975661E7</v>
      </c>
    </row>
    <row r="1068">
      <c r="A1068" s="2">
        <v>2021.0</v>
      </c>
      <c r="F1068" s="5">
        <v>165.0</v>
      </c>
      <c r="G1068" s="5">
        <v>0.0</v>
      </c>
      <c r="H1068" s="5">
        <v>7.0</v>
      </c>
      <c r="I1068" s="5">
        <v>172.0</v>
      </c>
      <c r="J1068" s="5">
        <v>55.0</v>
      </c>
      <c r="K1068" s="5">
        <v>117.0</v>
      </c>
    </row>
    <row r="1069">
      <c r="A1069" s="2">
        <v>2021.0</v>
      </c>
      <c r="F1069" s="5">
        <v>5062797.0</v>
      </c>
      <c r="G1069" s="5">
        <v>1.028048E7</v>
      </c>
      <c r="H1069" s="5">
        <v>401152.0</v>
      </c>
      <c r="I1069" s="5">
        <v>1.5744429E7</v>
      </c>
      <c r="J1069" s="5">
        <v>5280098.0</v>
      </c>
      <c r="K1069" s="5">
        <v>1.0464331E7</v>
      </c>
    </row>
    <row r="1070">
      <c r="A1070" s="2">
        <v>2021.0</v>
      </c>
      <c r="F1070" s="5">
        <v>1.9875482E7</v>
      </c>
      <c r="G1070" s="5">
        <v>8.4756675E7</v>
      </c>
      <c r="H1070" s="5">
        <v>1299701.0</v>
      </c>
      <c r="I1070" s="5">
        <v>1.05931858E8</v>
      </c>
      <c r="J1070" s="5">
        <v>5.1840947E7</v>
      </c>
      <c r="K1070" s="5">
        <v>5.4090911E7</v>
      </c>
    </row>
    <row r="1071">
      <c r="A1071" s="2">
        <v>2021.0</v>
      </c>
      <c r="F1071" s="5">
        <v>6051838.0</v>
      </c>
      <c r="G1071" s="5">
        <v>5625000.0</v>
      </c>
      <c r="H1071" s="5">
        <v>365632.0</v>
      </c>
      <c r="I1071" s="5">
        <v>1.204247E7</v>
      </c>
      <c r="J1071" s="5">
        <v>2781117.0</v>
      </c>
      <c r="K1071" s="5">
        <v>9261353.0</v>
      </c>
    </row>
    <row r="1072">
      <c r="A1072" s="2">
        <v>2021.0</v>
      </c>
      <c r="B1072" s="5" t="s">
        <v>596</v>
      </c>
      <c r="F1072" s="5">
        <f t="shared" ref="F1072:K1072" si="27">SUM(F1067:F1071)</f>
        <v>35067350</v>
      </c>
      <c r="G1072" s="5">
        <f t="shared" si="27"/>
        <v>122048287</v>
      </c>
      <c r="H1072" s="5">
        <f t="shared" si="27"/>
        <v>2572542</v>
      </c>
      <c r="I1072" s="5">
        <f t="shared" si="27"/>
        <v>159688179</v>
      </c>
      <c r="J1072" s="5">
        <f t="shared" si="27"/>
        <v>74895806</v>
      </c>
      <c r="K1072" s="5">
        <f t="shared" si="27"/>
        <v>84792373</v>
      </c>
    </row>
    <row r="1073">
      <c r="A1073" s="2">
        <v>2022.0</v>
      </c>
      <c r="B1073" s="1" t="s">
        <v>1200</v>
      </c>
      <c r="C1073" s="2" t="s">
        <v>966</v>
      </c>
      <c r="D1073" s="2" t="s">
        <v>967</v>
      </c>
      <c r="E1073" s="2"/>
      <c r="F1073" s="2">
        <v>3220608.0</v>
      </c>
      <c r="G1073" s="2">
        <v>4605050.0</v>
      </c>
      <c r="H1073" s="2">
        <v>161813.0</v>
      </c>
      <c r="I1073" s="2">
        <v>7987471.0</v>
      </c>
      <c r="J1073" s="2">
        <v>3243577.0</v>
      </c>
      <c r="K1073" s="2">
        <v>4743894.0</v>
      </c>
    </row>
    <row r="1074">
      <c r="A1074" s="2">
        <v>2022.0</v>
      </c>
      <c r="B1074" s="1" t="s">
        <v>1200</v>
      </c>
      <c r="C1074" s="2"/>
      <c r="D1074" s="2" t="s">
        <v>973</v>
      </c>
      <c r="E1074" s="2"/>
      <c r="F1074" s="2">
        <v>2880053.0</v>
      </c>
      <c r="G1074" s="2">
        <v>5530798.0</v>
      </c>
      <c r="H1074" s="2">
        <v>190397.0</v>
      </c>
      <c r="I1074" s="2">
        <v>8601248.0</v>
      </c>
      <c r="J1074" s="2">
        <v>2867324.0</v>
      </c>
      <c r="K1074" s="2">
        <v>5733924.0</v>
      </c>
    </row>
    <row r="1075">
      <c r="A1075" s="2">
        <v>2022.0</v>
      </c>
      <c r="B1075" s="1" t="s">
        <v>1200</v>
      </c>
      <c r="C1075" s="2"/>
      <c r="D1075" s="2" t="s">
        <v>1079</v>
      </c>
      <c r="E1075" s="2"/>
      <c r="F1075" s="2">
        <v>5299793.0</v>
      </c>
      <c r="G1075" s="2">
        <v>6763976.0</v>
      </c>
      <c r="H1075" s="2">
        <v>244330.0</v>
      </c>
      <c r="I1075" s="2">
        <v>1.2308099E7</v>
      </c>
      <c r="J1075" s="2">
        <v>3992645.0</v>
      </c>
      <c r="K1075" s="2">
        <v>8315454.0</v>
      </c>
    </row>
    <row r="1076">
      <c r="A1076" s="2">
        <v>2022.0</v>
      </c>
      <c r="B1076" s="1" t="s">
        <v>1200</v>
      </c>
      <c r="C1076" s="2"/>
      <c r="D1076" s="2" t="s">
        <v>1201</v>
      </c>
      <c r="E1076" s="2"/>
      <c r="F1076" s="2">
        <v>2167207.0</v>
      </c>
      <c r="G1076" s="2">
        <v>2167209.0</v>
      </c>
      <c r="H1076" s="2">
        <v>2167211.0</v>
      </c>
      <c r="I1076" s="2">
        <v>2167213.0</v>
      </c>
      <c r="J1076" s="2">
        <v>2167215.0</v>
      </c>
      <c r="K1076" s="2">
        <v>2167217.0</v>
      </c>
    </row>
    <row r="1077">
      <c r="A1077" s="2">
        <v>2022.0</v>
      </c>
      <c r="B1077" s="1" t="s">
        <v>1200</v>
      </c>
      <c r="C1077" s="2"/>
      <c r="D1077" s="2" t="s">
        <v>1203</v>
      </c>
      <c r="E1077" s="2"/>
      <c r="F1077" s="2">
        <v>2244539.0</v>
      </c>
      <c r="G1077" s="2">
        <v>3656780.0</v>
      </c>
      <c r="H1077" s="2">
        <v>114799.0</v>
      </c>
      <c r="I1077" s="2">
        <v>6016118.0</v>
      </c>
      <c r="J1077" s="2">
        <v>2286197.0</v>
      </c>
      <c r="K1077" s="2">
        <v>3729921.0</v>
      </c>
    </row>
    <row r="1078">
      <c r="A1078" s="2">
        <v>2022.0</v>
      </c>
      <c r="B1078" s="1" t="s">
        <v>1200</v>
      </c>
      <c r="C1078" s="2"/>
      <c r="D1078" s="2" t="s">
        <v>975</v>
      </c>
      <c r="E1078" s="2"/>
      <c r="F1078" s="2">
        <v>1950894.0</v>
      </c>
      <c r="G1078" s="2">
        <v>3545287.0</v>
      </c>
      <c r="H1078" s="2">
        <v>112739.0</v>
      </c>
      <c r="I1078" s="2">
        <v>5608920.0</v>
      </c>
      <c r="J1078" s="2">
        <v>1576445.0</v>
      </c>
      <c r="K1078" s="2">
        <v>4032475.0</v>
      </c>
    </row>
    <row r="1079">
      <c r="A1079" s="2">
        <v>2022.0</v>
      </c>
      <c r="B1079" s="1" t="s">
        <v>1200</v>
      </c>
      <c r="C1079" s="2"/>
      <c r="D1079" s="2" t="s">
        <v>1205</v>
      </c>
      <c r="E1079" s="2"/>
      <c r="F1079" s="2">
        <v>1560945.0</v>
      </c>
      <c r="G1079" s="2">
        <v>2840220.0</v>
      </c>
      <c r="H1079" s="2">
        <v>78163.0</v>
      </c>
      <c r="I1079" s="2">
        <v>4479328.0</v>
      </c>
      <c r="J1079" s="2">
        <v>1869851.0</v>
      </c>
      <c r="K1079" s="2">
        <v>2609477.0</v>
      </c>
    </row>
    <row r="1080">
      <c r="A1080" s="2">
        <v>2022.0</v>
      </c>
      <c r="B1080" s="1" t="s">
        <v>1200</v>
      </c>
      <c r="C1080" s="2" t="s">
        <v>143</v>
      </c>
      <c r="D1080" s="2" t="s">
        <v>1207</v>
      </c>
      <c r="E1080" s="2"/>
      <c r="F1080" s="2">
        <v>2409398.0</v>
      </c>
      <c r="G1080" s="2">
        <v>5341045.0</v>
      </c>
      <c r="H1080" s="2">
        <v>96196.0</v>
      </c>
      <c r="I1080" s="2">
        <v>7846639.0</v>
      </c>
      <c r="J1080" s="2">
        <v>5200010.0</v>
      </c>
      <c r="K1080" s="2">
        <v>2646629.0</v>
      </c>
    </row>
    <row r="1081">
      <c r="A1081" s="2">
        <v>2022.0</v>
      </c>
      <c r="B1081" s="1" t="s">
        <v>1200</v>
      </c>
      <c r="C1081" s="2"/>
      <c r="D1081" s="2" t="s">
        <v>281</v>
      </c>
      <c r="E1081" s="2"/>
      <c r="F1081" s="2">
        <v>1979039.0</v>
      </c>
      <c r="G1081" s="2">
        <v>3615022.0</v>
      </c>
      <c r="H1081" s="2">
        <v>69135.0</v>
      </c>
      <c r="I1081" s="2">
        <v>1.2831044E7</v>
      </c>
      <c r="J1081" s="2">
        <v>9229237.0</v>
      </c>
      <c r="K1081" s="2">
        <v>3601807.0</v>
      </c>
    </row>
    <row r="1082">
      <c r="A1082" s="2">
        <v>2022.0</v>
      </c>
      <c r="B1082" s="1" t="s">
        <v>1200</v>
      </c>
      <c r="C1082" s="2"/>
      <c r="D1082" s="2" t="s">
        <v>143</v>
      </c>
      <c r="E1082" s="2"/>
      <c r="F1082" s="2">
        <v>5243009.0</v>
      </c>
      <c r="G1082" s="2">
        <v>1.2426145E7</v>
      </c>
      <c r="H1082" s="2">
        <v>215191.0</v>
      </c>
      <c r="I1082" s="2">
        <v>1.2641336E7</v>
      </c>
      <c r="J1082" s="2">
        <v>5675446.0</v>
      </c>
      <c r="K1082" s="2">
        <v>6965890.0</v>
      </c>
    </row>
    <row r="1083">
      <c r="A1083" s="2">
        <v>2022.0</v>
      </c>
      <c r="B1083" s="1" t="s">
        <v>1200</v>
      </c>
      <c r="C1083" s="2"/>
      <c r="D1083" s="2" t="s">
        <v>1209</v>
      </c>
      <c r="E1083" s="2"/>
      <c r="F1083" s="2">
        <v>1591479.0</v>
      </c>
      <c r="G1083" s="2">
        <v>5562651.0</v>
      </c>
      <c r="H1083" s="2">
        <v>107338.0</v>
      </c>
      <c r="I1083" s="2">
        <v>7261468.0</v>
      </c>
      <c r="J1083" s="2">
        <v>2425076.0</v>
      </c>
      <c r="K1083" s="2">
        <v>4836392.0</v>
      </c>
    </row>
    <row r="1084">
      <c r="A1084" s="2">
        <v>2022.0</v>
      </c>
      <c r="B1084" s="1" t="s">
        <v>1200</v>
      </c>
      <c r="C1084" s="2"/>
      <c r="D1084" s="2" t="s">
        <v>829</v>
      </c>
      <c r="E1084" s="2"/>
      <c r="F1084" s="2">
        <v>1646496.0</v>
      </c>
      <c r="G1084" s="2">
        <v>2850750.0</v>
      </c>
      <c r="H1084" s="2">
        <v>63226.0</v>
      </c>
      <c r="I1084" s="2">
        <v>4560472.0</v>
      </c>
      <c r="J1084" s="2">
        <v>2120992.0</v>
      </c>
      <c r="K1084" s="2">
        <v>2439480.0</v>
      </c>
    </row>
    <row r="1085">
      <c r="A1085" s="2">
        <v>2022.0</v>
      </c>
      <c r="B1085" s="1" t="s">
        <v>1200</v>
      </c>
      <c r="C1085" s="2"/>
      <c r="D1085" s="2" t="s">
        <v>832</v>
      </c>
      <c r="E1085" s="2"/>
      <c r="F1085" s="2">
        <v>3640455.0</v>
      </c>
      <c r="G1085" s="2">
        <v>6094973.0</v>
      </c>
      <c r="H1085" s="2" t="s">
        <v>1210</v>
      </c>
      <c r="I1085" s="2">
        <v>9905097.0</v>
      </c>
      <c r="J1085" s="2">
        <v>4713106.0</v>
      </c>
      <c r="K1085" s="2">
        <v>5191991.0</v>
      </c>
    </row>
    <row r="1086">
      <c r="A1086" s="2">
        <v>2022.0</v>
      </c>
      <c r="B1086" s="1" t="s">
        <v>1200</v>
      </c>
      <c r="C1086" s="2"/>
      <c r="D1086" s="2" t="s">
        <v>146</v>
      </c>
      <c r="E1086" s="2"/>
      <c r="F1086" s="2">
        <v>18896.0</v>
      </c>
      <c r="G1086" s="2">
        <v>8991534.0</v>
      </c>
      <c r="H1086" s="2">
        <v>176894.0</v>
      </c>
      <c r="I1086" s="2">
        <v>9187324.0</v>
      </c>
      <c r="J1086" s="2">
        <v>2451646.0</v>
      </c>
      <c r="K1086" s="2">
        <v>6735678.0</v>
      </c>
    </row>
    <row r="1087">
      <c r="A1087" s="2">
        <v>2022.0</v>
      </c>
      <c r="B1087" s="1" t="s">
        <v>1200</v>
      </c>
      <c r="C1087" s="2"/>
      <c r="D1087" s="2" t="s">
        <v>1211</v>
      </c>
      <c r="E1087" s="2"/>
      <c r="F1087" s="2">
        <v>4747456.0</v>
      </c>
      <c r="G1087" s="2">
        <v>8020675.0</v>
      </c>
      <c r="H1087" s="2">
        <v>174887.0</v>
      </c>
      <c r="I1087" s="2">
        <v>1.2943018E7</v>
      </c>
      <c r="J1087" s="2">
        <v>5790780.0</v>
      </c>
      <c r="K1087" s="2">
        <v>7152238.0</v>
      </c>
    </row>
    <row r="1088">
      <c r="A1088" s="2">
        <v>2022.0</v>
      </c>
      <c r="B1088" s="1" t="s">
        <v>1200</v>
      </c>
      <c r="C1088" s="2" t="s">
        <v>106</v>
      </c>
      <c r="D1088" s="2" t="s">
        <v>111</v>
      </c>
      <c r="E1088" s="2"/>
      <c r="F1088" s="2">
        <v>7979719.0</v>
      </c>
      <c r="G1088" s="2">
        <v>9090504.0</v>
      </c>
      <c r="H1088" s="2">
        <v>352048.0</v>
      </c>
      <c r="I1088" s="2">
        <v>1.7422271E7</v>
      </c>
      <c r="J1088" s="2">
        <v>5919040.0</v>
      </c>
      <c r="K1088" s="2">
        <v>1.1503231E7</v>
      </c>
    </row>
    <row r="1089">
      <c r="A1089" s="2">
        <v>2022.0</v>
      </c>
      <c r="B1089" s="1" t="s">
        <v>1200</v>
      </c>
      <c r="C1089" s="2"/>
      <c r="D1089" s="2" t="s">
        <v>833</v>
      </c>
      <c r="E1089" s="2"/>
      <c r="F1089" s="2">
        <v>3081678.0</v>
      </c>
      <c r="G1089" s="2">
        <v>3969906.0</v>
      </c>
      <c r="H1089" s="2">
        <v>138571.0</v>
      </c>
      <c r="I1089" s="2">
        <v>7190155.0</v>
      </c>
      <c r="J1089" s="2">
        <v>1833350.0</v>
      </c>
      <c r="K1089" s="2">
        <v>5356805.0</v>
      </c>
    </row>
    <row r="1090">
      <c r="A1090" s="2">
        <v>2022.0</v>
      </c>
      <c r="B1090" s="1" t="s">
        <v>1200</v>
      </c>
      <c r="C1090" s="2"/>
      <c r="D1090" s="2" t="s">
        <v>1090</v>
      </c>
      <c r="E1090" s="2"/>
      <c r="F1090" s="2">
        <v>5658314.0</v>
      </c>
      <c r="G1090" s="2">
        <v>1.013487E7</v>
      </c>
      <c r="H1090" s="2">
        <v>231541.0</v>
      </c>
      <c r="I1090" s="2">
        <v>1.6024725E7</v>
      </c>
      <c r="J1090" s="2">
        <v>8884348.0</v>
      </c>
      <c r="K1090" s="2">
        <v>7140377.0</v>
      </c>
    </row>
    <row r="1091">
      <c r="A1091" s="2">
        <v>2022.0</v>
      </c>
      <c r="B1091" s="1" t="s">
        <v>1200</v>
      </c>
      <c r="C1091" s="2"/>
      <c r="D1091" s="2" t="s">
        <v>116</v>
      </c>
      <c r="E1091" s="2"/>
      <c r="F1091" s="2">
        <v>2148759.0</v>
      </c>
      <c r="G1091" s="2">
        <v>6517826.0</v>
      </c>
      <c r="H1091" s="2">
        <v>122591.0</v>
      </c>
      <c r="I1091" s="2">
        <v>8789176.0</v>
      </c>
      <c r="J1091" s="2">
        <v>3003389.0</v>
      </c>
      <c r="K1091" s="2">
        <v>5785787.0</v>
      </c>
    </row>
    <row r="1092">
      <c r="A1092" s="2">
        <v>2022.0</v>
      </c>
      <c r="B1092" s="1" t="s">
        <v>1200</v>
      </c>
      <c r="C1092" s="2" t="s">
        <v>133</v>
      </c>
      <c r="D1092" s="2" t="s">
        <v>1215</v>
      </c>
      <c r="E1092" s="2"/>
      <c r="F1092" s="2">
        <v>3437710.0</v>
      </c>
      <c r="G1092" s="2">
        <v>6463149.0</v>
      </c>
      <c r="H1092" s="2">
        <v>4380.0</v>
      </c>
      <c r="I1092" s="2">
        <v>9905239.0</v>
      </c>
      <c r="J1092" s="2">
        <v>3585652.0</v>
      </c>
      <c r="K1092" s="2">
        <v>6319587.0</v>
      </c>
    </row>
    <row r="1093">
      <c r="A1093" s="2">
        <v>2022.0</v>
      </c>
      <c r="B1093" s="1" t="s">
        <v>1200</v>
      </c>
      <c r="C1093" s="2"/>
      <c r="D1093" s="2" t="s">
        <v>1217</v>
      </c>
      <c r="E1093" s="2"/>
      <c r="F1093" s="2">
        <v>3387127.0</v>
      </c>
      <c r="G1093" s="2">
        <v>4869796.0</v>
      </c>
      <c r="H1093" s="2">
        <v>150160.0</v>
      </c>
      <c r="I1093" s="2">
        <v>8407083.0</v>
      </c>
      <c r="J1093" s="2">
        <v>3059433.0</v>
      </c>
      <c r="K1093" s="2">
        <v>5347650.0</v>
      </c>
    </row>
    <row r="1094">
      <c r="A1094" s="2">
        <v>2022.0</v>
      </c>
      <c r="B1094" s="1" t="s">
        <v>1200</v>
      </c>
      <c r="C1094" s="2"/>
      <c r="D1094" s="2" t="s">
        <v>1218</v>
      </c>
      <c r="E1094" s="2"/>
      <c r="F1094" s="2">
        <v>2734914.0</v>
      </c>
      <c r="G1094" s="2">
        <v>5961380.0</v>
      </c>
      <c r="H1094" s="2">
        <v>126617.0</v>
      </c>
      <c r="I1094" s="2">
        <v>8822911.0</v>
      </c>
      <c r="J1094" s="2">
        <v>2513534.0</v>
      </c>
      <c r="K1094" s="2">
        <v>6309377.0</v>
      </c>
    </row>
    <row r="1095">
      <c r="A1095" s="2">
        <v>2022.0</v>
      </c>
      <c r="B1095" s="1" t="s">
        <v>1200</v>
      </c>
      <c r="C1095" s="2"/>
      <c r="D1095" s="2" t="s">
        <v>814</v>
      </c>
      <c r="E1095" s="2"/>
      <c r="F1095" s="2">
        <v>3554728.0</v>
      </c>
      <c r="G1095" s="2">
        <v>9763731.0</v>
      </c>
      <c r="H1095" s="2">
        <v>102113.0</v>
      </c>
      <c r="I1095" s="2">
        <v>1.3420572E7</v>
      </c>
      <c r="J1095" s="2">
        <v>8921883.0</v>
      </c>
      <c r="K1095" s="2">
        <v>4498689.0</v>
      </c>
    </row>
    <row r="1096">
      <c r="A1096" s="2">
        <v>2022.0</v>
      </c>
      <c r="B1096" s="1" t="s">
        <v>1200</v>
      </c>
      <c r="C1096" s="2" t="s">
        <v>1219</v>
      </c>
      <c r="D1096" s="2" t="s">
        <v>1220</v>
      </c>
      <c r="E1096" s="2"/>
      <c r="F1096" s="2">
        <v>3503426.0</v>
      </c>
      <c r="G1096" s="2">
        <v>6643009.0</v>
      </c>
      <c r="H1096" s="2">
        <v>155013.0</v>
      </c>
      <c r="I1096" s="2">
        <v>1.0301448E7</v>
      </c>
      <c r="J1096" s="2">
        <v>4332913.0</v>
      </c>
      <c r="K1096" s="2">
        <v>5968535.0</v>
      </c>
    </row>
    <row r="1097">
      <c r="A1097" s="2">
        <v>2022.0</v>
      </c>
      <c r="B1097" s="1" t="s">
        <v>1200</v>
      </c>
      <c r="C1097" s="2"/>
      <c r="D1097" s="2" t="s">
        <v>772</v>
      </c>
      <c r="E1097" s="2"/>
      <c r="F1097" s="2">
        <v>5288931.0</v>
      </c>
      <c r="G1097" s="2">
        <v>70046.0</v>
      </c>
      <c r="H1097" s="2">
        <v>5358977.0</v>
      </c>
      <c r="I1097" s="2">
        <v>2280571.0</v>
      </c>
      <c r="J1097" s="2">
        <v>3078406.0</v>
      </c>
    </row>
    <row r="1098">
      <c r="A1098" s="2">
        <v>2022.0</v>
      </c>
      <c r="B1098" s="1" t="s">
        <v>1200</v>
      </c>
      <c r="C1098" s="2"/>
      <c r="D1098" s="2" t="s">
        <v>1221</v>
      </c>
      <c r="E1098" s="2"/>
      <c r="F1098" s="2">
        <v>3989893.0</v>
      </c>
      <c r="G1098" s="2">
        <v>6074852.0</v>
      </c>
      <c r="H1098" s="2">
        <v>150540.0</v>
      </c>
      <c r="I1098" s="2">
        <v>2.2382334E7</v>
      </c>
      <c r="J1098" s="2">
        <v>1.7576246E7</v>
      </c>
      <c r="K1098" s="2">
        <v>4806088.0</v>
      </c>
    </row>
    <row r="1099">
      <c r="A1099" s="2">
        <v>2022.0</v>
      </c>
      <c r="B1099" s="1" t="s">
        <v>1200</v>
      </c>
      <c r="C1099" s="2"/>
      <c r="D1099" s="2" t="s">
        <v>774</v>
      </c>
      <c r="E1099" s="2"/>
      <c r="F1099" s="2">
        <v>9189115.0</v>
      </c>
      <c r="G1099" s="2">
        <v>4094071.0</v>
      </c>
      <c r="H1099" s="2">
        <v>154234.0</v>
      </c>
      <c r="I1099" s="2">
        <v>1.343742E7</v>
      </c>
      <c r="J1099" s="2">
        <v>8161209.0</v>
      </c>
      <c r="K1099" s="2">
        <v>5276211.0</v>
      </c>
    </row>
    <row r="1100">
      <c r="A1100" s="2">
        <v>2022.0</v>
      </c>
      <c r="B1100" s="1" t="s">
        <v>1200</v>
      </c>
      <c r="C1100" s="2" t="s">
        <v>165</v>
      </c>
      <c r="D1100" s="2" t="s">
        <v>175</v>
      </c>
      <c r="E1100" s="2"/>
      <c r="F1100" s="2">
        <v>2643246.0</v>
      </c>
      <c r="G1100" s="2">
        <v>3679529.0</v>
      </c>
      <c r="H1100" s="2">
        <v>129799.0</v>
      </c>
      <c r="I1100" s="2">
        <v>6452574.0</v>
      </c>
      <c r="J1100" s="2">
        <v>2860062.0</v>
      </c>
      <c r="K1100" s="2">
        <v>3592512.0</v>
      </c>
    </row>
    <row r="1101">
      <c r="A1101" s="2">
        <v>2022.0</v>
      </c>
      <c r="B1101" s="1" t="s">
        <v>1200</v>
      </c>
      <c r="C1101" s="2"/>
      <c r="D1101" s="2" t="s">
        <v>298</v>
      </c>
      <c r="E1101" s="2"/>
      <c r="F1101" s="2">
        <v>8305147.0</v>
      </c>
      <c r="G1101" s="2">
        <v>1.8040477E7</v>
      </c>
      <c r="H1101" s="2">
        <v>188745.0</v>
      </c>
      <c r="I1101" s="2">
        <v>2.6534369E7</v>
      </c>
      <c r="J1101" s="2">
        <v>1.9463801E7</v>
      </c>
      <c r="K1101" s="2">
        <v>7070568.0</v>
      </c>
    </row>
    <row r="1102">
      <c r="A1102" s="2">
        <v>2022.0</v>
      </c>
      <c r="B1102" s="1" t="s">
        <v>1200</v>
      </c>
      <c r="C1102" s="2"/>
      <c r="D1102" s="2" t="s">
        <v>171</v>
      </c>
      <c r="E1102" s="2"/>
      <c r="F1102" s="2">
        <v>4641933.0</v>
      </c>
      <c r="G1102" s="2">
        <v>3750929.0</v>
      </c>
      <c r="H1102" s="2">
        <v>136232.0</v>
      </c>
      <c r="I1102" s="2">
        <v>8529094.0</v>
      </c>
      <c r="J1102" s="2">
        <v>2304098.0</v>
      </c>
      <c r="K1102" s="2">
        <v>6399446.0</v>
      </c>
    </row>
    <row r="1103">
      <c r="A1103" s="2">
        <v>2022.0</v>
      </c>
      <c r="B1103" s="1" t="s">
        <v>1200</v>
      </c>
      <c r="C1103" s="2" t="s">
        <v>906</v>
      </c>
      <c r="D1103" s="2" t="s">
        <v>909</v>
      </c>
      <c r="E1103" s="2"/>
      <c r="F1103" s="2">
        <v>1367619.0</v>
      </c>
      <c r="G1103" s="2">
        <v>1842780.0</v>
      </c>
      <c r="H1103" s="2">
        <v>47624.0</v>
      </c>
      <c r="I1103" s="2">
        <v>3258023.0</v>
      </c>
      <c r="J1103" s="2">
        <v>1288927.0</v>
      </c>
      <c r="K1103" s="2">
        <v>1969096.0</v>
      </c>
    </row>
    <row r="1104">
      <c r="A1104" s="2">
        <v>2022.0</v>
      </c>
      <c r="B1104" s="1" t="s">
        <v>1200</v>
      </c>
      <c r="C1104" s="2"/>
      <c r="D1104" s="2" t="s">
        <v>1224</v>
      </c>
      <c r="E1104" s="2"/>
      <c r="F1104" s="2">
        <v>1677908.0</v>
      </c>
      <c r="G1104" s="2">
        <v>4660487.0</v>
      </c>
      <c r="H1104" s="2">
        <v>59665.0</v>
      </c>
      <c r="I1104" s="2">
        <v>6398060.0</v>
      </c>
      <c r="J1104" s="2">
        <v>3646393.0</v>
      </c>
      <c r="K1104" s="2">
        <v>2751667.0</v>
      </c>
    </row>
    <row r="1105">
      <c r="A1105" s="2">
        <v>2022.0</v>
      </c>
      <c r="B1105" s="1" t="s">
        <v>1200</v>
      </c>
      <c r="C1105" s="2"/>
      <c r="D1105" s="2" t="s">
        <v>1225</v>
      </c>
      <c r="E1105" s="2"/>
      <c r="F1105" s="2">
        <v>1910583.0</v>
      </c>
      <c r="G1105" s="2">
        <v>2576716.0</v>
      </c>
      <c r="H1105" s="2">
        <v>79198.0</v>
      </c>
      <c r="I1105" s="2">
        <v>4566497.0</v>
      </c>
      <c r="J1105" s="2">
        <v>1776154.0</v>
      </c>
      <c r="K1105" s="2">
        <v>2790343.0</v>
      </c>
    </row>
    <row r="1106">
      <c r="A1106" s="2">
        <v>2022.0</v>
      </c>
      <c r="B1106" s="1" t="s">
        <v>1200</v>
      </c>
      <c r="C1106" s="2"/>
      <c r="D1106" s="2" t="s">
        <v>1227</v>
      </c>
      <c r="E1106" s="2"/>
      <c r="F1106" s="2">
        <v>766416.0</v>
      </c>
      <c r="G1106" s="2">
        <v>1901132.51</v>
      </c>
      <c r="H1106" s="2">
        <v>41614.0</v>
      </c>
      <c r="I1106" s="2">
        <v>2709162.51</v>
      </c>
      <c r="J1106" s="2">
        <v>1567948.51</v>
      </c>
      <c r="K1106" s="2">
        <v>1141214.0</v>
      </c>
    </row>
    <row r="1107">
      <c r="A1107" s="2">
        <v>2022.0</v>
      </c>
      <c r="B1107" s="1" t="s">
        <v>1200</v>
      </c>
      <c r="C1107" s="2"/>
      <c r="D1107" s="2" t="s">
        <v>1228</v>
      </c>
      <c r="E1107" s="2"/>
      <c r="F1107" s="2">
        <v>2273024.0</v>
      </c>
      <c r="G1107" s="2">
        <v>3315343.0</v>
      </c>
      <c r="H1107" s="2">
        <v>82821.0</v>
      </c>
      <c r="I1107" s="2">
        <v>5671188.0</v>
      </c>
      <c r="J1107" s="2">
        <v>2074084.0</v>
      </c>
      <c r="K1107" s="2">
        <v>3597104.0</v>
      </c>
    </row>
    <row r="1108">
      <c r="A1108" s="2">
        <v>2022.0</v>
      </c>
      <c r="B1108" s="1" t="s">
        <v>1200</v>
      </c>
      <c r="C1108" s="2"/>
      <c r="D1108" s="2" t="s">
        <v>907</v>
      </c>
      <c r="E1108" s="2"/>
      <c r="F1108" s="2">
        <v>2270637.0</v>
      </c>
      <c r="G1108" s="2">
        <v>4940771.0</v>
      </c>
      <c r="H1108" s="2">
        <v>83003.0</v>
      </c>
      <c r="I1108" s="2">
        <v>7294411.0</v>
      </c>
      <c r="J1108" s="2">
        <v>4556370.0</v>
      </c>
      <c r="K1108" s="2">
        <v>2738041.0</v>
      </c>
    </row>
    <row r="1109">
      <c r="A1109" s="2">
        <v>2022.0</v>
      </c>
      <c r="B1109" s="1" t="s">
        <v>1200</v>
      </c>
      <c r="C1109" s="2"/>
      <c r="D1109" s="2" t="s">
        <v>917</v>
      </c>
      <c r="E1109" s="2"/>
      <c r="F1109" s="2">
        <v>1862156.0</v>
      </c>
      <c r="G1109" s="2">
        <v>3330752.0</v>
      </c>
      <c r="H1109" s="2">
        <v>83848.0</v>
      </c>
      <c r="I1109" s="2">
        <v>5276756.0</v>
      </c>
      <c r="J1109" s="2">
        <v>2366729.0</v>
      </c>
      <c r="K1109" s="2">
        <v>2910027.0</v>
      </c>
    </row>
    <row r="1110">
      <c r="A1110" s="2">
        <v>2022.0</v>
      </c>
      <c r="B1110" s="1" t="s">
        <v>1200</v>
      </c>
      <c r="C1110" s="2" t="s">
        <v>1231</v>
      </c>
      <c r="D1110" s="2" t="s">
        <v>837</v>
      </c>
      <c r="E1110" s="2"/>
      <c r="F1110" s="2">
        <v>1.2198995E7</v>
      </c>
      <c r="G1110" s="2">
        <v>1.2675853E7</v>
      </c>
      <c r="H1110" s="2">
        <v>468849.0</v>
      </c>
      <c r="I1110" s="2">
        <v>2.5343697E7</v>
      </c>
      <c r="J1110" s="2">
        <v>9739019.0</v>
      </c>
      <c r="K1110" s="2">
        <v>1.5604678E7</v>
      </c>
    </row>
    <row r="1111">
      <c r="A1111" s="2">
        <v>2022.0</v>
      </c>
      <c r="B1111" s="1" t="s">
        <v>1200</v>
      </c>
      <c r="C1111" s="2"/>
      <c r="D1111" s="2" t="s">
        <v>1232</v>
      </c>
      <c r="E1111" s="2"/>
      <c r="F1111" s="2">
        <v>8124628.0</v>
      </c>
      <c r="G1111" s="2">
        <v>9880808.0</v>
      </c>
      <c r="H1111" s="2">
        <v>394521.0</v>
      </c>
      <c r="I1111" s="2">
        <v>1.8399957E7</v>
      </c>
      <c r="J1111" s="2">
        <v>7591509.0</v>
      </c>
      <c r="K1111" s="2">
        <v>1.0808448E7</v>
      </c>
    </row>
    <row r="1112">
      <c r="A1112" s="2">
        <v>2022.0</v>
      </c>
      <c r="B1112" s="1" t="s">
        <v>1200</v>
      </c>
      <c r="C1112" s="2"/>
      <c r="D1112" s="2" t="s">
        <v>838</v>
      </c>
      <c r="E1112" s="2"/>
      <c r="F1112" s="2">
        <v>4923982.0</v>
      </c>
      <c r="G1112" s="2">
        <v>7111162.0</v>
      </c>
      <c r="H1112" s="2">
        <v>143852.0</v>
      </c>
      <c r="I1112" s="2">
        <v>1.2178996E7</v>
      </c>
      <c r="J1112" s="2">
        <v>5251621.0</v>
      </c>
      <c r="K1112" s="2">
        <v>6927375.0</v>
      </c>
    </row>
    <row r="1113">
      <c r="A1113" s="2">
        <v>2022.0</v>
      </c>
      <c r="B1113" s="1" t="s">
        <v>1200</v>
      </c>
      <c r="C1113" s="2"/>
      <c r="D1113" s="2" t="s">
        <v>1234</v>
      </c>
      <c r="E1113" s="2"/>
      <c r="F1113" s="2">
        <v>1965957.0</v>
      </c>
      <c r="G1113" s="2">
        <v>4839667.0</v>
      </c>
      <c r="H1113" s="2">
        <v>111302.0</v>
      </c>
      <c r="I1113" s="2">
        <v>6916926.0</v>
      </c>
      <c r="J1113" s="2">
        <v>3682639.25</v>
      </c>
      <c r="K1113" s="2">
        <v>3234286.75</v>
      </c>
    </row>
    <row r="1114">
      <c r="A1114" s="2">
        <v>2022.0</v>
      </c>
      <c r="B1114" s="1" t="s">
        <v>1200</v>
      </c>
      <c r="C1114" s="2"/>
      <c r="D1114" s="2" t="s">
        <v>839</v>
      </c>
      <c r="E1114" s="2"/>
      <c r="F1114" s="2">
        <v>3862853.0</v>
      </c>
      <c r="G1114" s="2">
        <v>6276850.0</v>
      </c>
      <c r="H1114" s="2">
        <v>193906.0</v>
      </c>
      <c r="I1114" s="2">
        <v>1.0333609E7</v>
      </c>
      <c r="J1114" s="2">
        <v>3410589.0</v>
      </c>
      <c r="K1114" s="2">
        <v>6923020.0</v>
      </c>
    </row>
    <row r="1115">
      <c r="A1115" s="2">
        <v>2022.0</v>
      </c>
      <c r="B1115" s="1" t="s">
        <v>1200</v>
      </c>
      <c r="C1115" s="2" t="s">
        <v>280</v>
      </c>
      <c r="D1115" s="2" t="s">
        <v>924</v>
      </c>
      <c r="E1115" s="2"/>
      <c r="F1115" s="2">
        <v>4728804.7</v>
      </c>
      <c r="G1115" s="2">
        <v>4197030.0</v>
      </c>
      <c r="H1115" s="2">
        <v>83530.0</v>
      </c>
      <c r="I1115" s="2">
        <v>9009364.7</v>
      </c>
      <c r="J1115" s="2">
        <v>2608833.0</v>
      </c>
      <c r="K1115" s="2">
        <v>6400531.7</v>
      </c>
    </row>
    <row r="1116">
      <c r="A1116" s="2">
        <v>2022.0</v>
      </c>
      <c r="B1116" s="1" t="s">
        <v>1200</v>
      </c>
      <c r="C1116" s="2"/>
      <c r="D1116" s="2" t="s">
        <v>288</v>
      </c>
      <c r="E1116" s="2"/>
      <c r="F1116" s="2">
        <v>1.0385585E7</v>
      </c>
      <c r="G1116" s="2">
        <v>1.0807549E7</v>
      </c>
      <c r="H1116" s="2">
        <v>347274.0</v>
      </c>
      <c r="I1116" s="2">
        <v>2.1540408E7</v>
      </c>
      <c r="J1116" s="2">
        <v>5740261.0</v>
      </c>
      <c r="K1116" s="2">
        <v>1.5800147E7</v>
      </c>
    </row>
    <row r="1117">
      <c r="A1117" s="2">
        <v>2022.0</v>
      </c>
      <c r="B1117" s="1" t="s">
        <v>1200</v>
      </c>
      <c r="C1117" s="2"/>
      <c r="D1117" s="2" t="s">
        <v>286</v>
      </c>
      <c r="E1117" s="2"/>
      <c r="F1117" s="2">
        <v>1.132741E7</v>
      </c>
      <c r="G1117" s="2">
        <v>7150284.0</v>
      </c>
      <c r="H1117" s="2">
        <v>432672.0</v>
      </c>
      <c r="I1117" s="2">
        <v>1.8910366E7</v>
      </c>
      <c r="J1117" s="2">
        <v>2948180.0</v>
      </c>
      <c r="K1117" s="2">
        <v>1.5962186E7</v>
      </c>
    </row>
    <row r="1118">
      <c r="A1118" s="2">
        <v>2022.0</v>
      </c>
      <c r="B1118" s="1" t="s">
        <v>1200</v>
      </c>
      <c r="C1118" s="2"/>
      <c r="D1118" s="2" t="s">
        <v>280</v>
      </c>
      <c r="E1118" s="2"/>
      <c r="F1118" s="2">
        <v>5376541.0</v>
      </c>
      <c r="G1118" s="2">
        <v>8145612.0</v>
      </c>
      <c r="H1118" s="2">
        <v>171797.0</v>
      </c>
      <c r="I1118" s="2">
        <v>1.369395E7</v>
      </c>
      <c r="J1118" s="2">
        <v>5227365.0</v>
      </c>
      <c r="K1118" s="2">
        <v>8466585.0</v>
      </c>
    </row>
    <row r="1119">
      <c r="A1119" s="2">
        <v>2022.0</v>
      </c>
      <c r="B1119" s="1" t="s">
        <v>1200</v>
      </c>
      <c r="C1119" s="2"/>
      <c r="D1119" s="2" t="s">
        <v>1236</v>
      </c>
      <c r="E1119" s="2"/>
      <c r="F1119" s="2">
        <v>5573704.0</v>
      </c>
      <c r="G1119" s="2">
        <v>6667547.0</v>
      </c>
      <c r="H1119" s="2">
        <v>150652.0</v>
      </c>
      <c r="I1119" s="2">
        <v>1.2391903E7</v>
      </c>
      <c r="J1119" s="2">
        <v>5464457.0</v>
      </c>
      <c r="K1119" s="2">
        <v>6927446.0</v>
      </c>
    </row>
    <row r="1120">
      <c r="A1120" s="2">
        <v>2022.0</v>
      </c>
      <c r="B1120" s="1" t="s">
        <v>1200</v>
      </c>
      <c r="C1120" s="2" t="s">
        <v>925</v>
      </c>
      <c r="D1120" s="2" t="s">
        <v>1238</v>
      </c>
      <c r="E1120" s="2"/>
      <c r="F1120" s="2">
        <v>3989397.0</v>
      </c>
      <c r="G1120" s="2">
        <v>4766688.0</v>
      </c>
      <c r="H1120" s="2">
        <v>160548.0</v>
      </c>
      <c r="I1120" s="2">
        <v>8916633.0</v>
      </c>
      <c r="J1120" s="2">
        <v>3909136.0</v>
      </c>
      <c r="K1120" s="2">
        <v>5007497.0</v>
      </c>
    </row>
    <row r="1121">
      <c r="A1121" s="2">
        <v>2022.0</v>
      </c>
      <c r="B1121" s="1" t="s">
        <v>1200</v>
      </c>
      <c r="C1121" s="2"/>
      <c r="D1121" s="2" t="s">
        <v>931</v>
      </c>
      <c r="E1121" s="2"/>
      <c r="F1121" s="2">
        <v>7333902.0</v>
      </c>
      <c r="G1121" s="2">
        <v>7825074.0</v>
      </c>
      <c r="H1121" s="2">
        <v>347069.0</v>
      </c>
      <c r="I1121" s="2">
        <v>1.5506045E7</v>
      </c>
      <c r="J1121" s="2">
        <v>4859113.0</v>
      </c>
      <c r="K1121" s="2">
        <v>1.0646932E7</v>
      </c>
    </row>
    <row r="1122">
      <c r="A1122" s="2">
        <v>2022.0</v>
      </c>
      <c r="B1122" s="1" t="s">
        <v>1200</v>
      </c>
      <c r="C1122" s="2"/>
      <c r="D1122" s="2" t="s">
        <v>928</v>
      </c>
      <c r="E1122" s="2"/>
      <c r="F1122" s="2">
        <v>2903962.0</v>
      </c>
      <c r="G1122" s="2">
        <v>4279384.0</v>
      </c>
      <c r="H1122" s="2">
        <v>130539.0</v>
      </c>
      <c r="I1122" s="2">
        <v>7313885.0</v>
      </c>
      <c r="J1122" s="2">
        <v>3743336.0</v>
      </c>
      <c r="K1122" s="2">
        <v>3570549.0</v>
      </c>
    </row>
    <row r="1123">
      <c r="A1123" s="2">
        <v>2022.0</v>
      </c>
      <c r="B1123" s="1" t="s">
        <v>1200</v>
      </c>
      <c r="C1123" s="2"/>
      <c r="D1123" s="2" t="s">
        <v>1223</v>
      </c>
      <c r="E1123" s="2"/>
      <c r="F1123" s="2">
        <v>4314876.0</v>
      </c>
      <c r="G1123" s="2">
        <v>5363635.0</v>
      </c>
      <c r="H1123" s="2">
        <v>202969.0</v>
      </c>
      <c r="I1123" s="2">
        <v>9881480.0</v>
      </c>
      <c r="J1123" s="2">
        <v>3387290.0</v>
      </c>
      <c r="K1123" s="2">
        <v>6494190.0</v>
      </c>
    </row>
    <row r="1124">
      <c r="A1124" s="2">
        <v>2022.0</v>
      </c>
      <c r="B1124" s="1" t="s">
        <v>1200</v>
      </c>
      <c r="C1124" s="2"/>
      <c r="D1124" s="2" t="s">
        <v>1239</v>
      </c>
      <c r="E1124" s="2"/>
      <c r="F1124" s="2">
        <v>4637388.0</v>
      </c>
      <c r="G1124" s="2">
        <v>5613120.0</v>
      </c>
      <c r="H1124" s="2">
        <v>192731.0</v>
      </c>
      <c r="I1124" s="2">
        <v>1.0443239E7</v>
      </c>
      <c r="J1124" s="2">
        <v>4783295.0</v>
      </c>
      <c r="K1124" s="2">
        <v>5659944.0</v>
      </c>
    </row>
    <row r="1125">
      <c r="A1125" s="2">
        <v>2022.0</v>
      </c>
      <c r="B1125" s="1" t="s">
        <v>1200</v>
      </c>
      <c r="C1125" s="2"/>
      <c r="D1125" s="2" t="s">
        <v>1240</v>
      </c>
      <c r="E1125" s="2"/>
      <c r="F1125" s="2">
        <v>4653928.0</v>
      </c>
      <c r="G1125" s="2">
        <v>8424880.0</v>
      </c>
      <c r="H1125" s="2">
        <v>241259.0</v>
      </c>
      <c r="I1125" s="2">
        <v>1.3320067E7</v>
      </c>
      <c r="J1125" s="2">
        <v>4843673.0</v>
      </c>
      <c r="K1125" s="2">
        <v>8476394.0</v>
      </c>
    </row>
    <row r="1126">
      <c r="A1126" s="2">
        <v>2022.0</v>
      </c>
      <c r="B1126" s="1" t="s">
        <v>1200</v>
      </c>
      <c r="C1126" s="2" t="s">
        <v>63</v>
      </c>
      <c r="D1126" s="2" t="s">
        <v>68</v>
      </c>
      <c r="E1126" s="2"/>
      <c r="F1126" s="2">
        <v>77089.0</v>
      </c>
      <c r="G1126" s="2">
        <v>88077.0</v>
      </c>
      <c r="H1126" s="2">
        <v>28000.0</v>
      </c>
      <c r="I1126" s="2">
        <v>193166.0</v>
      </c>
      <c r="J1126" s="2">
        <v>108886.0</v>
      </c>
      <c r="K1126" s="2">
        <v>84280.0</v>
      </c>
    </row>
    <row r="1127">
      <c r="A1127" s="2">
        <v>2022.0</v>
      </c>
      <c r="B1127" s="1" t="s">
        <v>1200</v>
      </c>
      <c r="C1127" s="2"/>
      <c r="D1127" s="2" t="s">
        <v>77</v>
      </c>
      <c r="E1127" s="2"/>
      <c r="F1127" s="2">
        <v>2356141.0</v>
      </c>
      <c r="G1127" s="2">
        <v>6861692.0</v>
      </c>
      <c r="H1127" s="2">
        <v>127399.0</v>
      </c>
      <c r="I1127" s="2">
        <v>9345232.0</v>
      </c>
      <c r="J1127" s="2">
        <v>4707296.0</v>
      </c>
      <c r="K1127" s="2">
        <v>4637936.0</v>
      </c>
    </row>
    <row r="1128">
      <c r="A1128" s="2">
        <v>2022.0</v>
      </c>
      <c r="B1128" s="1" t="s">
        <v>1200</v>
      </c>
      <c r="C1128" s="2"/>
      <c r="D1128" s="2" t="s">
        <v>73</v>
      </c>
      <c r="E1128" s="2"/>
      <c r="F1128" s="2">
        <v>2467268.0</v>
      </c>
      <c r="G1128" s="2">
        <v>4046916.0</v>
      </c>
      <c r="H1128" s="2">
        <v>75000.0</v>
      </c>
      <c r="I1128" s="2">
        <v>6589184.0</v>
      </c>
      <c r="J1128" s="2">
        <v>2262326.0</v>
      </c>
      <c r="K1128" s="2">
        <v>4326858.0</v>
      </c>
    </row>
    <row r="1129">
      <c r="A1129" s="2">
        <v>2022.0</v>
      </c>
      <c r="B1129" s="1" t="s">
        <v>1200</v>
      </c>
      <c r="C1129" s="2"/>
      <c r="D1129" s="2" t="s">
        <v>64</v>
      </c>
      <c r="E1129" s="2"/>
      <c r="F1129" s="2">
        <v>2749218.0</v>
      </c>
      <c r="G1129" s="2">
        <v>5690343.0</v>
      </c>
      <c r="H1129" s="2">
        <v>52512.0</v>
      </c>
      <c r="I1129" s="2">
        <v>8492073.0</v>
      </c>
      <c r="J1129" s="2">
        <v>2168643.0</v>
      </c>
      <c r="K1129" s="2">
        <v>6323430.0</v>
      </c>
    </row>
    <row r="1130">
      <c r="A1130" s="2">
        <v>2022.0</v>
      </c>
      <c r="B1130" s="1" t="s">
        <v>1200</v>
      </c>
      <c r="C1130" s="2" t="s">
        <v>176</v>
      </c>
      <c r="D1130" s="2" t="s">
        <v>456</v>
      </c>
      <c r="E1130" s="2"/>
      <c r="F1130" s="2">
        <v>695364.0</v>
      </c>
      <c r="G1130" s="2">
        <v>2411088.0</v>
      </c>
      <c r="H1130" s="2">
        <v>35291.0</v>
      </c>
      <c r="I1130" s="2">
        <v>3141743.0</v>
      </c>
      <c r="J1130" s="2">
        <v>1655414.0</v>
      </c>
      <c r="K1130" s="2">
        <v>1486329.0</v>
      </c>
    </row>
    <row r="1131">
      <c r="A1131" s="2">
        <v>2022.0</v>
      </c>
      <c r="B1131" s="1" t="s">
        <v>1200</v>
      </c>
      <c r="C1131" s="2"/>
      <c r="D1131" s="2" t="s">
        <v>193</v>
      </c>
      <c r="E1131" s="2"/>
      <c r="F1131" s="2">
        <v>2905542.0</v>
      </c>
      <c r="G1131" s="2">
        <v>5476010.0</v>
      </c>
      <c r="H1131" s="2">
        <v>156114.0</v>
      </c>
      <c r="I1131" s="2">
        <v>8537666.0</v>
      </c>
      <c r="J1131" s="2">
        <v>3781418.0</v>
      </c>
      <c r="K1131" s="2">
        <v>4756248.0</v>
      </c>
    </row>
    <row r="1132">
      <c r="A1132" s="2">
        <v>2022.0</v>
      </c>
      <c r="B1132" s="1" t="s">
        <v>1200</v>
      </c>
      <c r="C1132" s="2"/>
      <c r="D1132" s="2" t="s">
        <v>1244</v>
      </c>
      <c r="E1132" s="2"/>
      <c r="F1132" s="2">
        <v>1310569.0</v>
      </c>
      <c r="G1132" s="2">
        <v>2344674.0</v>
      </c>
      <c r="H1132" s="2">
        <v>74847.0</v>
      </c>
      <c r="I1132" s="2">
        <v>3730090.0</v>
      </c>
      <c r="J1132" s="2">
        <v>1094306.0</v>
      </c>
      <c r="K1132" s="2">
        <v>2635784.0</v>
      </c>
    </row>
    <row r="1133">
      <c r="A1133" s="2">
        <v>2022.0</v>
      </c>
      <c r="B1133" s="1" t="s">
        <v>1200</v>
      </c>
      <c r="C1133" s="2"/>
      <c r="D1133" s="2" t="s">
        <v>1246</v>
      </c>
      <c r="E1133" s="2"/>
      <c r="F1133" s="2">
        <v>2732828.0</v>
      </c>
      <c r="G1133" s="2">
        <v>4187314.0</v>
      </c>
      <c r="H1133" s="2">
        <v>123001.0</v>
      </c>
      <c r="I1133" s="2">
        <v>7043143.0</v>
      </c>
      <c r="J1133" s="2">
        <v>3240939.0</v>
      </c>
      <c r="K1133" s="2">
        <v>3802204.0</v>
      </c>
    </row>
    <row r="1134">
      <c r="A1134" s="2">
        <v>2022.0</v>
      </c>
      <c r="B1134" s="1" t="s">
        <v>1200</v>
      </c>
      <c r="C1134" s="2"/>
      <c r="D1134" s="2" t="s">
        <v>176</v>
      </c>
      <c r="E1134" s="2"/>
      <c r="F1134" s="2">
        <v>2519184.0</v>
      </c>
      <c r="G1134" s="2">
        <v>3517018.0</v>
      </c>
      <c r="H1134" s="2">
        <v>132051.0</v>
      </c>
      <c r="I1134" s="2">
        <v>6168253.0</v>
      </c>
      <c r="J1134" s="2">
        <v>1527347.0</v>
      </c>
      <c r="K1134" s="2">
        <v>4640906.0</v>
      </c>
    </row>
    <row r="1135">
      <c r="A1135" s="2">
        <v>2022.0</v>
      </c>
      <c r="B1135" s="1" t="s">
        <v>1200</v>
      </c>
      <c r="C1135" s="2"/>
      <c r="D1135" s="2" t="s">
        <v>747</v>
      </c>
      <c r="E1135" s="2"/>
      <c r="F1135" s="2">
        <v>2870520.0</v>
      </c>
      <c r="G1135" s="2">
        <v>395067.0</v>
      </c>
      <c r="H1135" s="2">
        <v>116840.0</v>
      </c>
      <c r="I1135" s="2">
        <v>6736683.0</v>
      </c>
      <c r="J1135" s="2">
        <v>2109706.0</v>
      </c>
      <c r="K1135" s="2">
        <v>4626977.0</v>
      </c>
    </row>
    <row r="1136">
      <c r="A1136" s="2">
        <v>2022.0</v>
      </c>
      <c r="B1136" s="1" t="s">
        <v>1200</v>
      </c>
      <c r="C1136" s="2" t="s">
        <v>844</v>
      </c>
      <c r="D1136" s="2" t="s">
        <v>265</v>
      </c>
      <c r="E1136" s="2"/>
      <c r="F1136" s="2">
        <v>3368312.0</v>
      </c>
      <c r="G1136" s="2">
        <v>4059889.0</v>
      </c>
      <c r="H1136" s="2">
        <v>106596.0</v>
      </c>
      <c r="I1136" s="2">
        <v>7534797.0</v>
      </c>
      <c r="J1136" s="2">
        <v>2141024.0</v>
      </c>
      <c r="K1136" s="2">
        <v>5393773.0</v>
      </c>
    </row>
    <row r="1137">
      <c r="A1137" s="2">
        <v>2022.0</v>
      </c>
      <c r="B1137" s="1" t="s">
        <v>1200</v>
      </c>
      <c r="C1137" s="2"/>
      <c r="D1137" s="2" t="s">
        <v>245</v>
      </c>
      <c r="E1137" s="2"/>
      <c r="F1137" s="2">
        <v>4088311.0</v>
      </c>
      <c r="G1137" s="2">
        <v>5086694.0</v>
      </c>
      <c r="H1137" s="2">
        <v>131467.0</v>
      </c>
      <c r="I1137" s="2">
        <v>9306472.0</v>
      </c>
      <c r="J1137" s="2">
        <v>2675817.0</v>
      </c>
      <c r="K1137" s="2">
        <v>6630655.0</v>
      </c>
    </row>
    <row r="1138">
      <c r="A1138" s="2">
        <v>2022.0</v>
      </c>
      <c r="B1138" s="1" t="s">
        <v>1200</v>
      </c>
      <c r="C1138" s="2"/>
      <c r="D1138" s="2" t="s">
        <v>1160</v>
      </c>
      <c r="E1138" s="2"/>
      <c r="F1138" s="2">
        <v>4049630.0</v>
      </c>
      <c r="G1138" s="2">
        <v>3541214.0</v>
      </c>
      <c r="H1138" s="2">
        <v>130762.0</v>
      </c>
      <c r="I1138" s="2">
        <v>7721606.0</v>
      </c>
      <c r="J1138" s="2">
        <v>3215045.0</v>
      </c>
      <c r="K1138" s="2">
        <v>4506561.0</v>
      </c>
    </row>
    <row r="1139">
      <c r="A1139" s="2">
        <v>2022.0</v>
      </c>
      <c r="B1139" s="1" t="s">
        <v>1200</v>
      </c>
      <c r="C1139" s="2"/>
      <c r="D1139" s="2" t="s">
        <v>274</v>
      </c>
      <c r="E1139" s="2"/>
      <c r="F1139" s="2">
        <v>2527018.0</v>
      </c>
      <c r="G1139" s="2">
        <v>3754711.0</v>
      </c>
      <c r="H1139" s="2">
        <v>84403.0</v>
      </c>
      <c r="I1139" s="2">
        <v>6366132.0</v>
      </c>
      <c r="J1139" s="2">
        <v>2653741.0</v>
      </c>
      <c r="K1139" s="2">
        <v>3712391.0</v>
      </c>
    </row>
    <row r="1140">
      <c r="A1140" s="2">
        <v>2022.0</v>
      </c>
      <c r="B1140" s="1" t="s">
        <v>1200</v>
      </c>
      <c r="C1140" s="2"/>
      <c r="D1140" s="2" t="s">
        <v>241</v>
      </c>
      <c r="E1140" s="2"/>
      <c r="F1140" s="2">
        <v>2670807.0</v>
      </c>
      <c r="G1140" s="2">
        <v>3954566.0</v>
      </c>
      <c r="H1140" s="2">
        <v>50279.0</v>
      </c>
      <c r="I1140" s="2">
        <v>6675652.0</v>
      </c>
      <c r="J1140" s="2">
        <v>2601484.0</v>
      </c>
      <c r="K1140" s="2">
        <v>4074168.0</v>
      </c>
    </row>
    <row r="1141">
      <c r="A1141" s="2">
        <v>2022.0</v>
      </c>
      <c r="B1141" s="1" t="s">
        <v>1200</v>
      </c>
      <c r="C1141" s="2"/>
      <c r="D1141" s="2" t="s">
        <v>848</v>
      </c>
      <c r="E1141" s="2"/>
      <c r="F1141" s="2">
        <v>3766836.0</v>
      </c>
      <c r="G1141" s="2">
        <v>5888738.0</v>
      </c>
      <c r="H1141" s="2">
        <v>122125.0</v>
      </c>
      <c r="I1141" s="2">
        <v>9777699.0</v>
      </c>
      <c r="J1141" s="2">
        <v>4286478.0</v>
      </c>
      <c r="K1141" s="2">
        <v>5491221.0</v>
      </c>
    </row>
    <row r="1142">
      <c r="A1142" s="2">
        <v>2022.0</v>
      </c>
      <c r="B1142" s="1" t="s">
        <v>1200</v>
      </c>
      <c r="C1142" s="2"/>
      <c r="D1142" s="2" t="s">
        <v>1252</v>
      </c>
      <c r="E1142" s="2"/>
      <c r="F1142" s="2">
        <v>2051383.0</v>
      </c>
      <c r="G1142" s="2">
        <v>4276677.0</v>
      </c>
      <c r="H1142" s="2">
        <v>59013.0</v>
      </c>
      <c r="I1142" s="2">
        <v>6387073.0</v>
      </c>
      <c r="J1142" s="2">
        <v>3052207.0</v>
      </c>
      <c r="K1142" s="2">
        <v>3334866.0</v>
      </c>
    </row>
    <row r="1143">
      <c r="A1143" s="2">
        <v>2022.0</v>
      </c>
      <c r="B1143" s="1" t="s">
        <v>1200</v>
      </c>
      <c r="C1143" s="2"/>
      <c r="D1143" s="2" t="s">
        <v>1254</v>
      </c>
      <c r="E1143" s="2"/>
      <c r="F1143" s="2">
        <v>3003698.0</v>
      </c>
      <c r="G1143" s="2">
        <v>4100527.0</v>
      </c>
      <c r="H1143" s="2">
        <v>110098.0</v>
      </c>
      <c r="I1143" s="2">
        <v>7214323.0</v>
      </c>
      <c r="J1143" s="2">
        <v>3221608.0</v>
      </c>
      <c r="K1143" s="2">
        <v>3992715.0</v>
      </c>
    </row>
    <row r="1144">
      <c r="A1144" s="2">
        <v>2022.0</v>
      </c>
      <c r="B1144" s="1" t="s">
        <v>1200</v>
      </c>
      <c r="C1144" s="2"/>
      <c r="D1144" s="2" t="s">
        <v>253</v>
      </c>
      <c r="E1144" s="2"/>
      <c r="F1144" s="2">
        <v>4755906.0</v>
      </c>
      <c r="G1144" s="2">
        <v>5841825.0</v>
      </c>
      <c r="H1144" s="2">
        <v>138333.0</v>
      </c>
      <c r="I1144" s="2">
        <v>1.0736064E7</v>
      </c>
      <c r="J1144" s="2">
        <v>4453011.0</v>
      </c>
      <c r="K1144" s="2">
        <v>6283053.0</v>
      </c>
    </row>
    <row r="1145">
      <c r="A1145" s="2">
        <v>2022.0</v>
      </c>
      <c r="B1145" s="1" t="s">
        <v>1200</v>
      </c>
      <c r="C1145" s="2"/>
      <c r="D1145" s="2" t="s">
        <v>1258</v>
      </c>
      <c r="E1145" s="2"/>
      <c r="F1145" s="2">
        <v>1756314.0</v>
      </c>
      <c r="G1145" s="2">
        <v>4630138.0</v>
      </c>
      <c r="H1145" s="2">
        <v>80100.0</v>
      </c>
      <c r="I1145" s="2">
        <v>6466552.0</v>
      </c>
      <c r="J1145" s="2">
        <v>3067176.0</v>
      </c>
      <c r="K1145" s="2">
        <v>3399376.0</v>
      </c>
    </row>
    <row r="1146">
      <c r="A1146" s="2">
        <v>2022.0</v>
      </c>
      <c r="B1146" s="1" t="s">
        <v>1200</v>
      </c>
      <c r="C1146" s="2" t="s">
        <v>623</v>
      </c>
      <c r="D1146" s="2" t="s">
        <v>958</v>
      </c>
      <c r="E1146" s="2"/>
      <c r="F1146" s="2">
        <v>1327772.0</v>
      </c>
      <c r="G1146" s="2">
        <v>2248280.0</v>
      </c>
      <c r="H1146" s="2">
        <v>60118.0</v>
      </c>
      <c r="I1146" s="2">
        <v>3636170.0</v>
      </c>
      <c r="J1146" s="2">
        <v>2163619.0</v>
      </c>
      <c r="K1146" s="2">
        <v>1472551.0</v>
      </c>
    </row>
    <row r="1147">
      <c r="A1147" s="2">
        <v>2022.0</v>
      </c>
      <c r="B1147" s="1" t="s">
        <v>1200</v>
      </c>
      <c r="C1147" s="2"/>
      <c r="D1147" s="2" t="s">
        <v>815</v>
      </c>
      <c r="E1147" s="2"/>
      <c r="F1147" s="2">
        <v>1823769.0</v>
      </c>
      <c r="G1147" s="2">
        <v>2757296.0</v>
      </c>
      <c r="H1147" s="2">
        <v>51434.0</v>
      </c>
      <c r="I1147" s="2">
        <v>4632499.0</v>
      </c>
      <c r="J1147" s="2">
        <v>3030846.0</v>
      </c>
      <c r="K1147" s="2">
        <v>1601653.0</v>
      </c>
    </row>
    <row r="1148">
      <c r="A1148" s="2">
        <v>2022.0</v>
      </c>
      <c r="B1148" s="1" t="s">
        <v>1200</v>
      </c>
      <c r="C1148" s="2"/>
      <c r="D1148" s="2" t="s">
        <v>979</v>
      </c>
      <c r="E1148" s="2"/>
      <c r="F1148" s="2">
        <v>1364022.0</v>
      </c>
      <c r="G1148" s="2">
        <v>3816792.0</v>
      </c>
      <c r="H1148" s="2">
        <v>66399.0</v>
      </c>
      <c r="I1148" s="2">
        <v>5247213.0</v>
      </c>
      <c r="J1148" s="2">
        <v>3132137.0</v>
      </c>
      <c r="K1148" s="2">
        <v>2115076.0</v>
      </c>
    </row>
    <row r="1149">
      <c r="A1149" s="2">
        <v>2022.0</v>
      </c>
      <c r="B1149" s="1" t="s">
        <v>1200</v>
      </c>
      <c r="C1149" s="2"/>
      <c r="D1149" s="2" t="s">
        <v>623</v>
      </c>
      <c r="E1149" s="2"/>
      <c r="F1149" s="2">
        <v>1716796.0</v>
      </c>
      <c r="G1149" s="2">
        <v>4480818.0</v>
      </c>
      <c r="H1149" s="2">
        <v>55950.0</v>
      </c>
      <c r="I1149" s="2">
        <v>6253564.0</v>
      </c>
      <c r="J1149" s="2">
        <v>5667585.0</v>
      </c>
      <c r="K1149" s="2">
        <v>585979.0</v>
      </c>
    </row>
    <row r="1150">
      <c r="A1150" s="2">
        <v>2022.0</v>
      </c>
      <c r="B1150" s="1" t="s">
        <v>1200</v>
      </c>
      <c r="C1150" s="2"/>
      <c r="D1150" s="2" t="s">
        <v>953</v>
      </c>
      <c r="E1150" s="2"/>
      <c r="F1150" s="2">
        <v>1427736.0</v>
      </c>
      <c r="G1150" s="2">
        <v>2872200.0</v>
      </c>
      <c r="H1150" s="2">
        <v>67463.0</v>
      </c>
      <c r="I1150" s="2">
        <v>4367399.0</v>
      </c>
      <c r="J1150" s="2">
        <v>2555108.0</v>
      </c>
      <c r="K1150" s="2">
        <v>1812291.0</v>
      </c>
    </row>
    <row r="1151">
      <c r="A1151" s="2">
        <v>2022.0</v>
      </c>
      <c r="B1151" s="1" t="s">
        <v>1200</v>
      </c>
      <c r="C1151" s="2"/>
      <c r="D1151" s="2" t="s">
        <v>1260</v>
      </c>
      <c r="E1151" s="2"/>
      <c r="F1151" s="2">
        <v>1337877.0</v>
      </c>
      <c r="G1151" s="2">
        <v>4021613.0</v>
      </c>
      <c r="H1151" s="2">
        <v>77554.0</v>
      </c>
      <c r="I1151" s="2">
        <v>5437044.0</v>
      </c>
      <c r="J1151" s="2">
        <v>2677653.0</v>
      </c>
      <c r="K1151" s="2">
        <v>2759391.0</v>
      </c>
    </row>
    <row r="1152">
      <c r="A1152" s="2">
        <v>2022.0</v>
      </c>
      <c r="B1152" s="1" t="s">
        <v>1200</v>
      </c>
      <c r="C1152" s="2" t="s">
        <v>764</v>
      </c>
      <c r="D1152" s="2" t="s">
        <v>884</v>
      </c>
      <c r="E1152" s="2"/>
      <c r="F1152" s="2">
        <v>768107.0</v>
      </c>
      <c r="G1152" s="2">
        <v>2421417.0</v>
      </c>
      <c r="H1152" s="2">
        <v>23947.0</v>
      </c>
      <c r="I1152" s="2">
        <v>3213471.0</v>
      </c>
      <c r="J1152" s="2">
        <v>1828265.0</v>
      </c>
      <c r="K1152" s="2">
        <v>1385206.0</v>
      </c>
    </row>
    <row r="1153">
      <c r="A1153" s="2">
        <v>2022.0</v>
      </c>
      <c r="B1153" s="1" t="s">
        <v>1200</v>
      </c>
      <c r="C1153" s="2"/>
      <c r="D1153" s="2" t="s">
        <v>1262</v>
      </c>
      <c r="E1153" s="2"/>
      <c r="F1153" s="2">
        <v>2449226.0</v>
      </c>
      <c r="G1153" s="2">
        <v>4316116.0</v>
      </c>
      <c r="H1153" s="2">
        <v>59313.0</v>
      </c>
      <c r="I1153" s="2">
        <v>6824655.0</v>
      </c>
      <c r="J1153" s="2">
        <v>3907503.0</v>
      </c>
      <c r="K1153" s="2">
        <v>2917152.0</v>
      </c>
    </row>
    <row r="1154">
      <c r="A1154" s="2">
        <v>2022.0</v>
      </c>
      <c r="B1154" s="1" t="s">
        <v>1200</v>
      </c>
      <c r="C1154" s="2" t="s">
        <v>1265</v>
      </c>
      <c r="D1154" s="2" t="s">
        <v>1145</v>
      </c>
      <c r="E1154" s="2"/>
      <c r="F1154" s="2">
        <v>1607971.0</v>
      </c>
      <c r="G1154" s="2">
        <v>7975426.0</v>
      </c>
      <c r="H1154" s="2">
        <v>49613.0</v>
      </c>
      <c r="I1154" s="2">
        <v>9633010.0</v>
      </c>
      <c r="J1154" s="2">
        <v>7600137.0</v>
      </c>
      <c r="K1154" s="2">
        <v>2043782.0</v>
      </c>
    </row>
    <row r="1155">
      <c r="A1155" s="2">
        <v>2022.0</v>
      </c>
      <c r="B1155" s="1" t="s">
        <v>1200</v>
      </c>
      <c r="C1155" s="2"/>
      <c r="D1155" s="2" t="s">
        <v>984</v>
      </c>
      <c r="E1155" s="2"/>
      <c r="F1155" s="2">
        <v>3685924.0</v>
      </c>
      <c r="G1155" s="2">
        <v>1597245.0</v>
      </c>
      <c r="H1155" s="2">
        <v>66338.0</v>
      </c>
      <c r="I1155" s="2">
        <v>5349507.0</v>
      </c>
      <c r="J1155" s="2">
        <v>-1279957.0</v>
      </c>
      <c r="K1155" s="2">
        <v>6629464.0</v>
      </c>
    </row>
    <row r="1156">
      <c r="A1156" s="2">
        <v>2022.0</v>
      </c>
      <c r="B1156" s="1" t="s">
        <v>1200</v>
      </c>
      <c r="C1156" s="2"/>
      <c r="D1156" s="2" t="s">
        <v>758</v>
      </c>
      <c r="E1156" s="2"/>
      <c r="F1156" s="2">
        <v>2698112.0</v>
      </c>
      <c r="G1156" s="2">
        <v>5765147.0</v>
      </c>
      <c r="H1156" s="2">
        <v>0.0</v>
      </c>
      <c r="I1156" s="2">
        <v>8463259.0</v>
      </c>
      <c r="J1156" s="2">
        <v>3886273.0</v>
      </c>
      <c r="K1156" s="2">
        <v>4576986.0</v>
      </c>
    </row>
    <row r="1157">
      <c r="A1157" s="2">
        <v>2022.0</v>
      </c>
      <c r="B1157" s="1" t="s">
        <v>1200</v>
      </c>
      <c r="C1157" s="2"/>
      <c r="D1157" s="2" t="s">
        <v>756</v>
      </c>
      <c r="E1157" s="2"/>
      <c r="F1157" s="2">
        <v>5814701.0</v>
      </c>
      <c r="G1157" s="2">
        <v>8386450.0</v>
      </c>
      <c r="H1157" s="2">
        <v>305051.0</v>
      </c>
      <c r="I1157" s="2">
        <v>1.4506202E7</v>
      </c>
      <c r="J1157" s="2">
        <v>3258713.0</v>
      </c>
      <c r="K1157" s="2">
        <v>1.1247489E7</v>
      </c>
    </row>
    <row r="1158">
      <c r="A1158" s="2">
        <v>2022.0</v>
      </c>
      <c r="B1158" s="1" t="s">
        <v>1200</v>
      </c>
      <c r="C1158" s="2" t="s">
        <v>28</v>
      </c>
      <c r="D1158" s="2" t="s">
        <v>998</v>
      </c>
      <c r="E1158" s="2"/>
      <c r="F1158" s="2">
        <v>1783010.0</v>
      </c>
      <c r="G1158" s="2">
        <v>4596866.0</v>
      </c>
      <c r="H1158" s="2">
        <v>94654.0</v>
      </c>
      <c r="I1158" s="2">
        <v>6474530.0</v>
      </c>
      <c r="J1158" s="2">
        <v>3170545.0</v>
      </c>
      <c r="K1158" s="2">
        <v>3303985.0</v>
      </c>
    </row>
    <row r="1159">
      <c r="A1159" s="2">
        <v>2022.0</v>
      </c>
      <c r="B1159" s="1" t="s">
        <v>1200</v>
      </c>
      <c r="C1159" s="2"/>
      <c r="D1159" s="2" t="s">
        <v>36</v>
      </c>
      <c r="E1159" s="2"/>
      <c r="F1159" s="2">
        <v>2232758.0</v>
      </c>
      <c r="G1159" s="2">
        <v>4161296.0</v>
      </c>
      <c r="H1159" s="2">
        <v>133528.0</v>
      </c>
      <c r="I1159" s="2">
        <v>6527582.0</v>
      </c>
      <c r="J1159" s="2">
        <v>2156893.0</v>
      </c>
      <c r="K1159" s="2">
        <v>4370689.0</v>
      </c>
    </row>
    <row r="1160">
      <c r="A1160" s="2">
        <v>2022.0</v>
      </c>
      <c r="B1160" s="1" t="s">
        <v>1200</v>
      </c>
      <c r="C1160" s="2"/>
      <c r="D1160" s="2" t="s">
        <v>993</v>
      </c>
      <c r="E1160" s="2"/>
      <c r="F1160" s="2">
        <v>2635794.0</v>
      </c>
      <c r="G1160" s="2">
        <v>4319727.0</v>
      </c>
      <c r="H1160" s="2">
        <v>106083.0</v>
      </c>
      <c r="I1160" s="2">
        <v>7061604.0</v>
      </c>
      <c r="J1160" s="2">
        <v>3621021.0</v>
      </c>
      <c r="K1160" s="2">
        <v>3546083.0</v>
      </c>
    </row>
    <row r="1161">
      <c r="A1161" s="2">
        <v>2022.0</v>
      </c>
      <c r="B1161" s="1" t="s">
        <v>1200</v>
      </c>
      <c r="C1161" s="2"/>
      <c r="D1161" s="2" t="s">
        <v>28</v>
      </c>
      <c r="E1161" s="2"/>
      <c r="F1161" s="2">
        <v>4477393.0</v>
      </c>
      <c r="G1161" s="2">
        <v>5303916.0</v>
      </c>
      <c r="H1161" s="2">
        <v>203904.0</v>
      </c>
      <c r="I1161" s="2">
        <v>9985213.0</v>
      </c>
      <c r="J1161" s="2">
        <v>3399587.0</v>
      </c>
      <c r="K1161" s="2">
        <v>6585626.0</v>
      </c>
    </row>
    <row r="1162">
      <c r="A1162" s="2">
        <v>2022.0</v>
      </c>
      <c r="B1162" s="1" t="s">
        <v>1200</v>
      </c>
      <c r="C1162" s="2" t="s">
        <v>1273</v>
      </c>
      <c r="D1162" s="2" t="s">
        <v>1274</v>
      </c>
      <c r="E1162" s="2"/>
      <c r="F1162" s="2">
        <v>1804953.0</v>
      </c>
      <c r="G1162" s="2">
        <v>3339035.0</v>
      </c>
      <c r="H1162" s="2">
        <v>95401.0</v>
      </c>
      <c r="I1162" s="2">
        <v>5239389.0</v>
      </c>
      <c r="J1162" s="2">
        <v>1914463.0</v>
      </c>
      <c r="K1162" s="2">
        <v>3324926.0</v>
      </c>
    </row>
    <row r="1163">
      <c r="A1163" s="2">
        <v>2022.0</v>
      </c>
      <c r="B1163" s="1" t="s">
        <v>1200</v>
      </c>
      <c r="C1163" s="2"/>
      <c r="D1163" s="2" t="s">
        <v>297</v>
      </c>
      <c r="E1163" s="2"/>
      <c r="F1163" s="2">
        <v>2381957.0</v>
      </c>
      <c r="G1163" s="2">
        <v>8660461.0</v>
      </c>
      <c r="H1163" s="2">
        <v>68651.0</v>
      </c>
      <c r="I1163" s="2">
        <v>1.1111069E7</v>
      </c>
      <c r="J1163" s="2">
        <v>7188571.0</v>
      </c>
      <c r="K1163" s="2">
        <v>3922498.0</v>
      </c>
    </row>
    <row r="1164">
      <c r="A1164" s="2">
        <v>2022.0</v>
      </c>
      <c r="B1164" s="1" t="s">
        <v>1200</v>
      </c>
      <c r="C1164" s="2" t="s">
        <v>1006</v>
      </c>
      <c r="D1164" s="2" t="s">
        <v>1276</v>
      </c>
      <c r="E1164" s="2"/>
      <c r="F1164" s="2">
        <v>273888.0</v>
      </c>
      <c r="G1164" s="2">
        <v>4561712.0</v>
      </c>
      <c r="H1164" s="2">
        <v>43767.0</v>
      </c>
      <c r="I1164" s="2">
        <v>4879367.0</v>
      </c>
      <c r="J1164" s="2">
        <v>2548957.0</v>
      </c>
      <c r="K1164" s="2">
        <v>2330410.0</v>
      </c>
    </row>
    <row r="1165">
      <c r="A1165" s="2">
        <v>2022.0</v>
      </c>
      <c r="B1165" s="1" t="s">
        <v>1200</v>
      </c>
      <c r="C1165" s="2"/>
      <c r="D1165" s="2" t="s">
        <v>1012</v>
      </c>
      <c r="E1165" s="2"/>
      <c r="F1165" s="2">
        <v>1876885.0</v>
      </c>
      <c r="G1165" s="2">
        <v>4370938.0</v>
      </c>
      <c r="H1165" s="2">
        <v>101225.0</v>
      </c>
      <c r="I1165" s="2">
        <v>6349048.0</v>
      </c>
      <c r="J1165" s="2">
        <v>2627078.0</v>
      </c>
      <c r="K1165" s="2">
        <v>3721970.0</v>
      </c>
    </row>
    <row r="1166">
      <c r="A1166" s="2">
        <v>2022.0</v>
      </c>
      <c r="B1166" s="1" t="s">
        <v>1200</v>
      </c>
      <c r="C1166" s="2"/>
      <c r="D1166" s="2" t="s">
        <v>1006</v>
      </c>
      <c r="E1166" s="2"/>
      <c r="F1166" s="2">
        <v>1945395.0</v>
      </c>
      <c r="G1166" s="2">
        <v>3763250.0</v>
      </c>
      <c r="H1166" s="2">
        <v>103581.0</v>
      </c>
      <c r="I1166" s="2">
        <v>5812226.0</v>
      </c>
      <c r="J1166" s="2">
        <v>1965774.0</v>
      </c>
      <c r="K1166" s="2">
        <v>3846452.0</v>
      </c>
    </row>
    <row r="1167">
      <c r="A1167" s="2">
        <v>2022.0</v>
      </c>
      <c r="B1167" s="1" t="s">
        <v>1200</v>
      </c>
      <c r="C1167" s="2"/>
      <c r="D1167" s="2" t="s">
        <v>1029</v>
      </c>
      <c r="E1167" s="2"/>
      <c r="F1167" s="2">
        <v>4744267.0</v>
      </c>
      <c r="G1167" s="2">
        <v>7222115.0</v>
      </c>
      <c r="H1167" s="2">
        <v>198185.0</v>
      </c>
      <c r="I1167" s="2">
        <v>1.2164567E7</v>
      </c>
      <c r="J1167" s="2">
        <v>3595351.0</v>
      </c>
      <c r="K1167" s="2">
        <v>8569216.0</v>
      </c>
    </row>
    <row r="1168">
      <c r="A1168" s="2">
        <v>2022.0</v>
      </c>
      <c r="B1168" s="1" t="s">
        <v>1200</v>
      </c>
      <c r="C1168" s="2"/>
      <c r="D1168" s="2" t="s">
        <v>1008</v>
      </c>
      <c r="E1168" s="2"/>
      <c r="F1168" s="2">
        <v>2191950.0</v>
      </c>
      <c r="G1168" s="2">
        <v>5077203.0</v>
      </c>
      <c r="H1168" s="2">
        <v>122324.0</v>
      </c>
      <c r="I1168" s="2">
        <v>7391477.0</v>
      </c>
      <c r="J1168" s="2">
        <v>3829253.0</v>
      </c>
      <c r="K1168" s="2">
        <v>3562224.0</v>
      </c>
    </row>
    <row r="1169">
      <c r="A1169" s="2">
        <v>2022.0</v>
      </c>
      <c r="B1169" s="1" t="s">
        <v>1200</v>
      </c>
      <c r="C1169" s="2"/>
      <c r="D1169" s="2" t="s">
        <v>1011</v>
      </c>
      <c r="E1169" s="2"/>
      <c r="F1169" s="2">
        <v>3800246.0</v>
      </c>
      <c r="G1169" s="2">
        <v>6178245.0</v>
      </c>
      <c r="H1169" s="2">
        <v>159792.0</v>
      </c>
      <c r="I1169" s="2">
        <v>1.0138283E7</v>
      </c>
      <c r="J1169" s="2">
        <v>5476855.0</v>
      </c>
      <c r="K1169" s="2">
        <v>4661428.0</v>
      </c>
    </row>
    <row r="1170">
      <c r="A1170" s="2">
        <v>2022.0</v>
      </c>
      <c r="B1170" s="1" t="s">
        <v>1200</v>
      </c>
      <c r="C1170" s="2"/>
      <c r="D1170" s="2" t="s">
        <v>1010</v>
      </c>
      <c r="E1170" s="2"/>
      <c r="F1170" s="2">
        <v>1481390.0</v>
      </c>
      <c r="G1170" s="2">
        <v>3969324.0</v>
      </c>
      <c r="H1170" s="2">
        <v>77113.0</v>
      </c>
      <c r="I1170" s="2">
        <v>5527827.0</v>
      </c>
      <c r="J1170" s="2">
        <v>3242086.0</v>
      </c>
      <c r="K1170" s="2">
        <v>2285741.0</v>
      </c>
    </row>
    <row r="1171">
      <c r="A1171" s="2">
        <v>2022.0</v>
      </c>
      <c r="B1171" s="1" t="s">
        <v>1200</v>
      </c>
      <c r="C1171" s="2"/>
      <c r="D1171" s="2" t="s">
        <v>1281</v>
      </c>
      <c r="E1171" s="2"/>
      <c r="F1171" s="2">
        <v>1565967.0</v>
      </c>
      <c r="G1171" s="2">
        <v>3475478.0</v>
      </c>
      <c r="H1171" s="2">
        <v>70506.0</v>
      </c>
      <c r="I1171" s="2">
        <v>5111951.0</v>
      </c>
      <c r="J1171" s="2">
        <v>3526283.0</v>
      </c>
      <c r="K1171" s="2">
        <v>1585668.0</v>
      </c>
    </row>
    <row r="1172">
      <c r="A1172" s="2">
        <v>2022.0</v>
      </c>
      <c r="B1172" s="1" t="s">
        <v>1200</v>
      </c>
      <c r="C1172" s="2" t="s">
        <v>859</v>
      </c>
      <c r="D1172" s="2" t="s">
        <v>873</v>
      </c>
      <c r="E1172" s="2"/>
      <c r="F1172" s="2">
        <v>1877372.0</v>
      </c>
      <c r="G1172" s="2">
        <v>6113561.0</v>
      </c>
      <c r="H1172" s="2">
        <v>81544.0</v>
      </c>
      <c r="I1172" s="2">
        <v>8072477.0</v>
      </c>
      <c r="J1172" s="2">
        <v>4218713.0</v>
      </c>
      <c r="K1172" s="2">
        <v>3853814.0</v>
      </c>
    </row>
    <row r="1173">
      <c r="A1173" s="2">
        <v>2022.0</v>
      </c>
      <c r="B1173" s="1" t="s">
        <v>1200</v>
      </c>
      <c r="C1173" s="2"/>
      <c r="D1173" s="2" t="s">
        <v>879</v>
      </c>
      <c r="E1173" s="2"/>
      <c r="F1173" s="2">
        <v>1577252.0</v>
      </c>
      <c r="G1173" s="2">
        <v>4463486.0</v>
      </c>
      <c r="H1173" s="2">
        <v>56450.0</v>
      </c>
      <c r="I1173" s="2">
        <v>6097188.0</v>
      </c>
      <c r="J1173" s="2">
        <v>4348333.0</v>
      </c>
      <c r="K1173" s="2">
        <v>1748855.0</v>
      </c>
    </row>
    <row r="1174">
      <c r="A1174" s="2">
        <v>2022.0</v>
      </c>
      <c r="B1174" s="1" t="s">
        <v>1200</v>
      </c>
      <c r="C1174" s="2"/>
      <c r="D1174" s="2" t="s">
        <v>1282</v>
      </c>
      <c r="E1174" s="2"/>
      <c r="F1174" s="2">
        <v>2651631.0</v>
      </c>
      <c r="G1174" s="2">
        <v>7433850.0</v>
      </c>
      <c r="H1174" s="2">
        <v>173313.0</v>
      </c>
      <c r="I1174" s="2">
        <v>1.0258794E7</v>
      </c>
      <c r="J1174" s="2">
        <v>6009676.0</v>
      </c>
      <c r="K1174" s="2">
        <v>4249118.0</v>
      </c>
    </row>
    <row r="1175">
      <c r="A1175" s="2">
        <v>2022.0</v>
      </c>
      <c r="B1175" s="1" t="s">
        <v>1200</v>
      </c>
      <c r="C1175" s="2"/>
      <c r="D1175" s="2" t="s">
        <v>1283</v>
      </c>
      <c r="E1175" s="2"/>
      <c r="F1175" s="2">
        <v>5924872.0</v>
      </c>
      <c r="G1175" s="2">
        <v>7378729.0</v>
      </c>
      <c r="H1175" s="2">
        <v>204567.0</v>
      </c>
      <c r="I1175" s="2">
        <v>1.3508168E7</v>
      </c>
      <c r="J1175" s="2">
        <v>4623427.0</v>
      </c>
      <c r="K1175" s="2">
        <v>8884741.0</v>
      </c>
    </row>
    <row r="1176">
      <c r="A1176" s="2">
        <v>2022.0</v>
      </c>
      <c r="B1176" s="1" t="s">
        <v>1200</v>
      </c>
      <c r="C1176" s="2"/>
      <c r="D1176" s="2" t="s">
        <v>1284</v>
      </c>
      <c r="E1176" s="2"/>
      <c r="F1176" s="2">
        <v>2047790.0</v>
      </c>
      <c r="G1176" s="2">
        <v>4583818.0</v>
      </c>
      <c r="H1176" s="2">
        <v>66547.0</v>
      </c>
      <c r="I1176" s="2">
        <v>6698155.0</v>
      </c>
      <c r="J1176" s="2">
        <v>3108641.0</v>
      </c>
      <c r="K1176" s="2">
        <v>3589514.0</v>
      </c>
    </row>
    <row r="1177">
      <c r="A1177" s="2">
        <v>2022.0</v>
      </c>
      <c r="B1177" s="1" t="s">
        <v>1200</v>
      </c>
      <c r="C1177" s="2"/>
      <c r="D1177" s="2" t="s">
        <v>292</v>
      </c>
      <c r="E1177" s="2"/>
      <c r="F1177" s="2">
        <v>3078740.0</v>
      </c>
      <c r="G1177" s="2">
        <v>4097520.0</v>
      </c>
      <c r="H1177" s="2">
        <v>117827.0</v>
      </c>
      <c r="I1177" s="2">
        <v>7294087.0</v>
      </c>
      <c r="J1177" s="2">
        <v>2759854.0</v>
      </c>
      <c r="K1177" s="2">
        <v>4534233.0</v>
      </c>
    </row>
    <row r="1178">
      <c r="A1178" s="2">
        <v>2022.0</v>
      </c>
      <c r="B1178" s="1" t="s">
        <v>1200</v>
      </c>
      <c r="C1178" s="2"/>
      <c r="D1178" s="2" t="s">
        <v>1285</v>
      </c>
      <c r="E1178" s="2"/>
      <c r="F1178" s="2">
        <v>1941670.0</v>
      </c>
      <c r="G1178" s="2">
        <v>3893744.0</v>
      </c>
      <c r="H1178" s="2">
        <v>75903.0</v>
      </c>
      <c r="I1178" s="2">
        <v>5911317.0</v>
      </c>
      <c r="J1178" s="2">
        <v>2725768.0</v>
      </c>
      <c r="K1178" s="2">
        <v>3185549.0</v>
      </c>
    </row>
    <row r="1179">
      <c r="A1179" s="2">
        <v>2022.0</v>
      </c>
      <c r="B1179" s="1" t="s">
        <v>1200</v>
      </c>
      <c r="C1179" s="2"/>
      <c r="D1179" s="2" t="s">
        <v>860</v>
      </c>
      <c r="E1179" s="2"/>
      <c r="F1179" s="2">
        <v>2845705.0</v>
      </c>
      <c r="G1179" s="2">
        <v>4428393.0</v>
      </c>
      <c r="H1179" s="2">
        <v>178341.0</v>
      </c>
      <c r="I1179" s="2">
        <v>7452439.0</v>
      </c>
      <c r="J1179" s="2">
        <v>2775014.0</v>
      </c>
      <c r="K1179" s="2">
        <v>4677425.0</v>
      </c>
    </row>
    <row r="1180">
      <c r="A1180" s="2">
        <v>2022.0</v>
      </c>
      <c r="B1180" s="1" t="s">
        <v>1200</v>
      </c>
      <c r="C1180" s="2"/>
      <c r="D1180" s="2" t="s">
        <v>875</v>
      </c>
      <c r="E1180" s="2"/>
      <c r="F1180" s="2">
        <v>4290459.0</v>
      </c>
      <c r="G1180" s="2">
        <v>7323295.0</v>
      </c>
      <c r="H1180" s="2">
        <v>186073.0</v>
      </c>
      <c r="I1180" s="2">
        <v>1.1799827E7</v>
      </c>
      <c r="J1180" s="2">
        <v>3725742.0</v>
      </c>
      <c r="K1180" s="2">
        <v>8074085.0</v>
      </c>
    </row>
    <row r="1181">
      <c r="A1181" s="2">
        <v>2022.0</v>
      </c>
      <c r="B1181" s="1" t="s">
        <v>1200</v>
      </c>
      <c r="C1181" s="2" t="s">
        <v>1137</v>
      </c>
      <c r="D1181" s="2" t="s">
        <v>1286</v>
      </c>
      <c r="E1181" s="2"/>
      <c r="F1181" s="2">
        <v>1829262.0</v>
      </c>
      <c r="G1181" s="2">
        <v>3433756.0</v>
      </c>
      <c r="H1181" s="2">
        <v>99538.0</v>
      </c>
      <c r="I1181" s="2">
        <v>5362556.0</v>
      </c>
      <c r="J1181" s="2">
        <v>2381058.0</v>
      </c>
      <c r="K1181" s="2">
        <v>2981498.0</v>
      </c>
    </row>
    <row r="1182">
      <c r="A1182" s="2">
        <v>2022.0</v>
      </c>
      <c r="B1182" s="1" t="s">
        <v>1200</v>
      </c>
      <c r="C1182" s="2"/>
      <c r="D1182" s="2" t="s">
        <v>1080</v>
      </c>
      <c r="E1182" s="2"/>
      <c r="F1182" s="2">
        <v>3403520.0</v>
      </c>
      <c r="G1182" s="2">
        <v>4441188.0</v>
      </c>
      <c r="H1182" s="2">
        <v>153649.0</v>
      </c>
      <c r="I1182" s="2">
        <v>7998357.0</v>
      </c>
      <c r="J1182" s="2">
        <v>1602581.0</v>
      </c>
      <c r="K1182" s="2">
        <v>6395776.0</v>
      </c>
    </row>
    <row r="1183">
      <c r="A1183" s="2">
        <v>2022.0</v>
      </c>
      <c r="B1183" s="1" t="s">
        <v>1200</v>
      </c>
      <c r="C1183" s="2"/>
      <c r="D1183" s="2" t="s">
        <v>1287</v>
      </c>
      <c r="E1183" s="2"/>
      <c r="F1183" s="2">
        <v>2579303.0</v>
      </c>
      <c r="G1183" s="2">
        <v>2567349.0</v>
      </c>
      <c r="H1183" s="2">
        <v>90351.0</v>
      </c>
      <c r="I1183" s="2">
        <v>5237003.0</v>
      </c>
      <c r="J1183" s="2">
        <v>2042462.0</v>
      </c>
      <c r="K1183" s="2">
        <v>3194541.0</v>
      </c>
    </row>
    <row r="1184">
      <c r="A1184" s="2">
        <v>2022.0</v>
      </c>
      <c r="B1184" s="1" t="s">
        <v>1200</v>
      </c>
      <c r="C1184" s="2"/>
      <c r="D1184" s="2" t="s">
        <v>761</v>
      </c>
      <c r="E1184" s="2"/>
      <c r="F1184" s="2">
        <v>3484507.0</v>
      </c>
      <c r="G1184" s="2">
        <v>8175097.0</v>
      </c>
      <c r="H1184" s="2">
        <v>200339.0</v>
      </c>
      <c r="I1184" s="2">
        <v>1.1859943E7</v>
      </c>
      <c r="J1184" s="2">
        <v>5344988.0</v>
      </c>
      <c r="K1184" s="2">
        <v>6514955.0</v>
      </c>
    </row>
    <row r="1185">
      <c r="A1185" s="2">
        <v>2022.0</v>
      </c>
      <c r="B1185" s="1" t="s">
        <v>1200</v>
      </c>
      <c r="C1185" s="2"/>
      <c r="D1185" s="2" t="s">
        <v>757</v>
      </c>
      <c r="E1185" s="2"/>
      <c r="F1185" s="2">
        <v>3437413.0</v>
      </c>
      <c r="G1185" s="2">
        <v>4627225.0</v>
      </c>
      <c r="H1185" s="2">
        <v>119763.0</v>
      </c>
      <c r="I1185" s="2">
        <v>8184401.0</v>
      </c>
      <c r="J1185" s="2">
        <v>4481161.0</v>
      </c>
      <c r="K1185" s="2">
        <v>3703240.0</v>
      </c>
    </row>
    <row r="1186">
      <c r="A1186" s="2">
        <v>2022.0</v>
      </c>
      <c r="B1186" s="1" t="s">
        <v>1200</v>
      </c>
      <c r="C1186" s="2" t="s">
        <v>796</v>
      </c>
      <c r="D1186" s="2" t="s">
        <v>1288</v>
      </c>
      <c r="E1186" s="2"/>
      <c r="F1186" s="2">
        <v>3112384.0</v>
      </c>
      <c r="G1186" s="2">
        <v>5545814.0</v>
      </c>
      <c r="H1186" s="2">
        <v>122838.0</v>
      </c>
      <c r="I1186" s="2">
        <v>8781036.0</v>
      </c>
      <c r="J1186" s="2">
        <v>4031223.0</v>
      </c>
      <c r="K1186" s="2">
        <v>4749813.0</v>
      </c>
    </row>
    <row r="1187">
      <c r="A1187" s="2">
        <v>2022.0</v>
      </c>
      <c r="B1187" s="1" t="s">
        <v>1200</v>
      </c>
      <c r="C1187" s="2"/>
      <c r="D1187" s="2" t="s">
        <v>1289</v>
      </c>
      <c r="E1187" s="2"/>
      <c r="F1187" s="2">
        <v>3775121.0</v>
      </c>
      <c r="G1187" s="2">
        <v>5293379.0</v>
      </c>
      <c r="H1187" s="2">
        <v>121788.0</v>
      </c>
      <c r="I1187" s="2">
        <v>9190288.0</v>
      </c>
      <c r="J1187" s="2">
        <v>4188688.0</v>
      </c>
      <c r="K1187" s="2">
        <v>5001600.0</v>
      </c>
    </row>
    <row r="1188">
      <c r="A1188" s="2">
        <v>2022.0</v>
      </c>
      <c r="B1188" s="1" t="s">
        <v>1200</v>
      </c>
      <c r="C1188" s="2"/>
      <c r="D1188" s="2" t="s">
        <v>797</v>
      </c>
      <c r="E1188" s="2"/>
      <c r="F1188" s="2">
        <v>998643.0</v>
      </c>
      <c r="G1188" s="2">
        <v>2573975.0</v>
      </c>
      <c r="H1188" s="2">
        <v>35747.0</v>
      </c>
      <c r="I1188" s="2">
        <v>3608365.0</v>
      </c>
      <c r="J1188" s="2">
        <v>1862002.0</v>
      </c>
      <c r="K1188" s="2">
        <v>1746363.0</v>
      </c>
    </row>
    <row r="1189">
      <c r="A1189" s="2">
        <v>2022.0</v>
      </c>
      <c r="B1189" s="1" t="s">
        <v>1200</v>
      </c>
      <c r="C1189" s="2"/>
      <c r="D1189" s="2" t="s">
        <v>1290</v>
      </c>
      <c r="E1189" s="2"/>
      <c r="F1189" s="2">
        <v>1782801.0</v>
      </c>
      <c r="G1189" s="2">
        <v>3497578.0</v>
      </c>
      <c r="H1189" s="2">
        <v>50040.0</v>
      </c>
      <c r="I1189" s="2">
        <v>5330419.0</v>
      </c>
      <c r="J1189" s="2">
        <v>3563807.0</v>
      </c>
      <c r="K1189" s="2">
        <v>1766612.0</v>
      </c>
    </row>
    <row r="1190">
      <c r="A1190" s="2">
        <v>2022.0</v>
      </c>
      <c r="B1190" s="1" t="s">
        <v>1200</v>
      </c>
      <c r="C1190" s="2" t="s">
        <v>1291</v>
      </c>
      <c r="D1190" s="2" t="s">
        <v>1292</v>
      </c>
      <c r="E1190" s="2"/>
      <c r="F1190" s="2">
        <v>5090930.0</v>
      </c>
      <c r="G1190" s="2">
        <v>8088392.0</v>
      </c>
      <c r="H1190" s="2">
        <v>168572.0</v>
      </c>
      <c r="I1190" s="2">
        <v>1.3347894E7</v>
      </c>
      <c r="J1190" s="2">
        <v>4191894.0</v>
      </c>
      <c r="K1190" s="2">
        <v>9156000.0</v>
      </c>
    </row>
    <row r="1191">
      <c r="A1191" s="2">
        <v>2022.0</v>
      </c>
      <c r="B1191" s="1" t="s">
        <v>1200</v>
      </c>
      <c r="C1191" s="2"/>
      <c r="D1191" s="2" t="s">
        <v>790</v>
      </c>
      <c r="E1191" s="2"/>
      <c r="F1191" s="2">
        <v>1009130.0</v>
      </c>
      <c r="G1191" s="2">
        <v>6087466.0</v>
      </c>
      <c r="H1191" s="2">
        <v>40624.0</v>
      </c>
      <c r="I1191" s="2">
        <v>7137220.0</v>
      </c>
      <c r="J1191" s="2">
        <v>5886540.0</v>
      </c>
      <c r="K1191" s="2">
        <v>1250680.0</v>
      </c>
    </row>
    <row r="1192">
      <c r="A1192" s="2">
        <v>2022.0</v>
      </c>
      <c r="B1192" s="1" t="s">
        <v>1200</v>
      </c>
      <c r="C1192" s="2"/>
      <c r="D1192" s="2" t="s">
        <v>199</v>
      </c>
      <c r="E1192" s="2"/>
      <c r="F1192" s="2">
        <v>947525.0</v>
      </c>
      <c r="G1192" s="2">
        <v>2474453.0</v>
      </c>
      <c r="H1192" s="2">
        <v>34484.0</v>
      </c>
      <c r="I1192" s="2">
        <v>3456462.0</v>
      </c>
      <c r="J1192" s="2">
        <v>2139145.0</v>
      </c>
      <c r="K1192" s="2">
        <v>1317317.0</v>
      </c>
    </row>
    <row r="1193">
      <c r="A1193" s="2">
        <v>2022.0</v>
      </c>
      <c r="B1193" s="1" t="s">
        <v>1200</v>
      </c>
      <c r="C1193" s="2"/>
      <c r="D1193" s="2" t="s">
        <v>793</v>
      </c>
      <c r="E1193" s="2"/>
      <c r="F1193" s="2">
        <v>5837284.0</v>
      </c>
      <c r="G1193" s="2">
        <v>5667321.0</v>
      </c>
      <c r="H1193" s="2">
        <v>240232.0</v>
      </c>
      <c r="I1193" s="2">
        <v>1.1744837E7</v>
      </c>
      <c r="J1193" s="2">
        <v>3080548.0</v>
      </c>
      <c r="K1193" s="2">
        <v>8664289.0</v>
      </c>
    </row>
    <row r="1194">
      <c r="A1194" s="2">
        <v>2022.0</v>
      </c>
      <c r="B1194" s="1" t="s">
        <v>1200</v>
      </c>
      <c r="C1194" s="2"/>
      <c r="D1194" s="2" t="s">
        <v>788</v>
      </c>
      <c r="E1194" s="2"/>
      <c r="F1194" s="2">
        <v>1952879.0</v>
      </c>
      <c r="G1194" s="2">
        <v>3650418.0</v>
      </c>
      <c r="H1194" s="2">
        <v>78149.0</v>
      </c>
      <c r="I1194" s="2">
        <v>5681446.0</v>
      </c>
      <c r="J1194" s="2">
        <v>2802927.0</v>
      </c>
      <c r="K1194" s="2">
        <v>2878519.0</v>
      </c>
    </row>
    <row r="1195">
      <c r="A1195" s="2">
        <v>2022.0</v>
      </c>
      <c r="B1195" s="1" t="s">
        <v>1200</v>
      </c>
      <c r="C1195" s="2"/>
      <c r="D1195" s="2" t="s">
        <v>526</v>
      </c>
      <c r="E1195" s="2"/>
      <c r="F1195" s="2">
        <v>2819074.0</v>
      </c>
      <c r="G1195" s="2">
        <v>4725678.0</v>
      </c>
      <c r="H1195" s="2">
        <v>126024.0</v>
      </c>
      <c r="I1195" s="2">
        <v>7670776.0</v>
      </c>
      <c r="J1195" s="2">
        <v>2274881.0</v>
      </c>
      <c r="K1195" s="2">
        <v>5395895.0</v>
      </c>
    </row>
    <row r="1196">
      <c r="A1196" s="2">
        <v>2022.0</v>
      </c>
      <c r="B1196" s="1" t="s">
        <v>1200</v>
      </c>
      <c r="C1196" s="2" t="s">
        <v>941</v>
      </c>
      <c r="D1196" s="2" t="s">
        <v>1187</v>
      </c>
      <c r="E1196" s="2"/>
      <c r="F1196" s="2">
        <v>7660503.0</v>
      </c>
      <c r="G1196" s="2">
        <v>7384961.0</v>
      </c>
      <c r="H1196" s="2">
        <v>291654.0</v>
      </c>
      <c r="I1196" s="2">
        <v>1.5337118E7</v>
      </c>
      <c r="J1196" s="2">
        <v>8078590.0</v>
      </c>
      <c r="K1196" s="2">
        <v>7258528.0</v>
      </c>
    </row>
    <row r="1197">
      <c r="A1197" s="2">
        <v>2022.0</v>
      </c>
      <c r="B1197" s="1" t="s">
        <v>1200</v>
      </c>
      <c r="C1197" s="2"/>
      <c r="D1197" s="2" t="s">
        <v>1188</v>
      </c>
      <c r="E1197" s="2"/>
      <c r="F1197" s="2">
        <v>2925152.0</v>
      </c>
      <c r="G1197" s="2">
        <v>6363054.0</v>
      </c>
      <c r="H1197" s="2">
        <v>104762.0</v>
      </c>
      <c r="I1197" s="2">
        <v>9392968.0</v>
      </c>
      <c r="J1197" s="2">
        <v>3619380.0</v>
      </c>
      <c r="K1197" s="2">
        <v>5773588.0</v>
      </c>
    </row>
    <row r="1198">
      <c r="A1198" s="2">
        <v>2022.0</v>
      </c>
      <c r="B1198" s="1" t="s">
        <v>1200</v>
      </c>
      <c r="C1198" s="2"/>
      <c r="D1198" s="2" t="s">
        <v>1189</v>
      </c>
      <c r="E1198" s="2"/>
      <c r="F1198" s="2">
        <v>963952.0</v>
      </c>
      <c r="G1198" s="2">
        <v>1.0344383E7</v>
      </c>
      <c r="H1198" s="2">
        <v>142591.0</v>
      </c>
      <c r="I1198" s="2">
        <v>1.1450926E7</v>
      </c>
      <c r="J1198" s="2">
        <v>3384983.0</v>
      </c>
      <c r="K1198" s="2">
        <v>8065943.0</v>
      </c>
    </row>
    <row r="1199">
      <c r="A1199" s="2">
        <v>2022.0</v>
      </c>
      <c r="B1199" s="1" t="s">
        <v>1200</v>
      </c>
      <c r="C1199" s="2"/>
      <c r="D1199" s="2" t="s">
        <v>1293</v>
      </c>
      <c r="E1199" s="2"/>
      <c r="F1199" s="2">
        <v>3214189.0</v>
      </c>
      <c r="G1199" s="2">
        <v>4999461.0</v>
      </c>
      <c r="H1199" s="2">
        <v>110896.0</v>
      </c>
      <c r="I1199" s="2">
        <v>8324546.0</v>
      </c>
      <c r="J1199" s="2">
        <v>3670101.0</v>
      </c>
      <c r="K1199" s="2">
        <v>4654445.0</v>
      </c>
    </row>
    <row r="1200">
      <c r="A1200" s="2">
        <v>2022.0</v>
      </c>
      <c r="B1200" s="1" t="s">
        <v>1200</v>
      </c>
      <c r="C1200" s="2"/>
      <c r="D1200" s="2" t="s">
        <v>1294</v>
      </c>
      <c r="E1200" s="2"/>
      <c r="F1200" s="2">
        <v>5864175.0</v>
      </c>
      <c r="G1200" s="2">
        <v>8237211.0</v>
      </c>
      <c r="H1200" s="2">
        <v>290894.0</v>
      </c>
      <c r="I1200" s="2">
        <v>1.439228E7</v>
      </c>
      <c r="J1200" s="2">
        <v>5120081.0</v>
      </c>
      <c r="K1200" s="2">
        <v>9272199.0</v>
      </c>
    </row>
    <row r="1201">
      <c r="A1201" s="2">
        <v>2022.0</v>
      </c>
      <c r="B1201" s="1" t="s">
        <v>1200</v>
      </c>
      <c r="C1201" s="2"/>
      <c r="D1201" s="2" t="s">
        <v>1190</v>
      </c>
      <c r="E1201" s="2"/>
      <c r="F1201" s="2">
        <v>4994350.0</v>
      </c>
      <c r="G1201" s="2">
        <v>4097942.0</v>
      </c>
      <c r="H1201" s="2">
        <v>157497.0</v>
      </c>
      <c r="I1201" s="2">
        <v>9249789.0</v>
      </c>
      <c r="J1201" s="2">
        <v>2055060.0</v>
      </c>
      <c r="K1201" s="2">
        <v>7194729.0</v>
      </c>
    </row>
    <row r="1202">
      <c r="A1202" s="2">
        <v>2022.0</v>
      </c>
      <c r="B1202" s="1" t="s">
        <v>1200</v>
      </c>
      <c r="C1202" s="2"/>
      <c r="D1202" s="2" t="s">
        <v>1193</v>
      </c>
      <c r="E1202" s="2"/>
      <c r="F1202" s="2">
        <v>1212224.0</v>
      </c>
      <c r="G1202" s="2">
        <v>3642280.0</v>
      </c>
      <c r="H1202" s="2">
        <v>70077.0</v>
      </c>
      <c r="I1202" s="2">
        <v>4924581.0</v>
      </c>
      <c r="J1202" s="2">
        <v>1802076.0</v>
      </c>
      <c r="K1202" s="2">
        <v>3122505.0</v>
      </c>
    </row>
    <row r="1203">
      <c r="A1203" s="2">
        <v>2022.0</v>
      </c>
      <c r="B1203" s="1" t="s">
        <v>1200</v>
      </c>
      <c r="C1203" s="2" t="s">
        <v>887</v>
      </c>
      <c r="D1203" s="2" t="s">
        <v>890</v>
      </c>
      <c r="E1203" s="2"/>
      <c r="F1203" s="2">
        <v>1136398.0</v>
      </c>
      <c r="G1203" s="2">
        <v>2583227.0</v>
      </c>
      <c r="H1203" s="2">
        <v>39417.0</v>
      </c>
      <c r="I1203" s="2">
        <v>3759042.0</v>
      </c>
      <c r="J1203" s="2">
        <v>2549030.0</v>
      </c>
      <c r="K1203" s="2">
        <v>1210012.0</v>
      </c>
    </row>
    <row r="1204">
      <c r="A1204" s="2">
        <v>2022.0</v>
      </c>
      <c r="B1204" s="1" t="s">
        <v>1200</v>
      </c>
      <c r="C1204" s="2"/>
      <c r="D1204" s="2" t="s">
        <v>1295</v>
      </c>
      <c r="E1204" s="2"/>
      <c r="F1204" s="2">
        <v>1749165.0</v>
      </c>
      <c r="G1204" s="2">
        <v>4914862.0</v>
      </c>
      <c r="H1204" s="2">
        <v>76568.0</v>
      </c>
      <c r="I1204" s="2">
        <v>6740595.0</v>
      </c>
      <c r="J1204" s="2">
        <v>4213910.0</v>
      </c>
      <c r="K1204" s="2">
        <v>2526685.0</v>
      </c>
    </row>
    <row r="1205">
      <c r="A1205" s="2">
        <v>2022.0</v>
      </c>
      <c r="B1205" s="1" t="s">
        <v>1200</v>
      </c>
      <c r="C1205" s="2"/>
      <c r="D1205" s="2" t="s">
        <v>1296</v>
      </c>
      <c r="E1205" s="2"/>
      <c r="F1205" s="2">
        <v>2422715.0</v>
      </c>
      <c r="G1205" s="2">
        <v>3452248.0</v>
      </c>
      <c r="H1205" s="2">
        <v>106896.0</v>
      </c>
      <c r="I1205" s="2">
        <v>5981859.0</v>
      </c>
      <c r="J1205" s="2">
        <v>987163.0</v>
      </c>
      <c r="K1205" s="2">
        <v>4994696.0</v>
      </c>
    </row>
    <row r="1206">
      <c r="A1206" s="2">
        <v>2022.0</v>
      </c>
      <c r="B1206" s="1" t="s">
        <v>1200</v>
      </c>
      <c r="C1206" s="2"/>
      <c r="D1206" s="2" t="s">
        <v>887</v>
      </c>
      <c r="E1206" s="2"/>
      <c r="F1206" s="2">
        <v>3780678.0</v>
      </c>
      <c r="G1206" s="2">
        <v>5595395.0</v>
      </c>
      <c r="H1206" s="2">
        <v>158600.0</v>
      </c>
      <c r="I1206" s="2">
        <v>9534673.0</v>
      </c>
      <c r="J1206" s="2">
        <v>2955128.0</v>
      </c>
      <c r="K1206" s="2">
        <v>6579545.0</v>
      </c>
    </row>
    <row r="1207">
      <c r="A1207" s="2">
        <v>2022.0</v>
      </c>
      <c r="B1207" s="1" t="s">
        <v>1200</v>
      </c>
      <c r="C1207" s="2" t="s">
        <v>641</v>
      </c>
      <c r="D1207" s="2" t="s">
        <v>656</v>
      </c>
      <c r="E1207" s="2"/>
      <c r="F1207" s="2">
        <v>3707586.0</v>
      </c>
      <c r="G1207" s="2">
        <v>6101884.0</v>
      </c>
      <c r="H1207" s="2">
        <v>158040.0</v>
      </c>
      <c r="I1207" s="2">
        <v>9967510.0</v>
      </c>
      <c r="J1207" s="2">
        <v>3651127.0</v>
      </c>
      <c r="K1207" s="2">
        <v>6316383.0</v>
      </c>
    </row>
    <row r="1208">
      <c r="A1208" s="2">
        <v>2022.0</v>
      </c>
      <c r="B1208" s="1" t="s">
        <v>1200</v>
      </c>
      <c r="C1208" s="2"/>
      <c r="D1208" s="2" t="s">
        <v>655</v>
      </c>
      <c r="E1208" s="2"/>
      <c r="F1208" s="2">
        <v>5283389.0</v>
      </c>
      <c r="G1208" s="2">
        <v>6408655.0</v>
      </c>
      <c r="H1208" s="2">
        <v>251788.0</v>
      </c>
      <c r="I1208" s="2">
        <v>1.1943832E7</v>
      </c>
      <c r="J1208" s="2">
        <v>4241699.0</v>
      </c>
      <c r="K1208" s="2">
        <v>7702133.0</v>
      </c>
    </row>
    <row r="1209">
      <c r="A1209" s="2">
        <v>2022.0</v>
      </c>
      <c r="B1209" s="1" t="s">
        <v>1200</v>
      </c>
      <c r="C1209" s="2"/>
      <c r="D1209" s="2" t="s">
        <v>1017</v>
      </c>
      <c r="E1209" s="2"/>
      <c r="F1209" s="2">
        <v>4723166.0</v>
      </c>
      <c r="G1209" s="2">
        <v>1.1243086E7</v>
      </c>
      <c r="H1209" s="2">
        <v>249352.0</v>
      </c>
      <c r="I1209" s="2">
        <v>1.6215604E7</v>
      </c>
      <c r="J1209" s="2">
        <v>7970315.0</v>
      </c>
      <c r="K1209" s="2">
        <v>8245289.0</v>
      </c>
    </row>
    <row r="1210">
      <c r="A1210" s="2">
        <v>2022.0</v>
      </c>
      <c r="B1210" s="1" t="s">
        <v>1200</v>
      </c>
      <c r="C1210" s="2"/>
      <c r="D1210" s="2" t="s">
        <v>1015</v>
      </c>
      <c r="E1210" s="2"/>
      <c r="F1210" s="2">
        <v>5620092.0</v>
      </c>
      <c r="G1210" s="2">
        <v>6261050.0</v>
      </c>
      <c r="H1210" s="2">
        <v>237263.0</v>
      </c>
      <c r="I1210" s="2">
        <v>1.2113405E7</v>
      </c>
      <c r="J1210" s="2">
        <v>2992379.0</v>
      </c>
      <c r="K1210" s="2">
        <v>9126026.0</v>
      </c>
    </row>
    <row r="1211">
      <c r="A1211" s="2">
        <v>2022.0</v>
      </c>
      <c r="B1211" s="1" t="s">
        <v>1200</v>
      </c>
      <c r="C1211" s="2"/>
      <c r="D1211" s="2" t="s">
        <v>644</v>
      </c>
      <c r="E1211" s="2"/>
      <c r="F1211" s="2">
        <v>3912593.0</v>
      </c>
      <c r="G1211" s="2">
        <v>5012362.0</v>
      </c>
      <c r="H1211" s="2">
        <v>150923.0</v>
      </c>
      <c r="I1211" s="2">
        <v>9075878.0</v>
      </c>
      <c r="J1211" s="2">
        <v>3029269.0</v>
      </c>
      <c r="K1211" s="2">
        <v>6046609.0</v>
      </c>
    </row>
    <row r="1212">
      <c r="A1212" s="2">
        <v>2022.0</v>
      </c>
      <c r="B1212" s="1" t="s">
        <v>1200</v>
      </c>
      <c r="C1212" s="2"/>
      <c r="D1212" s="2" t="s">
        <v>1023</v>
      </c>
      <c r="E1212" s="2"/>
      <c r="F1212" s="2">
        <v>8598500.0</v>
      </c>
      <c r="G1212" s="2">
        <v>7349044.0</v>
      </c>
      <c r="H1212" s="2">
        <v>333436.0</v>
      </c>
      <c r="I1212" s="2">
        <v>1.628098E7</v>
      </c>
      <c r="J1212" s="2">
        <v>4362884.0</v>
      </c>
      <c r="K1212" s="2">
        <v>1.1918096E7</v>
      </c>
    </row>
    <row r="1213">
      <c r="A1213" s="2">
        <v>2022.0</v>
      </c>
      <c r="B1213" s="1" t="s">
        <v>1200</v>
      </c>
      <c r="C1213" s="2"/>
      <c r="D1213" s="2" t="s">
        <v>658</v>
      </c>
      <c r="E1213" s="2"/>
      <c r="F1213" s="2">
        <v>3899592.0</v>
      </c>
      <c r="G1213" s="2">
        <v>4062319.0</v>
      </c>
      <c r="H1213" s="2">
        <v>152660.0</v>
      </c>
      <c r="I1213" s="2">
        <v>8114571.0</v>
      </c>
      <c r="J1213" s="2">
        <v>2621693.0</v>
      </c>
      <c r="K1213" s="2">
        <v>5492878.0</v>
      </c>
    </row>
    <row r="1214">
      <c r="A1214" s="2">
        <v>2022.0</v>
      </c>
      <c r="B1214" s="1" t="s">
        <v>1200</v>
      </c>
      <c r="C1214" s="2"/>
      <c r="D1214" s="2" t="s">
        <v>1172</v>
      </c>
      <c r="E1214" s="2"/>
      <c r="F1214" s="2">
        <v>7368158.0</v>
      </c>
      <c r="G1214" s="2">
        <v>9056328.0</v>
      </c>
      <c r="H1214" s="2">
        <v>344751.0</v>
      </c>
      <c r="I1214" s="2">
        <v>1.6769237E7</v>
      </c>
      <c r="J1214" s="2">
        <v>5779813.0</v>
      </c>
      <c r="K1214" s="2">
        <v>1.0989424E7</v>
      </c>
    </row>
    <row r="1215">
      <c r="A1215" s="2">
        <v>2022.0</v>
      </c>
      <c r="B1215" s="1" t="s">
        <v>1200</v>
      </c>
      <c r="C1215" s="2"/>
      <c r="D1215" s="2" t="s">
        <v>652</v>
      </c>
      <c r="E1215" s="2"/>
      <c r="F1215" s="2">
        <v>3380515.0</v>
      </c>
      <c r="G1215" s="2">
        <v>5459522.0</v>
      </c>
      <c r="H1215" s="2">
        <v>180025.0</v>
      </c>
      <c r="I1215" s="2">
        <v>9020062.0</v>
      </c>
      <c r="J1215" s="2">
        <v>3158148.0</v>
      </c>
      <c r="K1215" s="2">
        <v>5861914.0</v>
      </c>
    </row>
    <row r="1216">
      <c r="A1216" s="2">
        <v>2022.0</v>
      </c>
      <c r="B1216" s="1" t="s">
        <v>1297</v>
      </c>
      <c r="C1216" s="2" t="s">
        <v>966</v>
      </c>
      <c r="D1216" s="2" t="s">
        <v>967</v>
      </c>
      <c r="E1216" s="2"/>
      <c r="F1216" s="2">
        <v>4742144.0</v>
      </c>
      <c r="G1216" s="2">
        <v>4289720.0</v>
      </c>
      <c r="H1216" s="2">
        <v>186439.0</v>
      </c>
      <c r="I1216" s="2">
        <v>9218303.0</v>
      </c>
      <c r="J1216" s="2">
        <v>4323861.0</v>
      </c>
      <c r="K1216" s="2">
        <v>4894442.0</v>
      </c>
    </row>
    <row r="1217">
      <c r="A1217" s="2">
        <v>2022.0</v>
      </c>
      <c r="B1217" s="1" t="s">
        <v>1297</v>
      </c>
      <c r="C1217" s="2"/>
      <c r="D1217" s="2" t="s">
        <v>1298</v>
      </c>
      <c r="E1217" s="2"/>
      <c r="F1217" s="2">
        <v>5733924.0</v>
      </c>
      <c r="G1217" s="2">
        <v>2831959.0</v>
      </c>
      <c r="H1217" s="2">
        <v>207399.0</v>
      </c>
      <c r="I1217" s="2">
        <v>8773282.0</v>
      </c>
      <c r="J1217" s="2">
        <v>5273819.0</v>
      </c>
      <c r="K1217" s="2">
        <v>3499463.0</v>
      </c>
    </row>
    <row r="1218">
      <c r="A1218" s="2">
        <v>2022.0</v>
      </c>
      <c r="B1218" s="1" t="s">
        <v>1297</v>
      </c>
      <c r="C1218" s="2"/>
      <c r="D1218" s="2" t="s">
        <v>1079</v>
      </c>
      <c r="E1218" s="2"/>
      <c r="F1218" s="2">
        <v>8315454.0</v>
      </c>
      <c r="G1218" s="2">
        <v>4402122.0</v>
      </c>
      <c r="H1218" s="2">
        <v>284667.0</v>
      </c>
      <c r="I1218" s="2">
        <v>1.3002243E7</v>
      </c>
      <c r="J1218" s="2">
        <v>6058793.0</v>
      </c>
      <c r="K1218" s="2">
        <v>6943450.0</v>
      </c>
    </row>
    <row r="1219">
      <c r="A1219" s="2">
        <v>2022.0</v>
      </c>
      <c r="B1219" s="1" t="s">
        <v>1297</v>
      </c>
      <c r="C1219" s="2"/>
      <c r="D1219" s="2" t="s">
        <v>1201</v>
      </c>
      <c r="E1219" s="2"/>
      <c r="F1219" s="2">
        <v>3295156.0</v>
      </c>
      <c r="G1219" s="2">
        <v>4346442.0</v>
      </c>
      <c r="H1219" s="2">
        <v>103787.0</v>
      </c>
      <c r="I1219" s="2">
        <v>7745385.0</v>
      </c>
      <c r="J1219" s="2">
        <v>4590297.0</v>
      </c>
      <c r="K1219" s="2">
        <v>3155088.0</v>
      </c>
    </row>
    <row r="1220">
      <c r="A1220" s="2">
        <v>2022.0</v>
      </c>
      <c r="B1220" s="1" t="s">
        <v>1297</v>
      </c>
      <c r="C1220" s="2"/>
      <c r="D1220" s="2" t="s">
        <v>1203</v>
      </c>
      <c r="E1220" s="2"/>
      <c r="F1220" s="2">
        <v>3729921.0</v>
      </c>
      <c r="G1220" s="2">
        <v>2949669.0</v>
      </c>
      <c r="H1220" s="2">
        <v>135141.0</v>
      </c>
      <c r="I1220" s="2">
        <v>6814731.0</v>
      </c>
      <c r="J1220" s="2">
        <v>3891044.0</v>
      </c>
      <c r="K1220" s="2">
        <v>2923687.0</v>
      </c>
    </row>
    <row r="1221">
      <c r="A1221" s="2">
        <v>2022.0</v>
      </c>
      <c r="B1221" s="1" t="s">
        <v>1297</v>
      </c>
      <c r="C1221" s="2"/>
      <c r="D1221" s="2" t="s">
        <v>975</v>
      </c>
      <c r="E1221" s="2"/>
      <c r="F1221" s="2">
        <v>4032475.0</v>
      </c>
      <c r="G1221" s="2">
        <v>3141914.0</v>
      </c>
      <c r="H1221" s="2">
        <v>132631.0</v>
      </c>
      <c r="I1221" s="2">
        <v>7307020.0</v>
      </c>
      <c r="J1221" s="2">
        <v>3971185.0</v>
      </c>
      <c r="K1221" s="2">
        <v>3335835.0</v>
      </c>
    </row>
    <row r="1222">
      <c r="A1222" s="2">
        <v>2022.0</v>
      </c>
      <c r="B1222" s="1" t="s">
        <v>1297</v>
      </c>
      <c r="C1222" s="2"/>
      <c r="D1222" s="2" t="s">
        <v>1299</v>
      </c>
      <c r="E1222" s="2"/>
      <c r="F1222" s="2">
        <v>2682160.0</v>
      </c>
      <c r="G1222" s="2">
        <v>2666790.0</v>
      </c>
      <c r="H1222" s="2">
        <v>80682.0</v>
      </c>
      <c r="I1222" s="2">
        <v>5429632.0</v>
      </c>
      <c r="J1222" s="2">
        <v>3944003.0</v>
      </c>
      <c r="K1222" s="2">
        <v>1485629.0</v>
      </c>
    </row>
    <row r="1223">
      <c r="A1223" s="2">
        <v>2022.0</v>
      </c>
      <c r="B1223" s="1" t="s">
        <v>1297</v>
      </c>
      <c r="C1223" s="2" t="s">
        <v>143</v>
      </c>
      <c r="D1223" s="2" t="s">
        <v>1207</v>
      </c>
      <c r="E1223" s="2"/>
      <c r="F1223" s="2">
        <v>2646629.0</v>
      </c>
      <c r="G1223" s="2">
        <v>4463779.0</v>
      </c>
      <c r="H1223" s="2">
        <v>53611.0</v>
      </c>
      <c r="I1223" s="2">
        <v>7164019.0</v>
      </c>
      <c r="J1223" s="2">
        <v>6026891.0</v>
      </c>
      <c r="K1223" s="2">
        <v>1137128.0</v>
      </c>
    </row>
    <row r="1224">
      <c r="A1224" s="2">
        <v>2022.0</v>
      </c>
      <c r="B1224" s="1" t="s">
        <v>1297</v>
      </c>
      <c r="C1224" s="2"/>
      <c r="D1224" s="2" t="s">
        <v>281</v>
      </c>
      <c r="E1224" s="2"/>
      <c r="F1224" s="2">
        <v>3601807.0</v>
      </c>
      <c r="G1224" s="2">
        <v>2153733.0</v>
      </c>
      <c r="H1224" s="2">
        <v>74696.0</v>
      </c>
      <c r="I1224" s="2">
        <v>5830236.0</v>
      </c>
      <c r="J1224" s="2">
        <v>5101689.0</v>
      </c>
      <c r="K1224" s="2">
        <v>728547.0</v>
      </c>
    </row>
    <row r="1225">
      <c r="A1225" s="2">
        <v>2022.0</v>
      </c>
      <c r="B1225" s="1" t="s">
        <v>1297</v>
      </c>
      <c r="C1225" s="2"/>
      <c r="D1225" s="2" t="s">
        <v>143</v>
      </c>
      <c r="E1225" s="2"/>
      <c r="F1225" s="2">
        <v>6965890.0</v>
      </c>
      <c r="G1225" s="2">
        <v>8906890.0</v>
      </c>
      <c r="H1225" s="2">
        <v>192457.0</v>
      </c>
      <c r="I1225" s="2">
        <v>1.6065237E7</v>
      </c>
      <c r="J1225" s="2">
        <v>1.1404019E7</v>
      </c>
      <c r="K1225" s="2">
        <v>4661218.0</v>
      </c>
    </row>
    <row r="1226">
      <c r="A1226" s="2">
        <v>2022.0</v>
      </c>
      <c r="B1226" s="1" t="s">
        <v>1297</v>
      </c>
      <c r="C1226" s="2"/>
      <c r="D1226" s="2" t="s">
        <v>1209</v>
      </c>
      <c r="E1226" s="2"/>
      <c r="F1226" s="2">
        <v>4836392.0</v>
      </c>
      <c r="G1226" s="2">
        <v>4142407.0</v>
      </c>
      <c r="H1226" s="2">
        <v>113236.0</v>
      </c>
      <c r="I1226" s="2">
        <v>9092035.0</v>
      </c>
      <c r="J1226" s="2">
        <v>6456399.0</v>
      </c>
      <c r="K1226" s="2">
        <v>2635636.0</v>
      </c>
    </row>
    <row r="1227">
      <c r="A1227" s="2">
        <v>2022.0</v>
      </c>
      <c r="B1227" s="1" t="s">
        <v>1297</v>
      </c>
      <c r="C1227" s="2"/>
      <c r="D1227" s="2" t="s">
        <v>829</v>
      </c>
      <c r="E1227" s="2"/>
      <c r="F1227" s="2">
        <v>2439480.0</v>
      </c>
      <c r="G1227" s="2">
        <v>3130490.0</v>
      </c>
      <c r="H1227" s="2">
        <v>58885.0</v>
      </c>
      <c r="I1227" s="2">
        <v>5628855.0</v>
      </c>
      <c r="J1227" s="2">
        <v>3640700.0</v>
      </c>
      <c r="K1227" s="2">
        <v>1988155.0</v>
      </c>
    </row>
    <row r="1228">
      <c r="A1228" s="2">
        <v>2022.0</v>
      </c>
      <c r="B1228" s="1" t="s">
        <v>1297</v>
      </c>
      <c r="C1228" s="2"/>
      <c r="D1228" s="2" t="s">
        <v>832</v>
      </c>
      <c r="E1228" s="2"/>
      <c r="F1228" s="2">
        <v>5191991.0</v>
      </c>
      <c r="G1228" s="2">
        <v>4413001.0</v>
      </c>
      <c r="H1228" s="2">
        <v>141048.0</v>
      </c>
      <c r="I1228" s="2">
        <v>9746040.0</v>
      </c>
      <c r="J1228" s="2">
        <v>5762071.0</v>
      </c>
      <c r="K1228" s="2">
        <v>3983969.0</v>
      </c>
    </row>
    <row r="1229">
      <c r="A1229" s="2">
        <v>2022.0</v>
      </c>
      <c r="B1229" s="1" t="s">
        <v>1297</v>
      </c>
      <c r="C1229" s="2"/>
      <c r="D1229" s="2" t="s">
        <v>146</v>
      </c>
      <c r="E1229" s="2"/>
      <c r="F1229" s="2">
        <v>6735678.0</v>
      </c>
      <c r="G1229" s="2">
        <v>3953483.0</v>
      </c>
      <c r="H1229" s="2">
        <v>243039.0</v>
      </c>
      <c r="I1229" s="2">
        <v>1.09322E7</v>
      </c>
      <c r="J1229" s="2">
        <v>6973600.0</v>
      </c>
      <c r="K1229" s="2">
        <v>3958600.0</v>
      </c>
    </row>
    <row r="1230">
      <c r="A1230" s="2">
        <v>2022.0</v>
      </c>
      <c r="B1230" s="1" t="s">
        <v>1297</v>
      </c>
      <c r="C1230" s="2"/>
      <c r="D1230" s="2" t="s">
        <v>1211</v>
      </c>
      <c r="E1230" s="2"/>
      <c r="F1230" s="2">
        <v>7152238.0</v>
      </c>
      <c r="G1230" s="2">
        <v>7749332.0</v>
      </c>
      <c r="H1230" s="2">
        <v>133569.0</v>
      </c>
      <c r="I1230" s="2">
        <v>1.5035139E7</v>
      </c>
      <c r="J1230" s="2">
        <v>9998385.0</v>
      </c>
      <c r="K1230" s="2">
        <v>5036754.0</v>
      </c>
    </row>
    <row r="1231">
      <c r="A1231" s="2">
        <v>2022.0</v>
      </c>
      <c r="B1231" s="1" t="s">
        <v>1297</v>
      </c>
      <c r="C1231" s="2" t="s">
        <v>106</v>
      </c>
      <c r="D1231" s="2" t="s">
        <v>111</v>
      </c>
      <c r="E1231" s="2"/>
      <c r="F1231" s="2">
        <v>1.1503231E7</v>
      </c>
      <c r="G1231" s="2">
        <v>8746104.0</v>
      </c>
      <c r="H1231" s="2">
        <v>458442.0</v>
      </c>
      <c r="I1231" s="2">
        <v>2.0707777E7</v>
      </c>
      <c r="J1231" s="2">
        <v>1.1223917E7</v>
      </c>
      <c r="K1231" s="2">
        <v>9483860.0</v>
      </c>
    </row>
    <row r="1232">
      <c r="A1232" s="2">
        <v>2022.0</v>
      </c>
      <c r="B1232" s="1" t="s">
        <v>1297</v>
      </c>
      <c r="C1232" s="2"/>
      <c r="D1232" s="2" t="s">
        <v>833</v>
      </c>
      <c r="E1232" s="2"/>
      <c r="F1232" s="2">
        <v>5902898.0</v>
      </c>
      <c r="G1232" s="2">
        <v>6404158.0</v>
      </c>
      <c r="H1232" s="2">
        <v>216473.0</v>
      </c>
      <c r="I1232" s="2">
        <v>1.2523529E7</v>
      </c>
      <c r="J1232" s="2">
        <v>6775768.0</v>
      </c>
      <c r="K1232" s="2">
        <v>5747761.0</v>
      </c>
    </row>
    <row r="1233">
      <c r="A1233" s="2">
        <v>2022.0</v>
      </c>
      <c r="B1233" s="1" t="s">
        <v>1297</v>
      </c>
      <c r="C1233" s="2"/>
      <c r="D1233" s="2" t="s">
        <v>1090</v>
      </c>
      <c r="E1233" s="2"/>
      <c r="F1233" s="2">
        <v>7140377.0</v>
      </c>
      <c r="G1233" s="2">
        <v>6159263.0</v>
      </c>
      <c r="H1233" s="2">
        <v>213350.0</v>
      </c>
      <c r="I1233" s="2">
        <v>1.351299E7</v>
      </c>
      <c r="J1233" s="2">
        <v>1.0255818E7</v>
      </c>
      <c r="K1233" s="2">
        <v>3257172.0</v>
      </c>
    </row>
    <row r="1234">
      <c r="A1234" s="2">
        <v>2022.0</v>
      </c>
      <c r="B1234" s="1" t="s">
        <v>1297</v>
      </c>
      <c r="C1234" s="2"/>
      <c r="D1234" s="2" t="s">
        <v>116</v>
      </c>
      <c r="E1234" s="2"/>
      <c r="F1234" s="2">
        <v>5785787.0</v>
      </c>
      <c r="G1234" s="2">
        <v>2548750.0</v>
      </c>
      <c r="H1234" s="2">
        <v>187655.0</v>
      </c>
      <c r="I1234" s="2">
        <v>8522192.0</v>
      </c>
      <c r="J1234" s="2">
        <v>5139468.0</v>
      </c>
      <c r="K1234" s="2">
        <v>3382724.0</v>
      </c>
    </row>
    <row r="1235">
      <c r="A1235" s="2">
        <v>2022.0</v>
      </c>
      <c r="B1235" s="1" t="s">
        <v>1297</v>
      </c>
      <c r="C1235" s="2" t="s">
        <v>133</v>
      </c>
      <c r="D1235" s="2" t="s">
        <v>1215</v>
      </c>
      <c r="E1235" s="2"/>
      <c r="F1235" s="2">
        <v>6319587.0</v>
      </c>
      <c r="G1235" s="2">
        <v>6507791.0</v>
      </c>
      <c r="H1235" s="2">
        <v>164413.0</v>
      </c>
      <c r="I1235" s="2">
        <v>1.2991791E7</v>
      </c>
      <c r="J1235" s="2">
        <v>5186458.0</v>
      </c>
      <c r="K1235" s="2">
        <v>7805333.0</v>
      </c>
    </row>
    <row r="1236">
      <c r="A1236" s="2">
        <v>2022.0</v>
      </c>
      <c r="B1236" s="1" t="s">
        <v>1297</v>
      </c>
      <c r="C1236" s="2"/>
      <c r="D1236" s="2" t="s">
        <v>1217</v>
      </c>
      <c r="E1236" s="2"/>
      <c r="F1236" s="2">
        <v>5347650.0</v>
      </c>
      <c r="G1236" s="2">
        <v>4994749.0</v>
      </c>
      <c r="H1236" s="2">
        <v>201268.0</v>
      </c>
      <c r="I1236" s="2">
        <v>1.0543667E7</v>
      </c>
      <c r="J1236" s="2">
        <v>5509626.0</v>
      </c>
      <c r="K1236" s="2">
        <v>5034041.0</v>
      </c>
    </row>
    <row r="1237">
      <c r="A1237" s="2">
        <v>2022.0</v>
      </c>
      <c r="B1237" s="1" t="s">
        <v>1297</v>
      </c>
      <c r="C1237" s="2"/>
      <c r="D1237" s="2" t="s">
        <v>820</v>
      </c>
      <c r="F1237" s="2" t="s">
        <v>1300</v>
      </c>
    </row>
    <row r="1238">
      <c r="A1238" s="2">
        <v>2022.0</v>
      </c>
      <c r="B1238" s="1" t="s">
        <v>1297</v>
      </c>
      <c r="C1238" s="2"/>
      <c r="D1238" s="2" t="s">
        <v>136</v>
      </c>
      <c r="E1238" s="2"/>
      <c r="F1238" s="2">
        <v>6309377.0</v>
      </c>
      <c r="G1238" s="2">
        <v>5246790.0</v>
      </c>
      <c r="H1238" s="2">
        <v>150253.0</v>
      </c>
      <c r="I1238" s="2">
        <v>1.170642E7</v>
      </c>
      <c r="J1238" s="2">
        <v>7095365.0</v>
      </c>
      <c r="K1238" s="2">
        <v>4611055.0</v>
      </c>
    </row>
    <row r="1239">
      <c r="A1239" s="2">
        <v>2022.0</v>
      </c>
      <c r="B1239" s="1" t="s">
        <v>1297</v>
      </c>
      <c r="C1239" s="2"/>
      <c r="D1239" s="2" t="s">
        <v>814</v>
      </c>
      <c r="E1239" s="2"/>
      <c r="F1239" s="2">
        <v>4498689.0</v>
      </c>
      <c r="G1239" s="2">
        <v>5406561.0</v>
      </c>
      <c r="H1239" s="2">
        <v>94950.0</v>
      </c>
      <c r="I1239" s="2">
        <v>1.00002E7</v>
      </c>
      <c r="J1239" s="2">
        <v>6525003.0</v>
      </c>
      <c r="K1239" s="2">
        <v>3475197.0</v>
      </c>
    </row>
    <row r="1240">
      <c r="A1240" s="2">
        <v>2022.0</v>
      </c>
      <c r="B1240" s="1" t="s">
        <v>1297</v>
      </c>
      <c r="C1240" s="2" t="s">
        <v>753</v>
      </c>
      <c r="D1240" s="2" t="s">
        <v>1220</v>
      </c>
      <c r="E1240" s="2"/>
      <c r="F1240" s="2">
        <v>5968535.0</v>
      </c>
      <c r="G1240" s="2">
        <v>6927112.0</v>
      </c>
      <c r="H1240" s="2">
        <v>153471.0</v>
      </c>
      <c r="I1240" s="2">
        <v>1.3049118E7</v>
      </c>
      <c r="J1240" s="2">
        <v>8690920.0</v>
      </c>
      <c r="K1240" s="2">
        <v>4358198.0</v>
      </c>
    </row>
    <row r="1241">
      <c r="A1241" s="2">
        <v>2022.0</v>
      </c>
      <c r="B1241" s="1" t="s">
        <v>1297</v>
      </c>
      <c r="C1241" s="2"/>
      <c r="D1241" s="2" t="s">
        <v>772</v>
      </c>
      <c r="E1241" s="2"/>
      <c r="F1241" s="2">
        <v>3078406.0</v>
      </c>
      <c r="G1241" s="2">
        <v>2520556.0</v>
      </c>
      <c r="H1241" s="2">
        <v>85868.0</v>
      </c>
      <c r="I1241" s="2">
        <v>5684830.0</v>
      </c>
      <c r="J1241" s="2">
        <v>4464960.0</v>
      </c>
      <c r="K1241" s="2">
        <v>1219870.0</v>
      </c>
    </row>
    <row r="1242">
      <c r="A1242" s="2">
        <v>2022.0</v>
      </c>
      <c r="B1242" s="1" t="s">
        <v>1297</v>
      </c>
      <c r="C1242" s="2"/>
      <c r="D1242" s="2" t="s">
        <v>1221</v>
      </c>
      <c r="E1242" s="2"/>
      <c r="F1242" s="2">
        <v>4806088.0</v>
      </c>
      <c r="G1242" s="2">
        <v>3562946.0</v>
      </c>
      <c r="H1242" s="2">
        <v>134452.0</v>
      </c>
      <c r="I1242" s="2">
        <v>8503486.0</v>
      </c>
      <c r="J1242" s="2">
        <v>6203763.0</v>
      </c>
      <c r="K1242" s="2">
        <v>2299723.0</v>
      </c>
    </row>
    <row r="1243">
      <c r="A1243" s="2">
        <v>2022.0</v>
      </c>
      <c r="B1243" s="1" t="s">
        <v>1297</v>
      </c>
      <c r="C1243" s="2"/>
      <c r="D1243" s="2" t="s">
        <v>774</v>
      </c>
      <c r="E1243" s="2"/>
      <c r="F1243" s="2">
        <v>4861241.0</v>
      </c>
      <c r="G1243" s="2">
        <v>4959860.0</v>
      </c>
      <c r="H1243" s="2">
        <v>100609.0</v>
      </c>
      <c r="I1243" s="2">
        <v>9921710.0</v>
      </c>
      <c r="J1243" s="2">
        <v>7202645.0</v>
      </c>
      <c r="K1243" s="2">
        <v>2719065.0</v>
      </c>
    </row>
    <row r="1244">
      <c r="A1244" s="2">
        <v>2022.0</v>
      </c>
      <c r="B1244" s="1" t="s">
        <v>1297</v>
      </c>
      <c r="C1244" s="2" t="s">
        <v>165</v>
      </c>
      <c r="D1244" s="2" t="s">
        <v>167</v>
      </c>
      <c r="F1244" s="2" t="s">
        <v>1300</v>
      </c>
    </row>
    <row r="1245">
      <c r="A1245" s="2">
        <v>2022.0</v>
      </c>
      <c r="B1245" s="1" t="s">
        <v>1297</v>
      </c>
      <c r="C1245" s="2"/>
      <c r="D1245" s="2" t="s">
        <v>175</v>
      </c>
      <c r="E1245" s="2"/>
      <c r="F1245" s="2">
        <v>3592512.0</v>
      </c>
      <c r="G1245" s="2">
        <v>2833110.0</v>
      </c>
      <c r="H1245" s="2">
        <v>135717.0</v>
      </c>
      <c r="I1245" s="2">
        <v>6377255.0</v>
      </c>
      <c r="J1245" s="2">
        <v>3439394.0</v>
      </c>
      <c r="K1245" s="2">
        <v>2937861.0</v>
      </c>
    </row>
    <row r="1246">
      <c r="A1246" s="2">
        <v>2022.0</v>
      </c>
      <c r="B1246" s="1" t="s">
        <v>1297</v>
      </c>
      <c r="C1246" s="2"/>
      <c r="D1246" s="2" t="s">
        <v>298</v>
      </c>
      <c r="E1246" s="2"/>
      <c r="F1246" s="2">
        <v>7534055.0</v>
      </c>
      <c r="G1246" s="2">
        <v>5271123.0</v>
      </c>
      <c r="H1246" s="2">
        <v>122635.0</v>
      </c>
      <c r="I1246" s="2">
        <v>1.297023E7</v>
      </c>
      <c r="J1246" s="2">
        <v>6355632.0</v>
      </c>
      <c r="K1246" s="2">
        <v>6359077.0</v>
      </c>
    </row>
    <row r="1247">
      <c r="A1247" s="2">
        <v>2022.0</v>
      </c>
      <c r="B1247" s="1" t="s">
        <v>1297</v>
      </c>
      <c r="C1247" s="2"/>
      <c r="D1247" s="2" t="s">
        <v>171</v>
      </c>
      <c r="E1247" s="2"/>
      <c r="F1247" s="2">
        <v>6399446.0</v>
      </c>
      <c r="G1247" s="2">
        <v>4546749.0</v>
      </c>
      <c r="H1247" s="2">
        <v>138831.0</v>
      </c>
      <c r="I1247" s="2">
        <v>1.1084157E7</v>
      </c>
      <c r="J1247" s="2">
        <v>5861194.0</v>
      </c>
      <c r="K1247" s="2">
        <v>5222963.0</v>
      </c>
    </row>
    <row r="1248">
      <c r="A1248" s="2">
        <v>2022.0</v>
      </c>
      <c r="B1248" s="1" t="s">
        <v>1297</v>
      </c>
      <c r="C1248" s="2" t="s">
        <v>308</v>
      </c>
      <c r="D1248" s="2" t="s">
        <v>901</v>
      </c>
      <c r="E1248" s="2"/>
      <c r="F1248" s="2">
        <v>1814262.0</v>
      </c>
      <c r="G1248" s="2">
        <v>3419478.0</v>
      </c>
      <c r="H1248" s="2">
        <v>28139.0</v>
      </c>
      <c r="I1248" s="2">
        <v>5261879.0</v>
      </c>
      <c r="J1248" s="2">
        <v>3659002.0</v>
      </c>
      <c r="K1248" s="2">
        <v>1602877.0</v>
      </c>
    </row>
    <row r="1249">
      <c r="A1249" s="2">
        <v>2022.0</v>
      </c>
      <c r="B1249" s="1" t="s">
        <v>1297</v>
      </c>
      <c r="C1249" s="2"/>
      <c r="D1249" s="2" t="s">
        <v>1301</v>
      </c>
      <c r="E1249" s="2"/>
      <c r="F1249" s="2">
        <v>5562305.0</v>
      </c>
      <c r="G1249" s="2">
        <v>4072742.0</v>
      </c>
      <c r="H1249" s="2">
        <v>157056.0</v>
      </c>
      <c r="I1249" s="2">
        <v>9792103.0</v>
      </c>
      <c r="J1249" s="2">
        <v>5877653.0</v>
      </c>
      <c r="K1249" s="2">
        <v>3914450.0</v>
      </c>
    </row>
    <row r="1250">
      <c r="A1250" s="2">
        <v>2022.0</v>
      </c>
      <c r="B1250" s="1" t="s">
        <v>1297</v>
      </c>
      <c r="C1250" s="2"/>
      <c r="D1250" s="2" t="s">
        <v>326</v>
      </c>
      <c r="E1250" s="2"/>
      <c r="F1250" s="2">
        <v>3570646.0</v>
      </c>
      <c r="G1250" s="2">
        <v>4635570.0</v>
      </c>
      <c r="H1250" s="2">
        <v>76964.0</v>
      </c>
      <c r="I1250" s="2">
        <v>8283180.0</v>
      </c>
      <c r="J1250" s="2">
        <v>5171278.0</v>
      </c>
      <c r="K1250" s="2">
        <v>3111902.0</v>
      </c>
    </row>
    <row r="1251">
      <c r="A1251" s="2">
        <v>2022.0</v>
      </c>
      <c r="B1251" s="1" t="s">
        <v>1297</v>
      </c>
      <c r="C1251" s="2"/>
      <c r="D1251" s="2" t="s">
        <v>1302</v>
      </c>
      <c r="E1251" s="2"/>
      <c r="F1251" s="2">
        <v>1984319.0</v>
      </c>
      <c r="G1251" s="2">
        <v>1496546.0</v>
      </c>
      <c r="H1251" s="2">
        <v>14679.0</v>
      </c>
      <c r="I1251" s="2">
        <v>3495544.0</v>
      </c>
      <c r="J1251" s="2">
        <v>3060604.0</v>
      </c>
      <c r="K1251" s="2">
        <v>434940.0</v>
      </c>
    </row>
    <row r="1252">
      <c r="A1252" s="2">
        <v>2022.0</v>
      </c>
      <c r="B1252" s="1" t="s">
        <v>1297</v>
      </c>
      <c r="C1252" s="2"/>
      <c r="D1252" s="2" t="s">
        <v>312</v>
      </c>
      <c r="E1252" s="2"/>
      <c r="F1252" s="2">
        <v>1637557.0</v>
      </c>
      <c r="G1252" s="2">
        <v>2364031.0</v>
      </c>
      <c r="H1252" s="2">
        <v>23210.0</v>
      </c>
      <c r="I1252" s="2">
        <v>4024798.0</v>
      </c>
      <c r="J1252" s="2">
        <v>2740988.0</v>
      </c>
      <c r="K1252" s="2">
        <v>1283810.0</v>
      </c>
    </row>
    <row r="1253">
      <c r="A1253" s="2">
        <v>2022.0</v>
      </c>
      <c r="B1253" s="1" t="s">
        <v>1297</v>
      </c>
      <c r="C1253" s="2"/>
      <c r="D1253" s="2" t="s">
        <v>899</v>
      </c>
      <c r="E1253" s="2"/>
      <c r="F1253" s="2">
        <v>4972883.0</v>
      </c>
      <c r="G1253" s="2">
        <v>3054432.0</v>
      </c>
      <c r="H1253" s="2">
        <v>180307.0</v>
      </c>
      <c r="I1253" s="2">
        <v>8207622.0</v>
      </c>
      <c r="J1253" s="2">
        <v>6080951.0</v>
      </c>
      <c r="K1253" s="2">
        <v>2126671.0</v>
      </c>
    </row>
    <row r="1254">
      <c r="A1254" s="2">
        <v>2022.0</v>
      </c>
      <c r="B1254" s="1" t="s">
        <v>1297</v>
      </c>
      <c r="C1254" s="2" t="s">
        <v>906</v>
      </c>
      <c r="D1254" s="2" t="s">
        <v>909</v>
      </c>
      <c r="E1254" s="2"/>
      <c r="F1254" s="2">
        <v>1969096.0</v>
      </c>
      <c r="G1254" s="2">
        <v>1338875.0</v>
      </c>
      <c r="H1254" s="2">
        <v>49679.0</v>
      </c>
      <c r="I1254" s="2">
        <v>3357650.0</v>
      </c>
      <c r="J1254" s="2">
        <v>2005631.0</v>
      </c>
      <c r="K1254" s="2">
        <v>1352019.0</v>
      </c>
    </row>
    <row r="1255">
      <c r="A1255" s="2">
        <v>2022.0</v>
      </c>
      <c r="B1255" s="1" t="s">
        <v>1297</v>
      </c>
      <c r="C1255" s="2"/>
      <c r="D1255" s="2" t="s">
        <v>911</v>
      </c>
      <c r="E1255" s="2"/>
      <c r="F1255" s="2">
        <v>2751667.0</v>
      </c>
      <c r="G1255" s="2">
        <v>2925120.0</v>
      </c>
      <c r="H1255" s="2">
        <v>89321.0</v>
      </c>
      <c r="I1255" s="2">
        <v>5766108.0</v>
      </c>
      <c r="J1255" s="2">
        <v>3793968.0</v>
      </c>
      <c r="K1255" s="2">
        <v>1972140.0</v>
      </c>
    </row>
    <row r="1256">
      <c r="A1256" s="2">
        <v>2022.0</v>
      </c>
      <c r="B1256" s="1" t="s">
        <v>1297</v>
      </c>
      <c r="C1256" s="2"/>
      <c r="D1256" s="2" t="s">
        <v>1225</v>
      </c>
      <c r="E1256" s="2"/>
      <c r="F1256" s="2">
        <v>2790343.0</v>
      </c>
      <c r="G1256" s="2">
        <v>2564054.0</v>
      </c>
      <c r="H1256" s="2">
        <v>76278.0</v>
      </c>
      <c r="I1256" s="2">
        <v>5430675.0</v>
      </c>
      <c r="J1256" s="2">
        <v>3665462.0</v>
      </c>
      <c r="K1256" s="2">
        <v>1765213.0</v>
      </c>
    </row>
    <row r="1257">
      <c r="A1257" s="2">
        <v>2022.0</v>
      </c>
      <c r="B1257" s="1" t="s">
        <v>1297</v>
      </c>
      <c r="C1257" s="2"/>
      <c r="D1257" s="2" t="s">
        <v>1227</v>
      </c>
      <c r="E1257" s="2"/>
      <c r="F1257" s="2">
        <v>1141214.0</v>
      </c>
      <c r="G1257" s="2">
        <v>2648646.0</v>
      </c>
      <c r="H1257" s="2">
        <v>40543.0</v>
      </c>
      <c r="I1257" s="2">
        <v>3830403.0</v>
      </c>
      <c r="J1257" s="2">
        <v>3408062.0</v>
      </c>
      <c r="K1257" s="2">
        <v>422341.0</v>
      </c>
    </row>
    <row r="1258">
      <c r="A1258" s="2">
        <v>2022.0</v>
      </c>
      <c r="B1258" s="1" t="s">
        <v>1297</v>
      </c>
      <c r="C1258" s="2"/>
      <c r="D1258" s="2" t="s">
        <v>1303</v>
      </c>
      <c r="E1258" s="2"/>
      <c r="F1258" s="2">
        <v>3592487.0</v>
      </c>
      <c r="G1258" s="2">
        <v>1782210.0</v>
      </c>
      <c r="H1258" s="2">
        <v>89812.0</v>
      </c>
      <c r="I1258" s="2">
        <v>5464509.0</v>
      </c>
      <c r="J1258" s="2">
        <v>3642762.0</v>
      </c>
      <c r="K1258" s="2">
        <v>1821747.0</v>
      </c>
    </row>
    <row r="1259">
      <c r="A1259" s="2">
        <v>2022.0</v>
      </c>
      <c r="B1259" s="1" t="s">
        <v>1297</v>
      </c>
      <c r="C1259" s="2"/>
      <c r="D1259" s="2" t="s">
        <v>907</v>
      </c>
      <c r="E1259" s="2"/>
      <c r="F1259" s="2">
        <v>2738041.0</v>
      </c>
      <c r="G1259" s="2">
        <v>2532685.0</v>
      </c>
      <c r="H1259" s="2">
        <v>85147.0</v>
      </c>
      <c r="I1259" s="2">
        <v>5355873.0</v>
      </c>
      <c r="J1259" s="2">
        <v>2800189.5</v>
      </c>
      <c r="K1259" s="2">
        <v>2555683.5</v>
      </c>
    </row>
    <row r="1260">
      <c r="A1260" s="2">
        <v>2022.0</v>
      </c>
      <c r="B1260" s="1" t="s">
        <v>1297</v>
      </c>
      <c r="C1260" s="2"/>
      <c r="D1260" s="2" t="s">
        <v>917</v>
      </c>
      <c r="E1260" s="2"/>
      <c r="F1260" s="2">
        <v>2885077.0</v>
      </c>
      <c r="G1260" s="2">
        <v>3457659.0</v>
      </c>
      <c r="H1260" s="2">
        <v>64305.0</v>
      </c>
      <c r="I1260" s="2">
        <v>6407041.0</v>
      </c>
      <c r="J1260" s="2">
        <v>4928167.75</v>
      </c>
      <c r="K1260" s="2">
        <v>1478873.25</v>
      </c>
    </row>
    <row r="1261">
      <c r="A1261" s="2">
        <v>2022.0</v>
      </c>
      <c r="B1261" s="1" t="s">
        <v>1297</v>
      </c>
      <c r="C1261" s="2" t="s">
        <v>1231</v>
      </c>
      <c r="D1261" s="2" t="s">
        <v>1304</v>
      </c>
      <c r="E1261" s="2"/>
      <c r="F1261" s="2">
        <v>1.5604678E7</v>
      </c>
      <c r="G1261" s="2">
        <v>6091044.0</v>
      </c>
      <c r="H1261" s="2">
        <v>377586.0</v>
      </c>
      <c r="I1261" s="2">
        <v>2.2073308E7</v>
      </c>
      <c r="J1261" s="2">
        <v>1.3759826E7</v>
      </c>
      <c r="K1261" s="2">
        <v>8313482.0</v>
      </c>
    </row>
    <row r="1262">
      <c r="A1262" s="2">
        <v>2022.0</v>
      </c>
      <c r="B1262" s="1" t="s">
        <v>1297</v>
      </c>
      <c r="C1262" s="2"/>
      <c r="D1262" s="2" t="s">
        <v>1232</v>
      </c>
      <c r="E1262" s="2"/>
      <c r="F1262" s="2">
        <v>1.0808448E7</v>
      </c>
      <c r="G1262" s="2">
        <v>2794876.0</v>
      </c>
      <c r="H1262" s="2">
        <v>404648.0</v>
      </c>
      <c r="I1262" s="2">
        <v>1.4007972E7</v>
      </c>
      <c r="J1262" s="2">
        <v>3818606.0</v>
      </c>
      <c r="K1262" s="2">
        <v>1.0189366E7</v>
      </c>
    </row>
    <row r="1263">
      <c r="A1263" s="2">
        <v>2022.0</v>
      </c>
      <c r="B1263" s="1" t="s">
        <v>1297</v>
      </c>
      <c r="C1263" s="2"/>
      <c r="D1263" s="2" t="s">
        <v>838</v>
      </c>
      <c r="E1263" s="2"/>
      <c r="F1263" s="2" t="s">
        <v>1300</v>
      </c>
    </row>
    <row r="1264">
      <c r="A1264" s="2">
        <v>2022.0</v>
      </c>
      <c r="B1264" s="1" t="s">
        <v>1297</v>
      </c>
      <c r="C1264" s="2"/>
      <c r="D1264" s="2" t="s">
        <v>1234</v>
      </c>
      <c r="E1264" s="2"/>
      <c r="F1264" s="2">
        <v>3234286.75</v>
      </c>
      <c r="G1264" s="2">
        <v>4149618.0</v>
      </c>
      <c r="H1264" s="2">
        <v>121664.0</v>
      </c>
      <c r="I1264" s="2">
        <v>7505568.75</v>
      </c>
      <c r="J1264" s="2">
        <v>4578135.0</v>
      </c>
      <c r="K1264" s="2">
        <v>2927433.75</v>
      </c>
    </row>
    <row r="1265">
      <c r="A1265" s="2">
        <v>2022.0</v>
      </c>
      <c r="B1265" s="1" t="s">
        <v>1297</v>
      </c>
      <c r="C1265" s="2"/>
      <c r="D1265" s="2" t="s">
        <v>839</v>
      </c>
      <c r="E1265" s="2"/>
      <c r="F1265" s="2">
        <v>6017020.0</v>
      </c>
      <c r="G1265" s="2">
        <v>4206391.0</v>
      </c>
      <c r="H1265" s="2">
        <v>212845.0</v>
      </c>
      <c r="I1265" s="2">
        <v>1.0436256E7</v>
      </c>
      <c r="J1265" s="2">
        <v>5521044.0</v>
      </c>
      <c r="K1265" s="2">
        <v>4915212.0</v>
      </c>
    </row>
    <row r="1266">
      <c r="A1266" s="2">
        <v>2022.0</v>
      </c>
      <c r="B1266" s="1" t="s">
        <v>1297</v>
      </c>
      <c r="C1266" s="2" t="s">
        <v>280</v>
      </c>
      <c r="D1266" s="2" t="s">
        <v>924</v>
      </c>
      <c r="E1266" s="2"/>
      <c r="F1266" s="2">
        <v>6400531.7</v>
      </c>
      <c r="G1266" s="2">
        <v>4640892.0</v>
      </c>
      <c r="H1266" s="2">
        <v>121512.0</v>
      </c>
      <c r="I1266" s="2">
        <v>1.11629357E7</v>
      </c>
      <c r="J1266" s="2">
        <v>5540393.9</v>
      </c>
      <c r="K1266" s="2">
        <v>5622541.8</v>
      </c>
    </row>
    <row r="1267">
      <c r="A1267" s="2">
        <v>2022.0</v>
      </c>
      <c r="B1267" s="1" t="s">
        <v>1297</v>
      </c>
      <c r="C1267" s="2"/>
      <c r="D1267" s="2" t="s">
        <v>288</v>
      </c>
      <c r="E1267" s="2"/>
      <c r="F1267" s="2">
        <v>1.6983147E7</v>
      </c>
      <c r="G1267" s="2">
        <v>6740272.0</v>
      </c>
      <c r="H1267" s="2">
        <v>396653.0</v>
      </c>
      <c r="I1267" s="2">
        <v>2.4120072E7</v>
      </c>
      <c r="J1267" s="2">
        <v>1.3183591E7</v>
      </c>
      <c r="K1267" s="2">
        <v>1.0936481E7</v>
      </c>
    </row>
    <row r="1268">
      <c r="A1268" s="2">
        <v>2022.0</v>
      </c>
      <c r="B1268" s="1" t="s">
        <v>1297</v>
      </c>
      <c r="C1268" s="2"/>
      <c r="D1268" s="2" t="s">
        <v>286</v>
      </c>
      <c r="E1268" s="2"/>
      <c r="F1268" s="2">
        <v>1.5962186E7</v>
      </c>
      <c r="G1268" s="2">
        <v>3647430.0</v>
      </c>
      <c r="H1268" s="2">
        <v>368068.0</v>
      </c>
      <c r="I1268" s="2">
        <v>1.9977684E7</v>
      </c>
      <c r="J1268" s="2">
        <v>7358316.0</v>
      </c>
      <c r="K1268" s="2">
        <v>1.2619368E7</v>
      </c>
    </row>
    <row r="1269">
      <c r="A1269" s="2">
        <v>2022.0</v>
      </c>
      <c r="B1269" s="1" t="s">
        <v>1297</v>
      </c>
      <c r="C1269" s="2"/>
      <c r="D1269" s="2" t="s">
        <v>280</v>
      </c>
      <c r="E1269" s="2"/>
      <c r="F1269" s="2">
        <v>8466585.0</v>
      </c>
      <c r="G1269" s="2">
        <v>4077851.0</v>
      </c>
      <c r="H1269" s="2">
        <v>175493.0</v>
      </c>
      <c r="I1269" s="2">
        <v>1.2719929E7</v>
      </c>
      <c r="J1269" s="2">
        <v>6862054.0</v>
      </c>
      <c r="K1269" s="2">
        <v>5857875.0</v>
      </c>
    </row>
    <row r="1270">
      <c r="A1270" s="2">
        <v>2022.0</v>
      </c>
      <c r="B1270" s="1" t="s">
        <v>1297</v>
      </c>
      <c r="C1270" s="2"/>
      <c r="D1270" s="2" t="s">
        <v>1236</v>
      </c>
      <c r="E1270" s="2"/>
      <c r="F1270" s="2">
        <v>6927446.0</v>
      </c>
      <c r="G1270" s="2">
        <v>5129402.0</v>
      </c>
      <c r="H1270" s="2">
        <v>203175.0</v>
      </c>
      <c r="I1270" s="2">
        <v>1.2260023E7</v>
      </c>
      <c r="J1270" s="2">
        <v>6208390.0</v>
      </c>
      <c r="K1270" s="2">
        <v>6051633.0</v>
      </c>
    </row>
    <row r="1271">
      <c r="A1271" s="2">
        <v>2022.0</v>
      </c>
      <c r="B1271" s="1" t="s">
        <v>1297</v>
      </c>
      <c r="C1271" s="2" t="s">
        <v>925</v>
      </c>
      <c r="D1271" s="2" t="s">
        <v>1238</v>
      </c>
      <c r="E1271" s="2"/>
      <c r="F1271" s="2">
        <v>5007497.0</v>
      </c>
      <c r="G1271" s="2">
        <v>4394000.0</v>
      </c>
      <c r="H1271" s="2">
        <v>170143.0</v>
      </c>
      <c r="I1271" s="2">
        <v>9571640.0</v>
      </c>
      <c r="J1271" s="2">
        <v>4902888.0</v>
      </c>
      <c r="K1271" s="2">
        <v>4668752.0</v>
      </c>
    </row>
    <row r="1272">
      <c r="A1272" s="2">
        <v>2022.0</v>
      </c>
      <c r="B1272" s="1" t="s">
        <v>1297</v>
      </c>
      <c r="C1272" s="2"/>
      <c r="D1272" s="2" t="s">
        <v>931</v>
      </c>
      <c r="E1272" s="2"/>
      <c r="F1272" s="2">
        <v>1.0646932E7</v>
      </c>
      <c r="G1272" s="2">
        <v>3917858.0</v>
      </c>
      <c r="H1272" s="2">
        <v>372396.0</v>
      </c>
      <c r="I1272" s="2">
        <v>1.4937186E7</v>
      </c>
      <c r="J1272" s="2">
        <v>7627375.0</v>
      </c>
      <c r="K1272" s="2">
        <v>7309811.0</v>
      </c>
    </row>
    <row r="1273">
      <c r="A1273" s="2">
        <v>2022.0</v>
      </c>
      <c r="B1273" s="1" t="s">
        <v>1297</v>
      </c>
      <c r="C1273" s="2"/>
      <c r="D1273" s="2" t="s">
        <v>928</v>
      </c>
      <c r="E1273" s="2"/>
      <c r="F1273" s="2">
        <v>3570549.0</v>
      </c>
      <c r="G1273" s="2">
        <v>2142901.0</v>
      </c>
      <c r="H1273" s="2">
        <v>133841.0</v>
      </c>
      <c r="I1273" s="2">
        <v>5847291.0</v>
      </c>
      <c r="J1273" s="2">
        <v>2401937.0</v>
      </c>
      <c r="K1273" s="2">
        <v>3445354.0</v>
      </c>
    </row>
    <row r="1274">
      <c r="A1274" s="2">
        <v>2022.0</v>
      </c>
      <c r="B1274" s="1" t="s">
        <v>1297</v>
      </c>
      <c r="C1274" s="2"/>
      <c r="D1274" s="2" t="s">
        <v>1223</v>
      </c>
      <c r="E1274" s="2"/>
      <c r="F1274" s="2">
        <v>6494190.0</v>
      </c>
      <c r="G1274" s="2">
        <v>2924108.0</v>
      </c>
      <c r="H1274" s="2">
        <v>223582.0</v>
      </c>
      <c r="I1274" s="2">
        <v>9641880.0</v>
      </c>
      <c r="J1274" s="2">
        <v>6369369.0</v>
      </c>
      <c r="K1274" s="2">
        <v>3272511.0</v>
      </c>
    </row>
    <row r="1275">
      <c r="A1275" s="2">
        <v>2022.0</v>
      </c>
      <c r="B1275" s="1" t="s">
        <v>1297</v>
      </c>
      <c r="C1275" s="2"/>
      <c r="D1275" s="2" t="s">
        <v>1239</v>
      </c>
      <c r="E1275" s="2"/>
      <c r="F1275" s="2">
        <v>5659944.0</v>
      </c>
      <c r="G1275" s="2">
        <v>4890570.0</v>
      </c>
      <c r="H1275" s="2">
        <v>223058.0</v>
      </c>
      <c r="I1275" s="2">
        <v>1.0773572E7</v>
      </c>
      <c r="J1275" s="2">
        <v>3986328.0</v>
      </c>
      <c r="K1275" s="2">
        <v>6787244.0</v>
      </c>
    </row>
    <row r="1276">
      <c r="A1276" s="2">
        <v>2022.0</v>
      </c>
      <c r="B1276" s="1" t="s">
        <v>1297</v>
      </c>
      <c r="C1276" s="2"/>
      <c r="D1276" s="2" t="s">
        <v>1240</v>
      </c>
      <c r="E1276" s="2"/>
      <c r="F1276" s="2">
        <v>8476394.0</v>
      </c>
      <c r="G1276" s="2">
        <v>4510795.0</v>
      </c>
      <c r="H1276" s="2">
        <v>238163.0</v>
      </c>
      <c r="I1276" s="2">
        <v>1.6693352E7</v>
      </c>
      <c r="J1276" s="2">
        <v>1.0733131E7</v>
      </c>
      <c r="K1276" s="2">
        <v>5960221.0</v>
      </c>
    </row>
    <row r="1277">
      <c r="A1277" s="2">
        <v>2022.0</v>
      </c>
      <c r="B1277" s="1" t="s">
        <v>1297</v>
      </c>
      <c r="C1277" s="2" t="s">
        <v>877</v>
      </c>
      <c r="D1277" s="2" t="s">
        <v>79</v>
      </c>
      <c r="E1277" s="2"/>
      <c r="F1277" s="2">
        <v>2689238.0</v>
      </c>
      <c r="G1277" s="2">
        <v>3389960.0</v>
      </c>
      <c r="H1277" s="2">
        <v>17614.0</v>
      </c>
      <c r="I1277" s="2">
        <v>6096812.0</v>
      </c>
      <c r="J1277" s="2">
        <v>4074079.0</v>
      </c>
      <c r="K1277" s="2">
        <v>2022733.0</v>
      </c>
    </row>
    <row r="1278">
      <c r="A1278" s="2">
        <v>2022.0</v>
      </c>
      <c r="B1278" s="1" t="s">
        <v>1297</v>
      </c>
      <c r="C1278" s="2"/>
      <c r="D1278" s="2" t="s">
        <v>604</v>
      </c>
      <c r="E1278" s="2"/>
      <c r="F1278" s="2">
        <v>1023998.0</v>
      </c>
      <c r="G1278" s="2">
        <v>1363238.0</v>
      </c>
      <c r="H1278" s="2">
        <v>22647.0</v>
      </c>
      <c r="I1278" s="2">
        <v>2409883.0</v>
      </c>
      <c r="J1278" s="2">
        <v>1982395.0</v>
      </c>
      <c r="K1278" s="2">
        <v>427488.0</v>
      </c>
    </row>
    <row r="1279">
      <c r="A1279" s="2">
        <v>2022.0</v>
      </c>
      <c r="B1279" s="1" t="s">
        <v>1297</v>
      </c>
      <c r="C1279" s="2"/>
      <c r="D1279" s="2" t="s">
        <v>892</v>
      </c>
      <c r="E1279" s="2"/>
      <c r="F1279" s="2">
        <v>4065961.0</v>
      </c>
      <c r="G1279" s="2">
        <v>2399901.0</v>
      </c>
      <c r="H1279" s="2">
        <v>137659.0</v>
      </c>
      <c r="I1279" s="2">
        <v>6603521.0</v>
      </c>
      <c r="J1279" s="2">
        <v>4303055.0</v>
      </c>
      <c r="K1279" s="2">
        <v>2300466.0</v>
      </c>
    </row>
    <row r="1280">
      <c r="A1280" s="2">
        <v>2022.0</v>
      </c>
      <c r="B1280" s="1" t="s">
        <v>1297</v>
      </c>
      <c r="C1280" s="2"/>
      <c r="D1280" s="2" t="s">
        <v>1306</v>
      </c>
      <c r="E1280" s="2"/>
      <c r="F1280" s="2">
        <v>1886521.0</v>
      </c>
      <c r="G1280" s="2">
        <v>1948655.0</v>
      </c>
      <c r="H1280" s="2">
        <v>33341.0</v>
      </c>
      <c r="I1280" s="2">
        <v>3868517.0</v>
      </c>
      <c r="J1280" s="2">
        <v>2504482.0</v>
      </c>
      <c r="K1280" s="2">
        <v>1364035.0</v>
      </c>
    </row>
    <row r="1281">
      <c r="A1281" s="2">
        <v>2022.0</v>
      </c>
      <c r="B1281" s="1" t="s">
        <v>1297</v>
      </c>
      <c r="C1281" s="2"/>
      <c r="D1281" s="2" t="s">
        <v>1307</v>
      </c>
      <c r="E1281" s="2"/>
      <c r="F1281" s="2">
        <v>4155290.0</v>
      </c>
      <c r="G1281" s="2">
        <v>2388120.0</v>
      </c>
      <c r="H1281" s="2">
        <v>11591.0</v>
      </c>
      <c r="I1281" s="2">
        <v>6555001.0</v>
      </c>
      <c r="J1281" s="2">
        <v>3279142.0</v>
      </c>
      <c r="K1281" s="2">
        <v>3275859.0</v>
      </c>
    </row>
    <row r="1282">
      <c r="A1282" s="2">
        <v>2022.0</v>
      </c>
      <c r="B1282" s="1" t="s">
        <v>1297</v>
      </c>
      <c r="C1282" s="2"/>
      <c r="D1282" s="2" t="s">
        <v>607</v>
      </c>
      <c r="E1282" s="2"/>
      <c r="F1282" s="2">
        <v>6198673.0</v>
      </c>
      <c r="G1282" s="2">
        <v>1.5713223E7</v>
      </c>
      <c r="H1282" s="2">
        <v>61690.0</v>
      </c>
      <c r="I1282" s="2">
        <v>2.1973586E7</v>
      </c>
      <c r="J1282" s="2">
        <v>1.6209992E7</v>
      </c>
      <c r="K1282" s="2">
        <v>5763594.0</v>
      </c>
    </row>
    <row r="1283">
      <c r="A1283" s="2">
        <v>2022.0</v>
      </c>
      <c r="B1283" s="1" t="s">
        <v>1297</v>
      </c>
      <c r="C1283" s="2"/>
      <c r="D1283" s="2" t="s">
        <v>1120</v>
      </c>
      <c r="E1283" s="2"/>
      <c r="F1283" s="2">
        <v>2389463.0</v>
      </c>
      <c r="G1283" s="2">
        <v>2208833.0</v>
      </c>
      <c r="H1283" s="2">
        <v>23581.0</v>
      </c>
      <c r="I1283" s="2">
        <v>4621877.0</v>
      </c>
      <c r="J1283" s="2">
        <v>2639422.0</v>
      </c>
      <c r="K1283" s="2">
        <v>1982455.0</v>
      </c>
    </row>
    <row r="1284">
      <c r="A1284" s="2">
        <v>2022.0</v>
      </c>
      <c r="B1284" s="1" t="s">
        <v>1297</v>
      </c>
      <c r="C1284" s="2" t="s">
        <v>63</v>
      </c>
      <c r="D1284" s="2" t="s">
        <v>68</v>
      </c>
      <c r="E1284" s="2"/>
      <c r="F1284" s="2">
        <v>6367146.0</v>
      </c>
      <c r="G1284" s="2">
        <v>3676088.0</v>
      </c>
      <c r="H1284" s="2">
        <v>79094.0</v>
      </c>
      <c r="I1284" s="2">
        <v>1.0122328E7</v>
      </c>
      <c r="J1284" s="2">
        <v>5948060.0</v>
      </c>
      <c r="K1284" s="2">
        <v>4174268.0</v>
      </c>
    </row>
    <row r="1285">
      <c r="A1285" s="2">
        <v>2022.0</v>
      </c>
      <c r="B1285" s="1" t="s">
        <v>1297</v>
      </c>
      <c r="C1285" s="2"/>
      <c r="D1285" s="2" t="s">
        <v>77</v>
      </c>
      <c r="E1285" s="2"/>
      <c r="F1285" s="2">
        <v>4637936.0</v>
      </c>
      <c r="G1285" s="2">
        <v>4761632.0</v>
      </c>
      <c r="H1285" s="2">
        <v>138580.0</v>
      </c>
      <c r="I1285" s="2">
        <v>9538148.0</v>
      </c>
      <c r="J1285" s="2">
        <v>4631596.0</v>
      </c>
      <c r="K1285" s="2">
        <v>4906552.0</v>
      </c>
    </row>
    <row r="1286">
      <c r="A1286" s="2">
        <v>2022.0</v>
      </c>
      <c r="B1286" s="1" t="s">
        <v>1297</v>
      </c>
      <c r="C1286" s="2"/>
      <c r="D1286" s="2" t="s">
        <v>73</v>
      </c>
      <c r="E1286" s="2"/>
      <c r="F1286" s="2">
        <v>4326858.0</v>
      </c>
      <c r="G1286" s="2">
        <v>1.2288511E7</v>
      </c>
      <c r="H1286" s="2">
        <v>152712.0</v>
      </c>
      <c r="I1286" s="2">
        <v>1.6768081E7</v>
      </c>
      <c r="J1286" s="2">
        <v>9499136.0</v>
      </c>
      <c r="K1286" s="2">
        <v>7268945.0</v>
      </c>
    </row>
    <row r="1287">
      <c r="A1287" s="2">
        <v>2022.0</v>
      </c>
      <c r="B1287" s="1" t="s">
        <v>1297</v>
      </c>
      <c r="C1287" s="2"/>
      <c r="D1287" s="2" t="s">
        <v>64</v>
      </c>
      <c r="E1287" s="2"/>
      <c r="F1287" s="2">
        <v>6323430.0</v>
      </c>
      <c r="G1287" s="2">
        <v>3833151.0</v>
      </c>
      <c r="H1287" s="2">
        <v>80439.0</v>
      </c>
      <c r="I1287" s="2">
        <v>1.023702E7</v>
      </c>
      <c r="J1287" s="2">
        <v>5998892.0</v>
      </c>
      <c r="K1287" s="2">
        <v>4238128.0</v>
      </c>
    </row>
    <row r="1288">
      <c r="A1288" s="2">
        <v>2022.0</v>
      </c>
      <c r="B1288" s="1" t="s">
        <v>1297</v>
      </c>
      <c r="C1288" s="2" t="s">
        <v>176</v>
      </c>
      <c r="D1288" s="2" t="s">
        <v>456</v>
      </c>
      <c r="E1288" s="2"/>
      <c r="F1288" s="2">
        <v>1486329.0</v>
      </c>
      <c r="G1288" s="2">
        <v>1908388.0</v>
      </c>
      <c r="H1288" s="2">
        <v>37468.0</v>
      </c>
      <c r="I1288" s="2">
        <v>3432185.0</v>
      </c>
      <c r="J1288" s="2">
        <v>2728271.0</v>
      </c>
      <c r="K1288" s="2">
        <v>703916.0</v>
      </c>
    </row>
    <row r="1289">
      <c r="A1289" s="2">
        <v>2022.0</v>
      </c>
      <c r="B1289" s="1" t="s">
        <v>1297</v>
      </c>
      <c r="C1289" s="2"/>
      <c r="D1289" s="2" t="s">
        <v>193</v>
      </c>
      <c r="E1289" s="2"/>
      <c r="F1289" s="2">
        <v>4756248.0</v>
      </c>
      <c r="G1289" s="2">
        <v>3957262.0</v>
      </c>
      <c r="H1289" s="2">
        <v>221825.0</v>
      </c>
      <c r="I1289" s="2">
        <v>8935335.0</v>
      </c>
      <c r="J1289" s="2">
        <v>4240779.0</v>
      </c>
      <c r="K1289" s="2">
        <v>5064556.0</v>
      </c>
    </row>
    <row r="1290">
      <c r="A1290" s="2">
        <v>2022.0</v>
      </c>
      <c r="B1290" s="1" t="s">
        <v>1297</v>
      </c>
      <c r="C1290" s="2"/>
      <c r="D1290" s="2" t="s">
        <v>1244</v>
      </c>
      <c r="E1290" s="2"/>
      <c r="F1290" s="2">
        <v>2635784.0</v>
      </c>
      <c r="G1290" s="2">
        <v>2098839.0</v>
      </c>
      <c r="H1290" s="2">
        <v>71904.0</v>
      </c>
      <c r="I1290" s="2">
        <v>4806527.0</v>
      </c>
      <c r="J1290" s="2">
        <v>3557247.0</v>
      </c>
      <c r="K1290" s="2">
        <v>1249280.0</v>
      </c>
    </row>
    <row r="1291">
      <c r="A1291" s="2">
        <v>2022.0</v>
      </c>
      <c r="B1291" s="1" t="s">
        <v>1297</v>
      </c>
      <c r="C1291" s="2"/>
      <c r="D1291" s="2" t="s">
        <v>1246</v>
      </c>
      <c r="E1291" s="2"/>
      <c r="F1291" s="2">
        <v>3802204.0</v>
      </c>
      <c r="G1291" s="2">
        <v>3926142.0</v>
      </c>
      <c r="H1291" s="2">
        <v>171796.0</v>
      </c>
      <c r="I1291" s="2">
        <v>7900142.0</v>
      </c>
      <c r="J1291" s="2">
        <v>4039622.0</v>
      </c>
      <c r="K1291" s="2">
        <v>3860520.0</v>
      </c>
    </row>
    <row r="1292">
      <c r="A1292" s="2">
        <v>2022.0</v>
      </c>
      <c r="B1292" s="1" t="s">
        <v>1297</v>
      </c>
      <c r="C1292" s="2"/>
      <c r="D1292" s="2" t="s">
        <v>176</v>
      </c>
      <c r="E1292" s="2"/>
      <c r="F1292" s="2">
        <v>4616837.0</v>
      </c>
      <c r="G1292" s="2">
        <v>2403130.0</v>
      </c>
      <c r="H1292" s="2">
        <v>162927.0</v>
      </c>
      <c r="I1292" s="2">
        <v>7182894.0</v>
      </c>
      <c r="J1292" s="2">
        <v>3809918.0</v>
      </c>
      <c r="K1292" s="2">
        <v>3372976.0</v>
      </c>
    </row>
    <row r="1293">
      <c r="A1293" s="2">
        <v>2022.0</v>
      </c>
      <c r="B1293" s="1" t="s">
        <v>1297</v>
      </c>
      <c r="C1293" s="2"/>
      <c r="D1293" s="2" t="s">
        <v>747</v>
      </c>
      <c r="E1293" s="2"/>
      <c r="F1293" s="2">
        <v>8490676.0</v>
      </c>
      <c r="G1293" s="2">
        <v>2993842.0</v>
      </c>
      <c r="H1293" s="2">
        <v>160737.0</v>
      </c>
      <c r="I1293" s="2">
        <v>1.1645255E7</v>
      </c>
      <c r="J1293" s="2">
        <v>8140616.0</v>
      </c>
      <c r="K1293" s="2">
        <v>3504639.0</v>
      </c>
    </row>
    <row r="1294">
      <c r="A1294" s="2">
        <v>2022.0</v>
      </c>
      <c r="B1294" s="1" t="s">
        <v>1297</v>
      </c>
      <c r="C1294" s="2" t="s">
        <v>844</v>
      </c>
      <c r="D1294" s="2" t="s">
        <v>265</v>
      </c>
      <c r="E1294" s="2"/>
      <c r="F1294" s="2">
        <v>5393773.0</v>
      </c>
      <c r="G1294" s="2">
        <v>3107290.0</v>
      </c>
      <c r="H1294" s="2">
        <v>114492.0</v>
      </c>
      <c r="I1294" s="2">
        <v>8615555.0</v>
      </c>
      <c r="J1294" s="2">
        <v>3137959.0</v>
      </c>
      <c r="K1294" s="2">
        <v>5477596.0</v>
      </c>
    </row>
    <row r="1295">
      <c r="A1295" s="2">
        <v>2022.0</v>
      </c>
      <c r="B1295" s="1" t="s">
        <v>1297</v>
      </c>
      <c r="C1295" s="2"/>
      <c r="D1295" s="2" t="s">
        <v>245</v>
      </c>
      <c r="E1295" s="2"/>
      <c r="F1295" s="2">
        <v>6630655.0</v>
      </c>
      <c r="G1295" s="2">
        <v>1958577.0</v>
      </c>
      <c r="H1295" s="2">
        <v>167682.0</v>
      </c>
      <c r="I1295" s="2">
        <v>8756914.0</v>
      </c>
      <c r="J1295" s="2">
        <v>2515668.0</v>
      </c>
      <c r="K1295" s="2">
        <v>6241246.0</v>
      </c>
    </row>
    <row r="1296">
      <c r="A1296" s="2">
        <v>2022.0</v>
      </c>
      <c r="B1296" s="1" t="s">
        <v>1297</v>
      </c>
      <c r="C1296" s="2"/>
      <c r="D1296" s="2" t="s">
        <v>1160</v>
      </c>
      <c r="E1296" s="2"/>
      <c r="F1296" s="2">
        <v>4506561.0</v>
      </c>
      <c r="G1296" s="2">
        <v>4842644.0</v>
      </c>
      <c r="H1296" s="2">
        <v>106720.0</v>
      </c>
      <c r="I1296" s="2">
        <v>9455925.0</v>
      </c>
      <c r="J1296" s="2">
        <v>4816087.0</v>
      </c>
      <c r="K1296" s="2">
        <v>4639838.0</v>
      </c>
    </row>
    <row r="1297">
      <c r="A1297" s="2">
        <v>2022.0</v>
      </c>
      <c r="B1297" s="1" t="s">
        <v>1297</v>
      </c>
      <c r="C1297" s="2"/>
      <c r="D1297" s="2" t="s">
        <v>274</v>
      </c>
      <c r="E1297" s="2"/>
      <c r="F1297" s="2">
        <v>3712391.0</v>
      </c>
      <c r="G1297" s="2">
        <v>5540380.0</v>
      </c>
      <c r="H1297" s="2">
        <v>82495.0</v>
      </c>
      <c r="I1297" s="2">
        <v>9335266.0</v>
      </c>
      <c r="J1297" s="2">
        <v>7423111.0</v>
      </c>
      <c r="K1297" s="2">
        <v>1912155.0</v>
      </c>
    </row>
    <row r="1298">
      <c r="A1298" s="2">
        <v>2022.0</v>
      </c>
      <c r="B1298" s="1" t="s">
        <v>1297</v>
      </c>
      <c r="C1298" s="2"/>
      <c r="D1298" s="2" t="s">
        <v>241</v>
      </c>
      <c r="E1298" s="2"/>
      <c r="F1298" s="2">
        <v>4074168.0</v>
      </c>
      <c r="G1298" s="2">
        <v>2999238.0</v>
      </c>
      <c r="H1298" s="2">
        <v>127523.0</v>
      </c>
      <c r="I1298" s="2">
        <v>7200929.0</v>
      </c>
      <c r="J1298" s="2">
        <v>3047396.0</v>
      </c>
      <c r="K1298" s="2">
        <v>4153533.0</v>
      </c>
    </row>
    <row r="1299">
      <c r="A1299" s="2">
        <v>2022.0</v>
      </c>
      <c r="B1299" s="1" t="s">
        <v>1297</v>
      </c>
      <c r="C1299" s="2"/>
      <c r="D1299" s="2" t="s">
        <v>848</v>
      </c>
      <c r="E1299" s="2"/>
      <c r="F1299" s="2">
        <v>5491221.0</v>
      </c>
      <c r="G1299" s="2">
        <v>4181853.0</v>
      </c>
      <c r="H1299" s="2">
        <v>127734.0</v>
      </c>
      <c r="I1299" s="2">
        <v>9800807.0</v>
      </c>
      <c r="J1299" s="2">
        <v>3662835.0</v>
      </c>
      <c r="K1299" s="2">
        <v>6137972.0</v>
      </c>
    </row>
    <row r="1300">
      <c r="A1300" s="2">
        <v>2022.0</v>
      </c>
      <c r="B1300" s="1" t="s">
        <v>1297</v>
      </c>
      <c r="C1300" s="2"/>
      <c r="D1300" s="2" t="s">
        <v>1252</v>
      </c>
      <c r="E1300" s="2"/>
      <c r="F1300" s="2">
        <v>3334866.0</v>
      </c>
      <c r="G1300" s="2">
        <v>2835916.0</v>
      </c>
      <c r="H1300" s="2">
        <v>79154.0</v>
      </c>
      <c r="I1300" s="2">
        <v>6249936.0</v>
      </c>
      <c r="J1300" s="2">
        <v>3158006.0</v>
      </c>
      <c r="K1300" s="2">
        <v>3091930.0</v>
      </c>
    </row>
    <row r="1301">
      <c r="A1301" s="2">
        <v>2022.0</v>
      </c>
      <c r="B1301" s="1" t="s">
        <v>1297</v>
      </c>
      <c r="C1301" s="2"/>
      <c r="D1301" s="2" t="s">
        <v>1254</v>
      </c>
      <c r="E1301" s="2"/>
      <c r="F1301" s="2">
        <v>3992715.0</v>
      </c>
      <c r="G1301" s="2">
        <v>3505688.0</v>
      </c>
      <c r="H1301" s="2">
        <v>99903.0</v>
      </c>
      <c r="I1301" s="2">
        <v>7598306.0</v>
      </c>
      <c r="J1301" s="2">
        <v>5377490.0</v>
      </c>
      <c r="K1301" s="2">
        <v>2220816.0</v>
      </c>
    </row>
    <row r="1302">
      <c r="A1302" s="2">
        <v>2022.0</v>
      </c>
      <c r="B1302" s="1" t="s">
        <v>1297</v>
      </c>
      <c r="C1302" s="2"/>
      <c r="D1302" s="2" t="s">
        <v>253</v>
      </c>
      <c r="E1302" s="2"/>
      <c r="F1302" s="2">
        <v>6283053.0</v>
      </c>
      <c r="G1302" s="2">
        <v>3825792.0</v>
      </c>
      <c r="H1302" s="2">
        <v>129920.0</v>
      </c>
      <c r="I1302" s="2">
        <v>1.0238765E7</v>
      </c>
      <c r="J1302" s="2">
        <v>5259789.0</v>
      </c>
      <c r="K1302" s="2">
        <v>4978976.0</v>
      </c>
    </row>
    <row r="1303">
      <c r="A1303" s="2">
        <v>2022.0</v>
      </c>
      <c r="B1303" s="1" t="s">
        <v>1297</v>
      </c>
      <c r="C1303" s="2"/>
      <c r="D1303" s="2" t="s">
        <v>1258</v>
      </c>
      <c r="E1303" s="2"/>
      <c r="F1303" s="2">
        <v>3399376.0</v>
      </c>
      <c r="G1303" s="2">
        <v>3279816.0</v>
      </c>
      <c r="H1303" s="2">
        <v>100242.0</v>
      </c>
      <c r="I1303" s="2">
        <v>6779434.0</v>
      </c>
      <c r="J1303" s="2">
        <v>4022783.0</v>
      </c>
      <c r="K1303" s="2">
        <v>2756651.0</v>
      </c>
    </row>
    <row r="1304">
      <c r="A1304" s="2">
        <v>2022.0</v>
      </c>
      <c r="B1304" s="1" t="s">
        <v>1297</v>
      </c>
      <c r="C1304" s="2" t="s">
        <v>623</v>
      </c>
      <c r="D1304" s="2" t="s">
        <v>958</v>
      </c>
      <c r="E1304" s="2"/>
      <c r="F1304" s="2">
        <v>1472551.0</v>
      </c>
      <c r="G1304" s="2">
        <v>1309338.0</v>
      </c>
      <c r="H1304" s="2">
        <v>54938.0</v>
      </c>
      <c r="I1304" s="2">
        <v>2836827.0</v>
      </c>
      <c r="J1304" s="2">
        <v>2057931.0</v>
      </c>
      <c r="K1304" s="2">
        <v>778896.0</v>
      </c>
    </row>
    <row r="1305">
      <c r="A1305" s="2">
        <v>2022.0</v>
      </c>
      <c r="B1305" s="1" t="s">
        <v>1297</v>
      </c>
      <c r="C1305" s="2"/>
      <c r="D1305" s="2" t="s">
        <v>815</v>
      </c>
      <c r="E1305" s="2"/>
      <c r="F1305" s="2">
        <v>1601653.0</v>
      </c>
      <c r="G1305" s="2">
        <v>2220300.0</v>
      </c>
      <c r="H1305" s="2">
        <v>53519.0</v>
      </c>
      <c r="I1305" s="2">
        <v>3875472.0</v>
      </c>
      <c r="J1305" s="2">
        <v>2781836.0</v>
      </c>
      <c r="K1305" s="2">
        <v>1093636.0</v>
      </c>
    </row>
    <row r="1306">
      <c r="A1306" s="2">
        <v>2022.0</v>
      </c>
      <c r="B1306" s="1" t="s">
        <v>1297</v>
      </c>
      <c r="C1306" s="2"/>
      <c r="D1306" s="2" t="s">
        <v>1308</v>
      </c>
      <c r="E1306" s="2"/>
      <c r="F1306" s="2">
        <v>2444095.0</v>
      </c>
      <c r="G1306" s="2">
        <v>2252951.0</v>
      </c>
      <c r="H1306" s="2">
        <v>56840.0</v>
      </c>
      <c r="I1306" s="2">
        <v>4753886.0</v>
      </c>
      <c r="J1306" s="2">
        <v>3373119.0</v>
      </c>
      <c r="K1306" s="2">
        <v>1380767.0</v>
      </c>
    </row>
    <row r="1307">
      <c r="A1307" s="2">
        <v>2022.0</v>
      </c>
      <c r="B1307" s="1" t="s">
        <v>1297</v>
      </c>
      <c r="C1307" s="2"/>
      <c r="D1307" s="2" t="s">
        <v>955</v>
      </c>
      <c r="E1307" s="2"/>
      <c r="F1307" s="2">
        <v>2017818.0</v>
      </c>
      <c r="G1307" s="2">
        <v>1760480.0</v>
      </c>
      <c r="H1307" s="2">
        <v>76076.0</v>
      </c>
      <c r="I1307" s="2">
        <v>3854374.0</v>
      </c>
      <c r="J1307" s="2">
        <v>2294623.0</v>
      </c>
      <c r="K1307" s="2">
        <v>1559751.0</v>
      </c>
    </row>
    <row r="1308">
      <c r="A1308" s="2">
        <v>2022.0</v>
      </c>
      <c r="B1308" s="1" t="s">
        <v>1297</v>
      </c>
      <c r="C1308" s="2"/>
      <c r="D1308" s="2" t="s">
        <v>1309</v>
      </c>
      <c r="E1308" s="2"/>
      <c r="F1308" s="2">
        <v>3112428.0</v>
      </c>
      <c r="G1308" s="2">
        <v>2199872.0</v>
      </c>
      <c r="H1308" s="2">
        <v>64441.0</v>
      </c>
      <c r="I1308" s="2">
        <v>5376741.0</v>
      </c>
      <c r="J1308" s="2">
        <v>3454749.0</v>
      </c>
      <c r="K1308" s="2">
        <v>1921992.0</v>
      </c>
    </row>
    <row r="1309">
      <c r="A1309" s="2">
        <v>2022.0</v>
      </c>
      <c r="B1309" s="1" t="s">
        <v>1297</v>
      </c>
      <c r="C1309" s="2"/>
      <c r="D1309" s="2" t="s">
        <v>979</v>
      </c>
      <c r="E1309" s="2"/>
      <c r="F1309" s="2">
        <v>2115076.0</v>
      </c>
      <c r="G1309" s="2">
        <v>3364174.0</v>
      </c>
      <c r="H1309" s="2">
        <v>74078.0</v>
      </c>
      <c r="I1309" s="2">
        <v>5553328.0</v>
      </c>
      <c r="J1309" s="2">
        <v>4302091.0</v>
      </c>
      <c r="K1309" s="2">
        <v>1251237.0</v>
      </c>
    </row>
    <row r="1310">
      <c r="A1310" s="2">
        <v>2022.0</v>
      </c>
      <c r="B1310" s="1" t="s">
        <v>1297</v>
      </c>
      <c r="C1310" s="2"/>
      <c r="D1310" s="2" t="s">
        <v>623</v>
      </c>
      <c r="E1310" s="2"/>
      <c r="F1310" s="2">
        <v>585979.0</v>
      </c>
      <c r="G1310" s="2">
        <v>4554640.0</v>
      </c>
      <c r="H1310" s="2">
        <v>38206.0</v>
      </c>
      <c r="I1310" s="2">
        <v>5178825.0</v>
      </c>
      <c r="J1310" s="2">
        <v>3917259.0</v>
      </c>
      <c r="K1310" s="2">
        <v>1261566.0</v>
      </c>
    </row>
    <row r="1311">
      <c r="A1311" s="2">
        <v>2022.0</v>
      </c>
      <c r="B1311" s="1" t="s">
        <v>1297</v>
      </c>
      <c r="C1311" s="2"/>
      <c r="D1311" s="2" t="s">
        <v>1310</v>
      </c>
      <c r="E1311" s="2"/>
      <c r="F1311" s="2">
        <v>2326256.0</v>
      </c>
      <c r="G1311" s="2">
        <v>2143330.0</v>
      </c>
      <c r="H1311" s="2">
        <v>80414.0</v>
      </c>
      <c r="I1311" s="2">
        <v>4550000.0</v>
      </c>
      <c r="J1311" s="2">
        <v>2832549.0</v>
      </c>
      <c r="K1311" s="2">
        <v>1717451.0</v>
      </c>
    </row>
    <row r="1312">
      <c r="A1312" s="2">
        <v>2022.0</v>
      </c>
      <c r="B1312" s="1" t="s">
        <v>1297</v>
      </c>
      <c r="C1312" s="2"/>
      <c r="D1312" s="2" t="s">
        <v>953</v>
      </c>
      <c r="E1312" s="2"/>
      <c r="F1312" s="2">
        <v>1812291.0</v>
      </c>
      <c r="G1312" s="2">
        <v>1082830.0</v>
      </c>
      <c r="H1312" s="2">
        <v>52846.0</v>
      </c>
      <c r="I1312" s="2">
        <v>2947967.0</v>
      </c>
      <c r="J1312" s="2">
        <v>2267351.0</v>
      </c>
      <c r="K1312" s="2">
        <v>680616.0</v>
      </c>
    </row>
    <row r="1313">
      <c r="A1313" s="2">
        <v>2022.0</v>
      </c>
      <c r="B1313" s="1" t="s">
        <v>1297</v>
      </c>
      <c r="C1313" s="2"/>
      <c r="D1313" s="2" t="s">
        <v>1260</v>
      </c>
      <c r="E1313" s="2"/>
      <c r="F1313" s="2">
        <v>2759391.0</v>
      </c>
      <c r="G1313" s="2">
        <v>3129828.0</v>
      </c>
      <c r="H1313" s="2">
        <v>77795.0</v>
      </c>
      <c r="I1313" s="2">
        <v>5967014.0</v>
      </c>
      <c r="J1313" s="2">
        <v>4101989.0</v>
      </c>
      <c r="K1313" s="2">
        <v>1865025.0</v>
      </c>
    </row>
    <row r="1314">
      <c r="A1314" s="2">
        <v>2022.0</v>
      </c>
      <c r="B1314" s="1" t="s">
        <v>1297</v>
      </c>
      <c r="C1314" s="2" t="s">
        <v>764</v>
      </c>
      <c r="D1314" s="2" t="s">
        <v>884</v>
      </c>
      <c r="E1314" s="2"/>
      <c r="F1314" s="2">
        <v>1385206.0</v>
      </c>
      <c r="G1314" s="2">
        <v>2515380.0</v>
      </c>
      <c r="H1314" s="2">
        <v>48927.0</v>
      </c>
      <c r="I1314" s="2">
        <v>3949513.0</v>
      </c>
      <c r="J1314" s="2">
        <v>1740764.0</v>
      </c>
      <c r="K1314" s="2">
        <v>2208749.0</v>
      </c>
    </row>
    <row r="1315">
      <c r="A1315" s="2">
        <v>2022.0</v>
      </c>
      <c r="B1315" s="1" t="s">
        <v>1297</v>
      </c>
      <c r="C1315" s="2"/>
      <c r="D1315" s="2" t="s">
        <v>1311</v>
      </c>
      <c r="E1315" s="2"/>
      <c r="F1315" s="2">
        <v>3971113.0</v>
      </c>
      <c r="G1315" s="2">
        <v>3717412.0</v>
      </c>
      <c r="H1315" s="2">
        <v>108325.0</v>
      </c>
      <c r="I1315" s="2">
        <v>7796850.0</v>
      </c>
      <c r="J1315" s="2">
        <v>4288903.0</v>
      </c>
      <c r="K1315" s="2">
        <v>3507947.0</v>
      </c>
    </row>
    <row r="1316">
      <c r="A1316" s="2">
        <v>2022.0</v>
      </c>
      <c r="B1316" s="1" t="s">
        <v>1297</v>
      </c>
      <c r="C1316" s="2"/>
      <c r="D1316" s="2" t="s">
        <v>1262</v>
      </c>
      <c r="E1316" s="2"/>
      <c r="F1316" s="2">
        <v>2917152.0</v>
      </c>
      <c r="G1316" s="2">
        <v>4182450.0</v>
      </c>
      <c r="H1316" s="2">
        <v>66587.0</v>
      </c>
      <c r="I1316" s="2">
        <v>7166189.0</v>
      </c>
      <c r="J1316" s="2">
        <v>5118745.0</v>
      </c>
      <c r="K1316" s="2">
        <v>2047444.0</v>
      </c>
    </row>
    <row r="1317">
      <c r="A1317" s="2">
        <v>2022.0</v>
      </c>
      <c r="B1317" s="1" t="s">
        <v>1297</v>
      </c>
      <c r="C1317" s="2" t="s">
        <v>1312</v>
      </c>
      <c r="D1317" s="2" t="s">
        <v>1145</v>
      </c>
      <c r="E1317" s="2"/>
      <c r="F1317" s="2">
        <v>2043782.0</v>
      </c>
      <c r="G1317" s="2">
        <v>4366123.0</v>
      </c>
      <c r="H1317" s="2">
        <v>56476.0</v>
      </c>
      <c r="I1317" s="2">
        <v>6466381.0</v>
      </c>
      <c r="J1317" s="2">
        <v>8856815.0</v>
      </c>
      <c r="K1317" s="2">
        <v>1761329.0</v>
      </c>
    </row>
    <row r="1318">
      <c r="A1318" s="2">
        <v>2022.0</v>
      </c>
      <c r="B1318" s="1" t="s">
        <v>1297</v>
      </c>
      <c r="C1318" s="2"/>
      <c r="D1318" s="2" t="s">
        <v>984</v>
      </c>
      <c r="E1318" s="2"/>
      <c r="F1318" s="2">
        <v>6629464.0</v>
      </c>
      <c r="G1318" s="2">
        <v>2137201.0</v>
      </c>
      <c r="H1318" s="2">
        <v>177897.0</v>
      </c>
      <c r="I1318" s="2">
        <v>8944562.0</v>
      </c>
      <c r="J1318" s="2">
        <v>5005760.0</v>
      </c>
      <c r="K1318" s="2">
        <v>3938802.0</v>
      </c>
    </row>
    <row r="1319">
      <c r="A1319" s="2">
        <v>2022.0</v>
      </c>
      <c r="B1319" s="1" t="s">
        <v>1297</v>
      </c>
      <c r="C1319" s="2"/>
      <c r="D1319" s="2" t="s">
        <v>758</v>
      </c>
      <c r="E1319" s="2"/>
      <c r="F1319" s="2">
        <v>4576986.0</v>
      </c>
      <c r="G1319" s="2">
        <v>2400107.0</v>
      </c>
      <c r="H1319" s="2">
        <v>0.0</v>
      </c>
      <c r="I1319" s="2">
        <v>6977093.0</v>
      </c>
      <c r="J1319" s="2">
        <v>6152991.0</v>
      </c>
      <c r="K1319" s="2">
        <v>824102.0</v>
      </c>
    </row>
    <row r="1320">
      <c r="A1320" s="2">
        <v>2022.0</v>
      </c>
      <c r="B1320" s="1" t="s">
        <v>1297</v>
      </c>
      <c r="C1320" s="2"/>
      <c r="D1320" s="2" t="s">
        <v>756</v>
      </c>
      <c r="E1320" s="2"/>
      <c r="F1320" s="2">
        <v>1.1247489E7</v>
      </c>
      <c r="G1320" s="2">
        <v>3865136.0</v>
      </c>
      <c r="H1320" s="2">
        <v>276249.0</v>
      </c>
      <c r="I1320" s="2">
        <v>1.5388874E7</v>
      </c>
      <c r="J1320" s="2">
        <v>1.1376337E7</v>
      </c>
      <c r="K1320" s="2">
        <v>4012537.0</v>
      </c>
    </row>
    <row r="1321">
      <c r="A1321" s="2">
        <v>2022.0</v>
      </c>
      <c r="B1321" s="1" t="s">
        <v>1297</v>
      </c>
      <c r="C1321" s="2" t="s">
        <v>28</v>
      </c>
      <c r="D1321" s="2" t="s">
        <v>48</v>
      </c>
      <c r="E1321" s="2"/>
      <c r="F1321" s="2">
        <v>4682638.0</v>
      </c>
      <c r="G1321" s="2">
        <v>6818953.0</v>
      </c>
      <c r="H1321" s="2">
        <v>33060.0</v>
      </c>
      <c r="I1321" s="2">
        <v>1.1534651E7</v>
      </c>
      <c r="J1321" s="2">
        <v>9416394.0</v>
      </c>
      <c r="K1321" s="2">
        <v>2118257.0</v>
      </c>
    </row>
    <row r="1322">
      <c r="A1322" s="2">
        <v>2022.0</v>
      </c>
      <c r="B1322" s="1" t="s">
        <v>1297</v>
      </c>
      <c r="C1322" s="2"/>
      <c r="D1322" s="2" t="s">
        <v>998</v>
      </c>
      <c r="E1322" s="2"/>
      <c r="F1322" s="2">
        <v>3303985.0</v>
      </c>
      <c r="G1322" s="2">
        <v>4238213.0</v>
      </c>
      <c r="H1322" s="2">
        <v>93876.0</v>
      </c>
      <c r="I1322" s="2">
        <v>7636074.0</v>
      </c>
      <c r="J1322" s="2">
        <v>5580113.0</v>
      </c>
      <c r="K1322" s="2">
        <v>2055961.0</v>
      </c>
    </row>
    <row r="1323">
      <c r="A1323" s="2">
        <v>2022.0</v>
      </c>
      <c r="B1323" s="1" t="s">
        <v>1297</v>
      </c>
      <c r="C1323" s="2"/>
      <c r="D1323" s="2" t="s">
        <v>36</v>
      </c>
      <c r="E1323" s="2"/>
      <c r="F1323" s="2">
        <v>4370689.0</v>
      </c>
      <c r="G1323" s="2">
        <v>2777728.0</v>
      </c>
      <c r="H1323" s="2">
        <v>169845.0</v>
      </c>
      <c r="I1323" s="2">
        <v>7318262.0</v>
      </c>
      <c r="J1323" s="2">
        <v>3865845.0</v>
      </c>
      <c r="K1323" s="2">
        <v>3452417.0</v>
      </c>
    </row>
    <row r="1324">
      <c r="A1324" s="2">
        <v>2022.0</v>
      </c>
      <c r="B1324" s="1" t="s">
        <v>1297</v>
      </c>
      <c r="C1324" s="2"/>
      <c r="D1324" s="2" t="s">
        <v>993</v>
      </c>
      <c r="E1324" s="2"/>
      <c r="F1324" s="2">
        <v>3546083.0</v>
      </c>
      <c r="G1324" s="2">
        <v>6382764.0</v>
      </c>
      <c r="H1324" s="2">
        <v>145317.0</v>
      </c>
      <c r="I1324" s="2">
        <v>1.0074164E7</v>
      </c>
      <c r="J1324" s="2">
        <v>6610049.0</v>
      </c>
      <c r="K1324" s="2">
        <v>3464115.0</v>
      </c>
    </row>
    <row r="1325">
      <c r="A1325" s="2">
        <v>2022.0</v>
      </c>
      <c r="B1325" s="1" t="s">
        <v>1297</v>
      </c>
      <c r="C1325" s="2"/>
      <c r="D1325" s="2" t="s">
        <v>28</v>
      </c>
      <c r="E1325" s="2"/>
      <c r="F1325" s="2">
        <v>6585626.0</v>
      </c>
      <c r="G1325" s="2">
        <v>4178097.0</v>
      </c>
      <c r="H1325" s="2">
        <v>264129.0</v>
      </c>
      <c r="I1325" s="2">
        <v>1.1027852E7</v>
      </c>
      <c r="J1325" s="2">
        <v>4730631.0</v>
      </c>
      <c r="K1325" s="2">
        <v>6297221.0</v>
      </c>
    </row>
    <row r="1326">
      <c r="A1326" s="2">
        <v>2022.0</v>
      </c>
      <c r="B1326" s="1" t="s">
        <v>1297</v>
      </c>
      <c r="C1326" s="2" t="s">
        <v>1273</v>
      </c>
      <c r="D1326" s="2" t="s">
        <v>1274</v>
      </c>
      <c r="E1326" s="2"/>
      <c r="F1326" s="2">
        <v>3324926.0</v>
      </c>
      <c r="G1326" s="2">
        <v>1865930.0</v>
      </c>
      <c r="H1326" s="2">
        <v>102637.0</v>
      </c>
      <c r="I1326" s="2">
        <v>5293493.0</v>
      </c>
      <c r="J1326" s="2">
        <v>3313897.0</v>
      </c>
      <c r="K1326" s="2">
        <v>1979596.0</v>
      </c>
    </row>
    <row r="1327">
      <c r="A1327" s="2">
        <v>2022.0</v>
      </c>
      <c r="B1327" s="1" t="s">
        <v>1297</v>
      </c>
      <c r="C1327" s="2"/>
      <c r="D1327" s="2" t="s">
        <v>297</v>
      </c>
      <c r="E1327" s="2"/>
      <c r="F1327" s="2">
        <v>3922498.0</v>
      </c>
      <c r="G1327" s="2">
        <v>1.2698512E7</v>
      </c>
      <c r="H1327" s="2">
        <v>98788.0</v>
      </c>
      <c r="I1327" s="2">
        <v>1.6719798E7</v>
      </c>
      <c r="J1327" s="2">
        <v>1.3982735E7</v>
      </c>
      <c r="K1327" s="2">
        <v>2737063.0</v>
      </c>
    </row>
    <row r="1328">
      <c r="A1328" s="2">
        <v>2022.0</v>
      </c>
      <c r="B1328" s="1" t="s">
        <v>1297</v>
      </c>
      <c r="C1328" s="2"/>
      <c r="D1328" s="2" t="s">
        <v>293</v>
      </c>
      <c r="E1328" s="2"/>
      <c r="F1328" s="2">
        <v>4251810.0</v>
      </c>
      <c r="G1328" s="2">
        <v>5195091.0</v>
      </c>
      <c r="H1328" s="2">
        <v>13617.0</v>
      </c>
      <c r="I1328" s="2">
        <v>9460518.0</v>
      </c>
      <c r="J1328" s="2">
        <v>6192932.0</v>
      </c>
      <c r="K1328" s="2">
        <v>3267586.0</v>
      </c>
    </row>
    <row r="1329">
      <c r="A1329" s="2">
        <v>2022.0</v>
      </c>
      <c r="B1329" s="1" t="s">
        <v>1297</v>
      </c>
      <c r="C1329" s="2" t="s">
        <v>1006</v>
      </c>
      <c r="D1329" s="2" t="s">
        <v>1276</v>
      </c>
      <c r="E1329" s="2"/>
      <c r="F1329" s="2">
        <v>2330410.0</v>
      </c>
      <c r="G1329" s="2">
        <v>3035455.0</v>
      </c>
      <c r="H1329" s="2">
        <v>81583.0</v>
      </c>
      <c r="I1329" s="2">
        <v>5447448.0</v>
      </c>
      <c r="J1329" s="2">
        <v>3864636.0</v>
      </c>
      <c r="K1329" s="2">
        <v>1582812.0</v>
      </c>
    </row>
    <row r="1330">
      <c r="A1330" s="2">
        <v>2022.0</v>
      </c>
      <c r="B1330" s="1" t="s">
        <v>1297</v>
      </c>
      <c r="C1330" s="2"/>
      <c r="D1330" s="2" t="s">
        <v>1012</v>
      </c>
      <c r="E1330" s="2"/>
      <c r="F1330" s="2">
        <v>3721970.0</v>
      </c>
      <c r="G1330" s="2">
        <v>3421056.0</v>
      </c>
      <c r="H1330" s="2">
        <v>134797.0</v>
      </c>
      <c r="I1330" s="2">
        <v>6459073.0</v>
      </c>
      <c r="J1330" s="2">
        <v>3450044.0</v>
      </c>
      <c r="K1330" s="2">
        <v>3827779.0</v>
      </c>
    </row>
    <row r="1331">
      <c r="A1331" s="2">
        <v>2022.0</v>
      </c>
      <c r="B1331" s="1" t="s">
        <v>1297</v>
      </c>
      <c r="C1331" s="2"/>
      <c r="D1331" s="2" t="s">
        <v>1006</v>
      </c>
      <c r="E1331" s="2"/>
      <c r="F1331" s="2">
        <v>3846452.0</v>
      </c>
      <c r="G1331" s="2">
        <v>1782000.0</v>
      </c>
      <c r="H1331" s="2">
        <v>104814.0</v>
      </c>
      <c r="I1331" s="2">
        <v>5733266.0</v>
      </c>
      <c r="J1331" s="2">
        <v>4401766.0</v>
      </c>
      <c r="K1331" s="2">
        <v>1331500.0</v>
      </c>
    </row>
    <row r="1332">
      <c r="A1332" s="2">
        <v>2022.0</v>
      </c>
      <c r="B1332" s="1" t="s">
        <v>1297</v>
      </c>
      <c r="C1332" s="2"/>
      <c r="D1332" s="2" t="s">
        <v>1029</v>
      </c>
      <c r="E1332" s="2"/>
      <c r="F1332" s="2">
        <v>8569216.0</v>
      </c>
      <c r="G1332" s="2">
        <v>3864516.0</v>
      </c>
      <c r="H1332" s="2">
        <v>220192.0</v>
      </c>
      <c r="I1332" s="2">
        <v>1.2653924E7</v>
      </c>
      <c r="J1332" s="2">
        <v>7720442.0</v>
      </c>
      <c r="K1332" s="2">
        <v>4933482.0</v>
      </c>
    </row>
    <row r="1333">
      <c r="A1333" s="2">
        <v>2022.0</v>
      </c>
      <c r="B1333" s="1" t="s">
        <v>1297</v>
      </c>
      <c r="C1333" s="2"/>
      <c r="D1333" s="2" t="s">
        <v>1008</v>
      </c>
      <c r="E1333" s="2"/>
      <c r="F1333" s="2">
        <v>3562224.0</v>
      </c>
      <c r="G1333" s="2">
        <v>3593580.0</v>
      </c>
      <c r="H1333" s="2">
        <v>142746.0</v>
      </c>
      <c r="I1333" s="2">
        <v>7298550.0</v>
      </c>
      <c r="J1333" s="2">
        <v>4460696.0</v>
      </c>
      <c r="K1333" s="2">
        <v>2837854.0</v>
      </c>
    </row>
    <row r="1334">
      <c r="A1334" s="2">
        <v>2022.0</v>
      </c>
      <c r="B1334" s="1" t="s">
        <v>1297</v>
      </c>
      <c r="C1334" s="2"/>
      <c r="D1334" s="2" t="s">
        <v>1011</v>
      </c>
      <c r="E1334" s="2"/>
      <c r="F1334" s="2">
        <v>4661428.0</v>
      </c>
      <c r="G1334" s="2">
        <v>3240184.0</v>
      </c>
      <c r="H1334" s="2">
        <v>163131.0</v>
      </c>
      <c r="I1334" s="2">
        <v>8064743.0</v>
      </c>
      <c r="J1334" s="2">
        <v>7066918.0</v>
      </c>
      <c r="K1334" s="2">
        <v>997825.0</v>
      </c>
    </row>
    <row r="1335">
      <c r="A1335" s="2">
        <v>2022.0</v>
      </c>
      <c r="B1335" s="1" t="s">
        <v>1297</v>
      </c>
      <c r="C1335" s="2"/>
      <c r="D1335" s="2" t="s">
        <v>1010</v>
      </c>
      <c r="E1335" s="2"/>
      <c r="F1335" s="2">
        <v>2285741.0</v>
      </c>
      <c r="G1335" s="2">
        <v>2026353.0</v>
      </c>
      <c r="H1335" s="2">
        <v>63137.0</v>
      </c>
      <c r="I1335" s="2">
        <v>4375231.0</v>
      </c>
      <c r="J1335" s="2">
        <v>3312561.0</v>
      </c>
      <c r="K1335" s="2">
        <v>1062670.0</v>
      </c>
    </row>
    <row r="1336">
      <c r="A1336" s="2">
        <v>2022.0</v>
      </c>
      <c r="B1336" s="1" t="s">
        <v>1297</v>
      </c>
      <c r="C1336" s="2"/>
      <c r="D1336" s="2" t="s">
        <v>1281</v>
      </c>
      <c r="E1336" s="2"/>
      <c r="F1336" s="2">
        <v>1585668.0</v>
      </c>
      <c r="G1336" s="2">
        <v>3025980.0</v>
      </c>
      <c r="H1336" s="2">
        <v>56984.0</v>
      </c>
      <c r="I1336" s="2">
        <v>4668632.0</v>
      </c>
      <c r="J1336" s="2">
        <v>3842511.0</v>
      </c>
      <c r="K1336" s="2">
        <v>826121.0</v>
      </c>
    </row>
    <row r="1337">
      <c r="A1337" s="2">
        <v>2022.0</v>
      </c>
      <c r="B1337" s="1" t="s">
        <v>1297</v>
      </c>
      <c r="C1337" s="2" t="s">
        <v>859</v>
      </c>
      <c r="D1337" s="2" t="s">
        <v>873</v>
      </c>
      <c r="E1337" s="2"/>
      <c r="F1337" s="2">
        <v>3853764.0</v>
      </c>
      <c r="G1337" s="2">
        <v>4114208.0</v>
      </c>
      <c r="H1337" s="2">
        <v>79126.0</v>
      </c>
      <c r="I1337" s="2">
        <v>8047098.0</v>
      </c>
      <c r="J1337" s="2">
        <v>7152134.0</v>
      </c>
      <c r="K1337" s="2">
        <v>894964.0</v>
      </c>
    </row>
    <row r="1338">
      <c r="A1338" s="2">
        <v>2022.0</v>
      </c>
      <c r="B1338" s="1" t="s">
        <v>1297</v>
      </c>
      <c r="C1338" s="2"/>
      <c r="D1338" s="2" t="s">
        <v>879</v>
      </c>
      <c r="E1338" s="2"/>
      <c r="F1338" s="2">
        <v>1748855.0</v>
      </c>
      <c r="G1338" s="2">
        <v>2240638.0</v>
      </c>
      <c r="H1338" s="2">
        <v>47615.0</v>
      </c>
      <c r="I1338" s="2">
        <v>4037108.0</v>
      </c>
      <c r="J1338" s="2">
        <v>2206206.0</v>
      </c>
      <c r="K1338" s="2">
        <v>1830902.0</v>
      </c>
    </row>
    <row r="1339">
      <c r="A1339" s="2">
        <v>2022.0</v>
      </c>
      <c r="B1339" s="1" t="s">
        <v>1297</v>
      </c>
      <c r="C1339" s="2"/>
      <c r="D1339" s="2" t="s">
        <v>1282</v>
      </c>
      <c r="E1339" s="2"/>
      <c r="F1339" s="2">
        <v>4249118.0</v>
      </c>
      <c r="G1339" s="2">
        <v>5175648.0</v>
      </c>
      <c r="H1339" s="2">
        <v>130599.0</v>
      </c>
      <c r="I1339" s="2">
        <v>9555365.0</v>
      </c>
      <c r="J1339" s="2">
        <v>6748390.0</v>
      </c>
      <c r="K1339" s="2">
        <v>2806975.0</v>
      </c>
    </row>
    <row r="1340">
      <c r="A1340" s="2">
        <v>2022.0</v>
      </c>
      <c r="B1340" s="1" t="s">
        <v>1297</v>
      </c>
      <c r="C1340" s="2"/>
      <c r="D1340" s="2" t="s">
        <v>1283</v>
      </c>
      <c r="E1340" s="2"/>
      <c r="F1340" s="2">
        <v>8884741.0</v>
      </c>
      <c r="G1340" s="2">
        <v>3785906.0</v>
      </c>
      <c r="H1340" s="2">
        <v>228855.0</v>
      </c>
      <c r="I1340" s="2">
        <v>1.290456E7</v>
      </c>
      <c r="J1340" s="2">
        <v>5101518.0</v>
      </c>
      <c r="K1340" s="2">
        <v>7803042.0</v>
      </c>
    </row>
    <row r="1341">
      <c r="A1341" s="2">
        <v>2022.0</v>
      </c>
      <c r="B1341" s="1" t="s">
        <v>1297</v>
      </c>
      <c r="C1341" s="2"/>
      <c r="D1341" s="2" t="s">
        <v>1284</v>
      </c>
      <c r="E1341" s="2"/>
      <c r="F1341" s="2">
        <v>3589513.0</v>
      </c>
      <c r="G1341" s="2">
        <v>2941445.0</v>
      </c>
      <c r="H1341" s="2">
        <v>102168.0</v>
      </c>
      <c r="I1341" s="2">
        <v>6633126.0</v>
      </c>
      <c r="J1341" s="2">
        <v>3995243.0</v>
      </c>
      <c r="K1341" s="2">
        <v>2637883.0</v>
      </c>
    </row>
    <row r="1342">
      <c r="A1342" s="2">
        <v>2022.0</v>
      </c>
      <c r="B1342" s="1" t="s">
        <v>1297</v>
      </c>
      <c r="C1342" s="2"/>
      <c r="D1342" s="2" t="s">
        <v>292</v>
      </c>
      <c r="E1342" s="2"/>
      <c r="F1342" s="2">
        <v>4534233.0</v>
      </c>
      <c r="G1342" s="2">
        <v>2540898.0</v>
      </c>
      <c r="H1342" s="2">
        <v>116590.0</v>
      </c>
      <c r="I1342" s="2">
        <v>7191721.0</v>
      </c>
      <c r="J1342" s="2">
        <v>3140746.0</v>
      </c>
      <c r="K1342" s="2">
        <v>4050975.0</v>
      </c>
    </row>
    <row r="1343">
      <c r="A1343" s="2">
        <v>2022.0</v>
      </c>
      <c r="B1343" s="1" t="s">
        <v>1297</v>
      </c>
      <c r="C1343" s="2"/>
      <c r="D1343" s="2" t="s">
        <v>1285</v>
      </c>
      <c r="E1343" s="2"/>
      <c r="F1343" s="2">
        <v>3185549.0</v>
      </c>
      <c r="G1343" s="2">
        <v>2986798.0</v>
      </c>
      <c r="H1343" s="2">
        <v>83688.0</v>
      </c>
      <c r="I1343" s="2">
        <v>6256035.0</v>
      </c>
      <c r="J1343" s="2">
        <v>3864452.0</v>
      </c>
      <c r="K1343" s="2">
        <v>2391583.0</v>
      </c>
    </row>
    <row r="1344">
      <c r="A1344" s="2">
        <v>2022.0</v>
      </c>
      <c r="B1344" s="1" t="s">
        <v>1297</v>
      </c>
      <c r="C1344" s="2"/>
      <c r="D1344" s="2" t="s">
        <v>860</v>
      </c>
      <c r="E1344" s="2"/>
      <c r="F1344" s="2">
        <v>5098954.0</v>
      </c>
      <c r="G1344" s="2">
        <v>4151705.0</v>
      </c>
      <c r="H1344" s="2">
        <v>182008.0</v>
      </c>
      <c r="I1344" s="2">
        <v>9432758.0</v>
      </c>
      <c r="J1344" s="2">
        <v>6728516.0</v>
      </c>
      <c r="K1344" s="2">
        <v>2704152.0</v>
      </c>
    </row>
    <row r="1345">
      <c r="A1345" s="2">
        <v>2022.0</v>
      </c>
      <c r="B1345" s="1" t="s">
        <v>1297</v>
      </c>
      <c r="C1345" s="2"/>
      <c r="D1345" s="2" t="s">
        <v>875</v>
      </c>
      <c r="E1345" s="2"/>
      <c r="F1345" s="2">
        <v>8073884.0</v>
      </c>
      <c r="G1345" s="2">
        <v>4976187.0</v>
      </c>
      <c r="H1345" s="2">
        <v>462727.0</v>
      </c>
      <c r="I1345" s="2">
        <v>1.3512798E7</v>
      </c>
      <c r="J1345" s="2">
        <v>7637784.0</v>
      </c>
      <c r="K1345" s="2">
        <v>5875014.0</v>
      </c>
    </row>
    <row r="1346">
      <c r="A1346" s="2">
        <v>2022.0</v>
      </c>
      <c r="B1346" s="1" t="s">
        <v>1297</v>
      </c>
      <c r="C1346" s="2" t="s">
        <v>1137</v>
      </c>
      <c r="D1346" s="2" t="s">
        <v>1286</v>
      </c>
      <c r="E1346" s="2"/>
      <c r="F1346" s="2">
        <v>3848480.0</v>
      </c>
      <c r="G1346" s="2">
        <v>2.3414839E7</v>
      </c>
      <c r="H1346" s="2">
        <v>104304.0</v>
      </c>
      <c r="I1346" s="2">
        <v>6297623.0</v>
      </c>
      <c r="J1346" s="2">
        <v>4348228.0</v>
      </c>
      <c r="K1346" s="2">
        <v>1949395.0</v>
      </c>
    </row>
    <row r="1347">
      <c r="A1347" s="2">
        <v>2022.0</v>
      </c>
      <c r="B1347" s="1" t="s">
        <v>1297</v>
      </c>
      <c r="C1347" s="2"/>
      <c r="D1347" s="2" t="s">
        <v>1080</v>
      </c>
      <c r="E1347" s="2"/>
      <c r="F1347" s="2">
        <v>6772776.0</v>
      </c>
      <c r="G1347" s="2">
        <v>2676587.0</v>
      </c>
      <c r="H1347" s="2">
        <v>186729.0</v>
      </c>
      <c r="I1347" s="2">
        <v>9636092.0</v>
      </c>
      <c r="J1347" s="2">
        <v>3227264.0</v>
      </c>
      <c r="K1347" s="2">
        <v>6408828.0</v>
      </c>
    </row>
    <row r="1348">
      <c r="A1348" s="2">
        <v>2022.0</v>
      </c>
      <c r="B1348" s="1" t="s">
        <v>1297</v>
      </c>
      <c r="C1348" s="2"/>
      <c r="D1348" s="2" t="s">
        <v>1287</v>
      </c>
      <c r="E1348" s="2"/>
      <c r="F1348" s="2">
        <v>3194541.0</v>
      </c>
      <c r="G1348" s="2">
        <v>1086226.0</v>
      </c>
      <c r="H1348" s="2">
        <v>72695.0</v>
      </c>
      <c r="I1348" s="2">
        <v>4353462.0</v>
      </c>
      <c r="J1348" s="2">
        <v>1068271.0</v>
      </c>
      <c r="K1348" s="2">
        <v>3285191.0</v>
      </c>
    </row>
    <row r="1349">
      <c r="A1349" s="2">
        <v>2022.0</v>
      </c>
      <c r="B1349" s="1" t="s">
        <v>1297</v>
      </c>
      <c r="C1349" s="2"/>
      <c r="D1349" s="2" t="s">
        <v>761</v>
      </c>
      <c r="E1349" s="2"/>
      <c r="F1349" s="2">
        <v>6514955.0</v>
      </c>
      <c r="G1349" s="2">
        <v>4544541.0</v>
      </c>
      <c r="H1349" s="2">
        <v>210044.0</v>
      </c>
      <c r="I1349" s="2">
        <v>1.126954E7</v>
      </c>
      <c r="J1349" s="2">
        <v>5777202.0</v>
      </c>
      <c r="K1349" s="2">
        <v>5492338.0</v>
      </c>
    </row>
    <row r="1350">
      <c r="A1350" s="2">
        <v>2022.0</v>
      </c>
      <c r="B1350" s="1" t="s">
        <v>1297</v>
      </c>
      <c r="C1350" s="2"/>
      <c r="D1350" s="2" t="s">
        <v>757</v>
      </c>
      <c r="E1350" s="2"/>
      <c r="F1350" s="2">
        <v>3703240.0</v>
      </c>
      <c r="G1350" s="2">
        <v>4090351.0</v>
      </c>
      <c r="H1350" s="2">
        <v>106764.0</v>
      </c>
      <c r="I1350" s="2">
        <v>7900355.0</v>
      </c>
      <c r="J1350" s="2">
        <v>4589684.0</v>
      </c>
      <c r="K1350" s="2">
        <v>3310701.0</v>
      </c>
    </row>
    <row r="1351">
      <c r="A1351" s="2">
        <v>2022.0</v>
      </c>
      <c r="B1351" s="1" t="s">
        <v>1297</v>
      </c>
      <c r="C1351" s="2" t="s">
        <v>796</v>
      </c>
      <c r="D1351" s="2" t="s">
        <v>1288</v>
      </c>
      <c r="E1351" s="2"/>
      <c r="F1351" s="2">
        <v>4749813.0</v>
      </c>
      <c r="G1351" s="2">
        <v>4577519.0</v>
      </c>
      <c r="H1351" s="2">
        <v>105367.0</v>
      </c>
      <c r="I1351" s="2">
        <v>9432699.0</v>
      </c>
      <c r="J1351" s="2">
        <v>4961203.0</v>
      </c>
      <c r="K1351" s="2">
        <v>4471496.0</v>
      </c>
    </row>
    <row r="1352">
      <c r="A1352" s="2">
        <v>2022.0</v>
      </c>
      <c r="B1352" s="1" t="s">
        <v>1297</v>
      </c>
      <c r="C1352" s="2"/>
      <c r="D1352" s="2" t="s">
        <v>1289</v>
      </c>
      <c r="E1352" s="2"/>
      <c r="F1352" s="2">
        <v>5001600.0</v>
      </c>
      <c r="G1352" s="2">
        <v>4296693.0</v>
      </c>
      <c r="H1352" s="2">
        <v>149896.0</v>
      </c>
      <c r="I1352" s="2">
        <v>9448189.0</v>
      </c>
      <c r="J1352" s="2">
        <v>4383921.0</v>
      </c>
      <c r="K1352" s="2">
        <v>5064268.0</v>
      </c>
    </row>
    <row r="1353">
      <c r="A1353" s="2">
        <v>2022.0</v>
      </c>
      <c r="B1353" s="1" t="s">
        <v>1297</v>
      </c>
      <c r="C1353" s="2"/>
      <c r="D1353" s="2" t="s">
        <v>797</v>
      </c>
      <c r="E1353" s="2"/>
      <c r="F1353" s="2">
        <v>1746363.0</v>
      </c>
      <c r="G1353" s="2">
        <v>1344530.0</v>
      </c>
      <c r="H1353" s="2">
        <v>39597.0</v>
      </c>
      <c r="I1353" s="2">
        <v>3130490.0</v>
      </c>
      <c r="J1353" s="2">
        <v>2039233.0</v>
      </c>
      <c r="K1353" s="2">
        <v>1091257.0</v>
      </c>
    </row>
    <row r="1354">
      <c r="A1354" s="2">
        <v>2022.0</v>
      </c>
      <c r="B1354" s="1" t="s">
        <v>1297</v>
      </c>
      <c r="C1354" s="2"/>
      <c r="D1354" s="2" t="s">
        <v>1290</v>
      </c>
      <c r="E1354" s="2"/>
      <c r="F1354" s="2">
        <v>1766612.0</v>
      </c>
      <c r="G1354" s="2">
        <v>2597914.0</v>
      </c>
      <c r="H1354" s="2">
        <v>40402.0</v>
      </c>
      <c r="I1354" s="2">
        <v>4404928.0</v>
      </c>
      <c r="J1354" s="2">
        <v>3523042.0</v>
      </c>
      <c r="K1354" s="2">
        <v>881886.0</v>
      </c>
    </row>
    <row r="1355">
      <c r="A1355" s="2">
        <v>2022.0</v>
      </c>
      <c r="B1355" s="1" t="s">
        <v>1297</v>
      </c>
      <c r="C1355" s="2" t="s">
        <v>1291</v>
      </c>
      <c r="D1355" s="2" t="s">
        <v>1292</v>
      </c>
      <c r="E1355" s="2"/>
      <c r="F1355" s="2">
        <v>9156000.0</v>
      </c>
      <c r="G1355" s="2">
        <v>6114582.0</v>
      </c>
      <c r="H1355" s="2">
        <v>174873.0</v>
      </c>
      <c r="I1355" s="2">
        <v>1.5445455E7</v>
      </c>
      <c r="J1355" s="2">
        <v>7315434.0</v>
      </c>
      <c r="K1355" s="2">
        <v>8130021.0</v>
      </c>
    </row>
    <row r="1356">
      <c r="A1356" s="2">
        <v>2022.0</v>
      </c>
      <c r="B1356" s="1" t="s">
        <v>1297</v>
      </c>
      <c r="C1356" s="2"/>
      <c r="D1356" s="2" t="s">
        <v>790</v>
      </c>
      <c r="E1356" s="2"/>
      <c r="F1356" s="2">
        <v>1250680.0</v>
      </c>
      <c r="G1356" s="2">
        <v>2129804.0</v>
      </c>
      <c r="H1356" s="2">
        <v>34544.0</v>
      </c>
      <c r="I1356" s="2">
        <v>3415028.0</v>
      </c>
      <c r="J1356" s="2">
        <v>2322060.0</v>
      </c>
      <c r="K1356" s="2">
        <v>1092968.0</v>
      </c>
    </row>
    <row r="1357">
      <c r="A1357" s="2">
        <v>2022.0</v>
      </c>
      <c r="B1357" s="1" t="s">
        <v>1297</v>
      </c>
      <c r="C1357" s="2"/>
      <c r="D1357" s="2" t="s">
        <v>199</v>
      </c>
      <c r="E1357" s="2"/>
      <c r="F1357" s="2">
        <v>1317317.0</v>
      </c>
      <c r="G1357" s="2">
        <v>1867058.0</v>
      </c>
      <c r="H1357" s="2">
        <v>36474.0</v>
      </c>
      <c r="I1357" s="2">
        <v>3220849.0</v>
      </c>
      <c r="J1357" s="2">
        <v>2127427.0</v>
      </c>
      <c r="K1357" s="2">
        <v>1093422.0</v>
      </c>
    </row>
    <row r="1358">
      <c r="A1358" s="2">
        <v>2022.0</v>
      </c>
      <c r="B1358" s="1" t="s">
        <v>1297</v>
      </c>
      <c r="C1358" s="2"/>
      <c r="D1358" s="2" t="s">
        <v>793</v>
      </c>
      <c r="E1358" s="2"/>
      <c r="F1358" s="2">
        <v>8664289.0</v>
      </c>
      <c r="G1358" s="2">
        <v>3965143.0</v>
      </c>
      <c r="H1358" s="2">
        <v>209384.0</v>
      </c>
      <c r="I1358" s="2">
        <v>1.2838816E7</v>
      </c>
      <c r="J1358" s="2">
        <v>4713175.0</v>
      </c>
      <c r="K1358" s="2">
        <v>8125641.0</v>
      </c>
    </row>
    <row r="1359">
      <c r="A1359" s="2">
        <v>2022.0</v>
      </c>
      <c r="B1359" s="1" t="s">
        <v>1297</v>
      </c>
      <c r="C1359" s="2"/>
      <c r="D1359" s="2" t="s">
        <v>788</v>
      </c>
      <c r="E1359" s="2"/>
      <c r="F1359" s="2">
        <v>2878519.0</v>
      </c>
      <c r="G1359" s="2">
        <v>2747442.0</v>
      </c>
      <c r="H1359" s="2">
        <v>78106.0</v>
      </c>
      <c r="I1359" s="2">
        <v>5704067.0</v>
      </c>
      <c r="J1359" s="2">
        <v>3454391.0</v>
      </c>
      <c r="K1359" s="2">
        <v>2249676.0</v>
      </c>
    </row>
    <row r="1360">
      <c r="A1360" s="2">
        <v>2022.0</v>
      </c>
      <c r="B1360" s="1" t="s">
        <v>1297</v>
      </c>
      <c r="C1360" s="2"/>
      <c r="D1360" s="2" t="s">
        <v>526</v>
      </c>
      <c r="E1360" s="2"/>
      <c r="F1360" s="2">
        <v>6312347.0</v>
      </c>
      <c r="G1360" s="2">
        <v>2808197.0</v>
      </c>
      <c r="H1360" s="2">
        <v>114788.0</v>
      </c>
      <c r="I1360" s="2">
        <v>9235332.0</v>
      </c>
      <c r="J1360" s="2">
        <v>3787048.0</v>
      </c>
      <c r="K1360" s="2">
        <v>5448284.0</v>
      </c>
    </row>
    <row r="1361">
      <c r="A1361" s="2">
        <v>2022.0</v>
      </c>
      <c r="B1361" s="1" t="s">
        <v>1297</v>
      </c>
      <c r="C1361" s="2" t="s">
        <v>941</v>
      </c>
      <c r="D1361" s="2" t="s">
        <v>1187</v>
      </c>
      <c r="E1361" s="2"/>
      <c r="F1361" s="2">
        <v>7258528.0</v>
      </c>
      <c r="G1361" s="2">
        <v>8408006.0</v>
      </c>
      <c r="H1361" s="2">
        <v>172412.0</v>
      </c>
      <c r="I1361" s="2">
        <v>1.5838946E7</v>
      </c>
      <c r="J1361" s="2">
        <v>9818766.0</v>
      </c>
      <c r="K1361" s="2">
        <v>5851346.0</v>
      </c>
    </row>
    <row r="1362">
      <c r="A1362" s="2">
        <v>2022.0</v>
      </c>
      <c r="B1362" s="1" t="s">
        <v>1297</v>
      </c>
      <c r="C1362" s="2"/>
      <c r="D1362" s="2" t="s">
        <v>1188</v>
      </c>
      <c r="E1362" s="2"/>
      <c r="F1362" s="2">
        <v>5773588.0</v>
      </c>
      <c r="G1362" s="2">
        <v>4216579.0</v>
      </c>
      <c r="H1362" s="2">
        <v>206162.0</v>
      </c>
      <c r="I1362" s="2">
        <v>1.0196329E7</v>
      </c>
      <c r="J1362" s="2">
        <v>6365390.0</v>
      </c>
      <c r="K1362" s="2">
        <v>3830939.0</v>
      </c>
    </row>
    <row r="1363">
      <c r="A1363" s="2">
        <v>2022.0</v>
      </c>
      <c r="B1363" s="1" t="s">
        <v>1297</v>
      </c>
      <c r="C1363" s="2"/>
      <c r="D1363" s="2" t="s">
        <v>1189</v>
      </c>
      <c r="E1363" s="2"/>
      <c r="F1363" s="2">
        <v>8065943.0</v>
      </c>
      <c r="G1363" s="2">
        <v>4612020.0</v>
      </c>
      <c r="H1363" s="2">
        <v>200698.0</v>
      </c>
      <c r="I1363" s="2">
        <v>1.2878661E7</v>
      </c>
      <c r="J1363" s="2">
        <v>6746236.0</v>
      </c>
      <c r="K1363" s="2">
        <v>6132425.0</v>
      </c>
    </row>
    <row r="1364">
      <c r="A1364" s="2">
        <v>2022.0</v>
      </c>
      <c r="B1364" s="1" t="s">
        <v>1297</v>
      </c>
      <c r="C1364" s="2"/>
      <c r="D1364" s="2" t="s">
        <v>1293</v>
      </c>
      <c r="E1364" s="2"/>
      <c r="F1364" s="2">
        <v>5983445.0</v>
      </c>
      <c r="G1364" s="2">
        <v>1885216.0</v>
      </c>
      <c r="H1364" s="2">
        <v>101402.0</v>
      </c>
      <c r="I1364" s="2">
        <v>7970063.0</v>
      </c>
      <c r="J1364" s="2">
        <v>4761673.0</v>
      </c>
      <c r="K1364" s="2">
        <v>3208390.0</v>
      </c>
    </row>
    <row r="1365">
      <c r="A1365" s="2">
        <v>2022.0</v>
      </c>
      <c r="B1365" s="1" t="s">
        <v>1297</v>
      </c>
      <c r="C1365" s="2"/>
      <c r="D1365" s="2" t="s">
        <v>1294</v>
      </c>
      <c r="E1365" s="2"/>
      <c r="F1365" s="2">
        <v>9272199.0</v>
      </c>
      <c r="G1365" s="2">
        <v>7197769.0</v>
      </c>
      <c r="H1365" s="2">
        <v>159188.0</v>
      </c>
      <c r="I1365" s="2">
        <v>1.6629156E7</v>
      </c>
      <c r="J1365" s="2">
        <v>1.0790879E7</v>
      </c>
      <c r="K1365" s="2">
        <v>5838277.0</v>
      </c>
    </row>
    <row r="1366">
      <c r="A1366" s="2">
        <v>2022.0</v>
      </c>
      <c r="B1366" s="1" t="s">
        <v>1297</v>
      </c>
      <c r="C1366" s="2"/>
      <c r="D1366" s="2" t="s">
        <v>1190</v>
      </c>
      <c r="E1366" s="2"/>
      <c r="F1366" s="2">
        <v>7194729.0</v>
      </c>
      <c r="G1366" s="2">
        <v>3714073.0</v>
      </c>
      <c r="H1366" s="2">
        <v>258520.0</v>
      </c>
      <c r="I1366" s="2">
        <v>1.1167322E7</v>
      </c>
      <c r="J1366" s="2">
        <v>5217827.0</v>
      </c>
      <c r="K1366" s="2">
        <v>5949495.0</v>
      </c>
    </row>
    <row r="1367">
      <c r="A1367" s="2">
        <v>2022.0</v>
      </c>
      <c r="B1367" s="1" t="s">
        <v>1297</v>
      </c>
      <c r="C1367" s="2"/>
      <c r="D1367" s="2" t="s">
        <v>1193</v>
      </c>
      <c r="E1367" s="2"/>
      <c r="F1367" s="2">
        <v>3122505.0</v>
      </c>
      <c r="G1367" s="2">
        <v>3185052.0</v>
      </c>
      <c r="H1367" s="2">
        <v>100981.0</v>
      </c>
      <c r="I1367" s="2">
        <v>6408538.0</v>
      </c>
      <c r="J1367" s="2">
        <v>3682933.0</v>
      </c>
      <c r="K1367" s="2">
        <v>2725605.0</v>
      </c>
    </row>
    <row r="1368">
      <c r="A1368" s="2">
        <v>2022.0</v>
      </c>
      <c r="B1368" s="1" t="s">
        <v>1297</v>
      </c>
      <c r="C1368" s="2" t="s">
        <v>887</v>
      </c>
      <c r="D1368" s="2" t="s">
        <v>890</v>
      </c>
      <c r="E1368" s="2"/>
      <c r="F1368" s="2">
        <v>1210012.0</v>
      </c>
      <c r="G1368" s="2">
        <v>2185500.0</v>
      </c>
      <c r="H1368" s="2">
        <v>44181.0</v>
      </c>
      <c r="I1368" s="2">
        <v>3439693.0</v>
      </c>
      <c r="J1368" s="2">
        <v>2761330.0</v>
      </c>
      <c r="K1368" s="2">
        <v>678363.0</v>
      </c>
    </row>
    <row r="1369">
      <c r="A1369" s="2">
        <v>2022.0</v>
      </c>
      <c r="B1369" s="1" t="s">
        <v>1297</v>
      </c>
      <c r="C1369" s="2"/>
      <c r="D1369" s="2" t="s">
        <v>1295</v>
      </c>
      <c r="E1369" s="2"/>
      <c r="F1369" s="2">
        <v>2526685.0</v>
      </c>
      <c r="G1369" s="2">
        <v>2240950.0</v>
      </c>
      <c r="H1369" s="2">
        <v>35726.0</v>
      </c>
      <c r="I1369" s="2">
        <v>4803361.0</v>
      </c>
      <c r="J1369" s="2">
        <v>4201562.0</v>
      </c>
      <c r="K1369" s="2">
        <v>601799.0</v>
      </c>
    </row>
    <row r="1370">
      <c r="A1370" s="2">
        <v>2022.0</v>
      </c>
      <c r="B1370" s="1" t="s">
        <v>1297</v>
      </c>
      <c r="C1370" s="2"/>
      <c r="D1370" s="2" t="s">
        <v>1296</v>
      </c>
      <c r="E1370" s="2"/>
      <c r="F1370" s="2">
        <v>4994696.0</v>
      </c>
      <c r="G1370" s="2">
        <v>3366750.0</v>
      </c>
      <c r="H1370" s="2">
        <v>144105.0</v>
      </c>
      <c r="I1370" s="2">
        <v>8505551.0</v>
      </c>
      <c r="J1370" s="2">
        <v>4124359.0</v>
      </c>
      <c r="K1370" s="2">
        <v>4381192.0</v>
      </c>
    </row>
    <row r="1371">
      <c r="A1371" s="2">
        <v>2022.0</v>
      </c>
      <c r="B1371" s="1" t="s">
        <v>1297</v>
      </c>
      <c r="C1371" s="2"/>
      <c r="D1371" s="2" t="s">
        <v>887</v>
      </c>
      <c r="E1371" s="2"/>
      <c r="F1371" s="2">
        <v>6579545.0</v>
      </c>
      <c r="G1371" s="2">
        <v>6123419.0</v>
      </c>
      <c r="H1371" s="2">
        <v>166169.0</v>
      </c>
      <c r="I1371" s="2">
        <v>1.2869133E7</v>
      </c>
      <c r="J1371" s="2">
        <v>5129728.0</v>
      </c>
      <c r="K1371" s="2">
        <v>7739405.0</v>
      </c>
    </row>
    <row r="1372">
      <c r="A1372" s="2">
        <v>2022.0</v>
      </c>
      <c r="B1372" s="1" t="s">
        <v>1297</v>
      </c>
      <c r="C1372" s="2" t="s">
        <v>641</v>
      </c>
      <c r="D1372" s="2" t="s">
        <v>656</v>
      </c>
      <c r="E1372" s="2"/>
      <c r="F1372" s="2">
        <v>6316383.0</v>
      </c>
      <c r="G1372" s="2">
        <v>4861432.0</v>
      </c>
      <c r="H1372" s="2">
        <v>259469.0</v>
      </c>
      <c r="I1372" s="2">
        <v>1.1437284E7</v>
      </c>
      <c r="J1372" s="2">
        <v>4772448.0</v>
      </c>
      <c r="K1372" s="2">
        <v>6664836.0</v>
      </c>
    </row>
    <row r="1373">
      <c r="A1373" s="2">
        <v>2022.0</v>
      </c>
      <c r="B1373" s="1" t="s">
        <v>1297</v>
      </c>
      <c r="C1373" s="2"/>
      <c r="D1373" s="2" t="s">
        <v>655</v>
      </c>
      <c r="E1373" s="2"/>
      <c r="F1373" s="2">
        <v>7702133.0</v>
      </c>
      <c r="G1373" s="2">
        <v>6414453.0</v>
      </c>
      <c r="H1373" s="2">
        <v>304711.0</v>
      </c>
      <c r="I1373" s="2">
        <v>1.4421297E7</v>
      </c>
      <c r="J1373" s="2">
        <v>8609044.0</v>
      </c>
      <c r="K1373" s="2">
        <v>5812253.0</v>
      </c>
    </row>
    <row r="1374">
      <c r="A1374" s="2">
        <v>2022.0</v>
      </c>
      <c r="B1374" s="1" t="s">
        <v>1297</v>
      </c>
      <c r="C1374" s="2"/>
      <c r="D1374" s="2" t="s">
        <v>1017</v>
      </c>
      <c r="E1374" s="2"/>
      <c r="F1374" s="2">
        <v>8245289.0</v>
      </c>
      <c r="G1374" s="2">
        <v>6325634.0</v>
      </c>
      <c r="H1374" s="2">
        <v>233017.0</v>
      </c>
      <c r="I1374" s="2">
        <v>1.480394E7</v>
      </c>
      <c r="J1374" s="2">
        <v>9337762.0</v>
      </c>
      <c r="K1374" s="2">
        <v>5466178.0</v>
      </c>
    </row>
    <row r="1375">
      <c r="A1375" s="2">
        <v>2022.0</v>
      </c>
      <c r="B1375" s="1" t="s">
        <v>1297</v>
      </c>
      <c r="C1375" s="2"/>
      <c r="D1375" s="2" t="s">
        <v>1313</v>
      </c>
      <c r="E1375" s="2"/>
      <c r="F1375" s="2">
        <v>9126026.0</v>
      </c>
      <c r="G1375" s="2">
        <v>1.8700126E7</v>
      </c>
      <c r="H1375" s="2">
        <v>282012.0</v>
      </c>
      <c r="I1375" s="2">
        <v>2.1117894E7</v>
      </c>
      <c r="J1375" s="2">
        <v>1.8218515E7</v>
      </c>
      <c r="K1375" s="2">
        <v>9889649.0</v>
      </c>
    </row>
    <row r="1376">
      <c r="A1376" s="2">
        <v>2022.0</v>
      </c>
      <c r="B1376" s="1" t="s">
        <v>1297</v>
      </c>
      <c r="C1376" s="2"/>
      <c r="D1376" s="2" t="s">
        <v>644</v>
      </c>
      <c r="E1376" s="2"/>
      <c r="F1376" s="2">
        <v>6046609.0</v>
      </c>
      <c r="G1376" s="2">
        <v>4808118.0</v>
      </c>
      <c r="H1376" s="2">
        <v>184564.0</v>
      </c>
      <c r="I1376" s="2">
        <v>1.1039291E7</v>
      </c>
      <c r="J1376" s="2">
        <v>4021061.0</v>
      </c>
      <c r="K1376" s="2">
        <v>7018230.0</v>
      </c>
    </row>
    <row r="1377">
      <c r="A1377" s="2">
        <v>2022.0</v>
      </c>
      <c r="B1377" s="1" t="s">
        <v>1297</v>
      </c>
      <c r="C1377" s="2"/>
      <c r="D1377" s="2" t="s">
        <v>1023</v>
      </c>
      <c r="E1377" s="2"/>
      <c r="F1377" s="2">
        <v>1.1918096E7</v>
      </c>
      <c r="G1377" s="2">
        <v>9456093.0</v>
      </c>
      <c r="H1377" s="2">
        <v>279743.0</v>
      </c>
      <c r="I1377" s="2">
        <v>2.1653932E7</v>
      </c>
      <c r="J1377" s="2">
        <v>1.3390585E7</v>
      </c>
      <c r="K1377" s="2">
        <v>8263347.0</v>
      </c>
    </row>
    <row r="1378">
      <c r="A1378" s="2">
        <v>2022.0</v>
      </c>
      <c r="B1378" s="1" t="s">
        <v>1297</v>
      </c>
      <c r="C1378" s="2"/>
      <c r="D1378" s="2" t="s">
        <v>658</v>
      </c>
      <c r="E1378" s="2"/>
      <c r="F1378" s="2">
        <v>5492878.0</v>
      </c>
      <c r="G1378" s="2">
        <v>3991787.0</v>
      </c>
      <c r="H1378" s="2">
        <v>131501.0</v>
      </c>
      <c r="I1378" s="2">
        <v>9616166.0</v>
      </c>
      <c r="J1378" s="2">
        <v>4559687.0</v>
      </c>
      <c r="K1378" s="2">
        <v>5056479.0</v>
      </c>
    </row>
    <row r="1379">
      <c r="A1379" s="2">
        <v>2022.0</v>
      </c>
      <c r="B1379" s="1" t="s">
        <v>1297</v>
      </c>
      <c r="C1379" s="2"/>
      <c r="D1379" s="2" t="s">
        <v>1172</v>
      </c>
      <c r="E1379" s="2"/>
      <c r="F1379" s="2">
        <v>1.0989424E7</v>
      </c>
      <c r="G1379" s="2">
        <v>6255072.0</v>
      </c>
      <c r="H1379" s="2">
        <v>407557.0</v>
      </c>
      <c r="I1379" s="2">
        <v>1.7652053E7</v>
      </c>
      <c r="J1379" s="2">
        <v>8733027.0</v>
      </c>
      <c r="K1379" s="2">
        <v>8919026.0</v>
      </c>
    </row>
    <row r="1380">
      <c r="A1380" s="2">
        <v>2022.0</v>
      </c>
      <c r="B1380" s="1" t="s">
        <v>1297</v>
      </c>
      <c r="C1380" s="2"/>
      <c r="D1380" s="2" t="s">
        <v>652</v>
      </c>
      <c r="E1380" s="2"/>
      <c r="F1380" s="2">
        <v>5861914.0</v>
      </c>
      <c r="G1380" s="2">
        <v>6178482.0</v>
      </c>
      <c r="H1380" s="2">
        <v>245925.0</v>
      </c>
      <c r="I1380" s="2">
        <v>1.2286321E7</v>
      </c>
      <c r="J1380" s="2">
        <v>6414736.0</v>
      </c>
      <c r="K1380" s="2">
        <v>5871585.0</v>
      </c>
    </row>
    <row r="1381">
      <c r="A1381" s="2">
        <v>2022.0</v>
      </c>
      <c r="B1381" s="1" t="s">
        <v>1297</v>
      </c>
      <c r="C1381" s="2" t="s">
        <v>120</v>
      </c>
      <c r="D1381" s="2" t="s">
        <v>1181</v>
      </c>
      <c r="E1381" s="2"/>
      <c r="F1381" s="2">
        <v>4227857.0</v>
      </c>
      <c r="G1381" s="2">
        <v>5668634.0</v>
      </c>
      <c r="H1381" s="2">
        <v>159288.0</v>
      </c>
      <c r="I1381" s="2">
        <v>1.0055779E7</v>
      </c>
      <c r="J1381" s="2">
        <v>5347833.0</v>
      </c>
      <c r="K1381" s="2">
        <v>4707946.0</v>
      </c>
    </row>
    <row r="1382">
      <c r="A1382" s="2">
        <v>2022.0</v>
      </c>
      <c r="B1382" s="1" t="s">
        <v>1297</v>
      </c>
      <c r="C1382" s="2"/>
      <c r="D1382" s="2" t="s">
        <v>125</v>
      </c>
      <c r="E1382" s="2"/>
      <c r="F1382" s="2">
        <v>5669131.0</v>
      </c>
      <c r="G1382" s="2">
        <v>3665000.0</v>
      </c>
      <c r="H1382" s="2">
        <v>152460.0</v>
      </c>
      <c r="I1382" s="2">
        <v>9486591.0</v>
      </c>
      <c r="J1382" s="2">
        <v>5164112.0</v>
      </c>
      <c r="K1382" s="2">
        <v>4322479.0</v>
      </c>
    </row>
    <row r="1383">
      <c r="A1383" s="2">
        <v>2022.0</v>
      </c>
      <c r="B1383" s="1" t="s">
        <v>1297</v>
      </c>
      <c r="C1383" s="2"/>
      <c r="D1383" s="2" t="s">
        <v>120</v>
      </c>
      <c r="E1383" s="2"/>
      <c r="F1383" s="2">
        <v>7473939.0</v>
      </c>
      <c r="G1383" s="2">
        <v>5166085.0</v>
      </c>
      <c r="H1383" s="2">
        <v>193355.0</v>
      </c>
      <c r="I1383" s="2">
        <v>1.2833379E7</v>
      </c>
      <c r="J1383" s="2">
        <v>7284847.0</v>
      </c>
      <c r="K1383" s="2">
        <v>5548532.0</v>
      </c>
    </row>
    <row r="1384">
      <c r="A1384" s="2">
        <v>2022.0</v>
      </c>
      <c r="B1384" s="1" t="s">
        <v>1297</v>
      </c>
      <c r="C1384" s="2"/>
      <c r="D1384" s="2" t="s">
        <v>121</v>
      </c>
      <c r="E1384" s="2"/>
      <c r="F1384" s="2">
        <v>6103450.0</v>
      </c>
      <c r="G1384" s="2">
        <v>6293929.0</v>
      </c>
      <c r="H1384" s="2">
        <v>220546.0</v>
      </c>
      <c r="I1384" s="2">
        <v>1.2617925E7</v>
      </c>
      <c r="J1384" s="2">
        <v>7064982.0</v>
      </c>
      <c r="K1384" s="2">
        <v>5552943.0</v>
      </c>
    </row>
    <row r="1385">
      <c r="A1385" s="2">
        <v>2022.0</v>
      </c>
      <c r="B1385" s="1" t="s">
        <v>1297</v>
      </c>
      <c r="C1385" s="2" t="s">
        <v>618</v>
      </c>
      <c r="D1385" s="2" t="s">
        <v>621</v>
      </c>
      <c r="E1385" s="2"/>
      <c r="F1385" s="2">
        <v>1.6267832E7</v>
      </c>
      <c r="G1385" s="2">
        <v>3098904.0</v>
      </c>
      <c r="H1385" s="2">
        <v>443616.0</v>
      </c>
      <c r="I1385" s="2">
        <v>1.9810352E7</v>
      </c>
      <c r="J1385" s="2">
        <v>6106350.0</v>
      </c>
      <c r="K1385" s="2">
        <v>1.3704002E7</v>
      </c>
    </row>
    <row r="1386">
      <c r="A1386" s="2">
        <v>2022.0</v>
      </c>
      <c r="B1386" s="1" t="s">
        <v>1297</v>
      </c>
      <c r="C1386" s="2"/>
      <c r="D1386" s="2" t="s">
        <v>619</v>
      </c>
      <c r="E1386" s="2"/>
      <c r="F1386" s="2">
        <v>5126219.0</v>
      </c>
      <c r="G1386" s="2">
        <v>2366560.0</v>
      </c>
      <c r="H1386" s="2">
        <v>923153.0</v>
      </c>
      <c r="I1386" s="2">
        <v>8415932.0</v>
      </c>
      <c r="J1386" s="2">
        <v>4357237.0</v>
      </c>
      <c r="K1386" s="2">
        <v>4058695.0</v>
      </c>
    </row>
    <row r="1387">
      <c r="A1387" s="2">
        <v>2022.0</v>
      </c>
      <c r="B1387" s="1" t="s">
        <v>1297</v>
      </c>
      <c r="C1387" s="2"/>
      <c r="D1387" s="2" t="s">
        <v>618</v>
      </c>
      <c r="E1387" s="2"/>
      <c r="F1387" s="2">
        <v>1.5707421E7</v>
      </c>
      <c r="G1387" s="2">
        <v>6769217.0</v>
      </c>
      <c r="H1387" s="2">
        <v>343224.0</v>
      </c>
      <c r="I1387" s="2">
        <v>2.2819862E7</v>
      </c>
      <c r="J1387" s="2">
        <v>5858449.0</v>
      </c>
      <c r="K1387" s="2">
        <v>1.6961413E7</v>
      </c>
    </row>
    <row r="1388">
      <c r="A1388" s="2">
        <v>2022.0</v>
      </c>
      <c r="B1388" s="1" t="s">
        <v>1297</v>
      </c>
      <c r="C1388" s="2" t="s">
        <v>128</v>
      </c>
      <c r="D1388" s="2" t="s">
        <v>132</v>
      </c>
      <c r="E1388" s="2"/>
      <c r="F1388" s="2">
        <v>3838903.0</v>
      </c>
      <c r="G1388" s="2">
        <v>4225298.0</v>
      </c>
      <c r="H1388" s="2">
        <v>118386.0</v>
      </c>
      <c r="I1388" s="2">
        <v>8182587.0</v>
      </c>
      <c r="J1388" s="2">
        <v>5161746.0</v>
      </c>
      <c r="K1388" s="2">
        <v>3020841.0</v>
      </c>
    </row>
    <row r="1389">
      <c r="A1389" s="2">
        <v>2022.0</v>
      </c>
      <c r="B1389" s="1" t="s">
        <v>1297</v>
      </c>
      <c r="C1389" s="2"/>
      <c r="D1389" s="2" t="s">
        <v>1314</v>
      </c>
      <c r="E1389" s="2"/>
      <c r="F1389" s="2">
        <v>3530340.0</v>
      </c>
      <c r="G1389" s="2">
        <v>1579600.0</v>
      </c>
      <c r="H1389" s="2">
        <v>124293.0</v>
      </c>
      <c r="I1389" s="2">
        <v>5234233.0</v>
      </c>
      <c r="J1389" s="2">
        <v>3122637.0</v>
      </c>
      <c r="K1389" s="2">
        <v>2111596.0</v>
      </c>
    </row>
    <row r="1390">
      <c r="A1390" s="2">
        <v>2022.0</v>
      </c>
      <c r="B1390" s="1" t="s">
        <v>1297</v>
      </c>
      <c r="C1390" s="2"/>
      <c r="D1390" s="2" t="s">
        <v>269</v>
      </c>
      <c r="E1390" s="2"/>
      <c r="F1390" s="2">
        <v>2929646.0</v>
      </c>
      <c r="G1390" s="2">
        <v>3341365.0</v>
      </c>
      <c r="H1390" s="2">
        <v>102940.0</v>
      </c>
      <c r="I1390" s="2">
        <v>6373951.0</v>
      </c>
      <c r="J1390" s="2">
        <v>4042308.0</v>
      </c>
      <c r="K1390" s="2">
        <v>2331643.0</v>
      </c>
    </row>
    <row r="1391">
      <c r="A1391" s="2">
        <v>2022.0</v>
      </c>
      <c r="B1391" s="2" t="s">
        <v>1200</v>
      </c>
      <c r="C1391" s="2" t="s">
        <v>1315</v>
      </c>
      <c r="E1391" s="2"/>
      <c r="F1391" s="2">
        <v>7.9112834E7</v>
      </c>
      <c r="G1391" s="2">
        <v>6.1451473E7</v>
      </c>
      <c r="H1391" s="2">
        <v>2852942.0</v>
      </c>
      <c r="I1391" s="2">
        <v>1.43417249E8</v>
      </c>
      <c r="J1391" s="2">
        <v>5.7271175E7</v>
      </c>
      <c r="K1391" s="2">
        <v>8.6146074E7</v>
      </c>
    </row>
    <row r="1392">
      <c r="A1392" s="2">
        <v>2022.0</v>
      </c>
      <c r="B1392" s="2" t="s">
        <v>1297</v>
      </c>
      <c r="C1392" s="2"/>
      <c r="E1392" s="2"/>
      <c r="F1392" s="2">
        <v>8.6146074E7</v>
      </c>
      <c r="G1392" s="2">
        <v>5.5745418E7</v>
      </c>
      <c r="H1392" s="2">
        <v>2702786.0</v>
      </c>
      <c r="I1392" s="2">
        <v>1.44594278E8</v>
      </c>
      <c r="J1392" s="2">
        <v>9.4263197E7</v>
      </c>
      <c r="K1392" s="2">
        <v>5.0331081E7</v>
      </c>
    </row>
    <row r="1393">
      <c r="A1393" s="2">
        <v>2022.0</v>
      </c>
      <c r="B1393" s="2" t="s">
        <v>1200</v>
      </c>
      <c r="C1393" s="2" t="s">
        <v>1316</v>
      </c>
      <c r="E1393" s="2"/>
      <c r="F1393" s="2">
        <v>7.4654145E7</v>
      </c>
      <c r="G1393" s="2">
        <v>9.5901942E7</v>
      </c>
      <c r="H1393" s="2">
        <v>2965338.0</v>
      </c>
      <c r="I1393" s="2">
        <v>1.73521425E8</v>
      </c>
      <c r="J1393" s="2">
        <v>9.7509425E7</v>
      </c>
      <c r="K1393" s="2">
        <v>7.6012E7</v>
      </c>
    </row>
    <row r="1394">
      <c r="A1394" s="2">
        <v>2022.0</v>
      </c>
      <c r="B1394" s="2" t="s">
        <v>1297</v>
      </c>
      <c r="C1394" s="2"/>
      <c r="E1394" s="2"/>
      <c r="F1394" s="2">
        <v>7.6012E7</v>
      </c>
      <c r="G1394" s="2">
        <v>1.53802776E8</v>
      </c>
      <c r="H1394" s="2">
        <v>2253792.0</v>
      </c>
      <c r="I1394" s="2">
        <v>2.32068568E8</v>
      </c>
      <c r="J1394" s="2">
        <v>1.59308401E8</v>
      </c>
      <c r="K1394" s="2">
        <v>7.2760167E7</v>
      </c>
    </row>
    <row r="1395">
      <c r="A1395" s="2">
        <v>2022.0</v>
      </c>
      <c r="B1395" s="2" t="s">
        <v>1200</v>
      </c>
      <c r="C1395" s="2" t="s">
        <v>1317</v>
      </c>
      <c r="E1395" s="2"/>
      <c r="F1395" s="2">
        <v>3.7784409E7</v>
      </c>
      <c r="G1395" s="2">
        <v>9.7509568E7</v>
      </c>
      <c r="H1395" s="2">
        <v>765121.0</v>
      </c>
      <c r="I1395" s="2">
        <v>1.36059098E8</v>
      </c>
      <c r="J1395" s="2">
        <v>9.6904308E7</v>
      </c>
      <c r="K1395" s="2">
        <v>3.915479E7</v>
      </c>
    </row>
    <row r="1396">
      <c r="A1396" s="2">
        <v>2022.0</v>
      </c>
      <c r="B1396" s="2" t="s">
        <v>1297</v>
      </c>
      <c r="C1396" s="2"/>
      <c r="E1396" s="2"/>
      <c r="F1396" s="2">
        <v>3.915479E7</v>
      </c>
      <c r="G1396" s="2">
        <v>2.31713328E8</v>
      </c>
      <c r="H1396" s="2">
        <v>1107684.0</v>
      </c>
      <c r="I1396" s="2">
        <v>2.71975802E8</v>
      </c>
      <c r="J1396" s="2">
        <v>2.32721637E8</v>
      </c>
      <c r="K1396" s="2">
        <v>3.9254165E7</v>
      </c>
    </row>
    <row r="1397">
      <c r="A1397" s="2">
        <v>2022.0</v>
      </c>
      <c r="B1397" s="2" t="s">
        <v>1200</v>
      </c>
      <c r="C1397" s="2" t="s">
        <v>1318</v>
      </c>
      <c r="E1397" s="2"/>
      <c r="F1397" s="2">
        <v>1.2821273E7</v>
      </c>
      <c r="G1397" s="2">
        <v>8.3876469E7</v>
      </c>
      <c r="H1397" s="2">
        <v>848348.0</v>
      </c>
      <c r="I1397" s="2">
        <v>9.754609E7</v>
      </c>
      <c r="J1397" s="2">
        <v>7.0993704E7</v>
      </c>
      <c r="K1397" s="2">
        <v>2.6552386E7</v>
      </c>
    </row>
    <row r="1398">
      <c r="A1398" s="2">
        <v>2022.0</v>
      </c>
      <c r="B1398" s="2" t="s">
        <v>1297</v>
      </c>
      <c r="C1398" s="2"/>
      <c r="E1398" s="2"/>
      <c r="F1398" s="2">
        <v>2.6552386E7</v>
      </c>
      <c r="G1398" s="2">
        <v>1.03589639E8</v>
      </c>
      <c r="H1398" s="2">
        <v>755608.0</v>
      </c>
      <c r="I1398" s="2">
        <v>1.30897633E8</v>
      </c>
      <c r="J1398" s="2">
        <v>1.06004547E8</v>
      </c>
      <c r="K1398" s="2">
        <v>2.4893087E7</v>
      </c>
    </row>
    <row r="1399">
      <c r="A1399" s="2">
        <v>2022.0</v>
      </c>
      <c r="B1399" s="2" t="s">
        <v>1200</v>
      </c>
      <c r="D1399" s="1" t="s">
        <v>1319</v>
      </c>
      <c r="E1399" s="2" t="s">
        <v>568</v>
      </c>
      <c r="F1399" s="2">
        <v>529656.0</v>
      </c>
      <c r="G1399" s="2">
        <v>5645037.0</v>
      </c>
      <c r="H1399" s="2">
        <v>0.0</v>
      </c>
      <c r="I1399" s="2">
        <v>6174693.0</v>
      </c>
      <c r="J1399" s="2">
        <v>6033509.0</v>
      </c>
      <c r="K1399" s="2">
        <v>141184.0</v>
      </c>
    </row>
    <row r="1400">
      <c r="A1400" s="2">
        <v>2022.0</v>
      </c>
      <c r="B1400" s="2" t="s">
        <v>1297</v>
      </c>
      <c r="D1400" s="1" t="s">
        <v>1319</v>
      </c>
      <c r="E1400" s="2" t="s">
        <v>568</v>
      </c>
      <c r="F1400" s="2">
        <v>141184.0</v>
      </c>
      <c r="G1400" s="2">
        <v>6341990.0</v>
      </c>
      <c r="H1400" s="2">
        <v>0.0</v>
      </c>
      <c r="I1400" s="2">
        <v>6483174.0</v>
      </c>
      <c r="J1400" s="2">
        <v>6028605.0</v>
      </c>
      <c r="K1400" s="2">
        <v>454569.0</v>
      </c>
    </row>
    <row r="1401">
      <c r="A1401" s="2">
        <v>2022.0</v>
      </c>
      <c r="B1401" s="2" t="s">
        <v>1200</v>
      </c>
      <c r="D1401" s="1" t="s">
        <v>1319</v>
      </c>
      <c r="E1401" s="2" t="s">
        <v>759</v>
      </c>
      <c r="F1401" s="2">
        <v>255189.0</v>
      </c>
      <c r="G1401" s="2">
        <v>2439689.0</v>
      </c>
      <c r="H1401" s="2">
        <v>39912.0</v>
      </c>
      <c r="I1401" s="2">
        <v>2734790.0</v>
      </c>
      <c r="J1401" s="2">
        <v>1845634.0</v>
      </c>
      <c r="K1401" s="2">
        <v>889156.0</v>
      </c>
    </row>
    <row r="1402">
      <c r="A1402" s="2">
        <v>2022.0</v>
      </c>
      <c r="B1402" s="2" t="s">
        <v>1297</v>
      </c>
      <c r="D1402" s="1" t="s">
        <v>1319</v>
      </c>
      <c r="E1402" s="2" t="s">
        <v>759</v>
      </c>
      <c r="F1402" s="2">
        <v>889156.0</v>
      </c>
      <c r="G1402" s="2">
        <v>4830156.0</v>
      </c>
      <c r="H1402" s="2">
        <v>30309.0</v>
      </c>
      <c r="I1402" s="2">
        <v>5749621.0</v>
      </c>
      <c r="J1402" s="2">
        <v>2860410.0</v>
      </c>
      <c r="K1402" s="2">
        <v>2889211.0</v>
      </c>
    </row>
    <row r="1403">
      <c r="A1403" s="2">
        <v>2022.0</v>
      </c>
      <c r="B1403" s="2" t="s">
        <v>1297</v>
      </c>
      <c r="D1403" s="1" t="s">
        <v>1319</v>
      </c>
      <c r="E1403" s="2" t="s">
        <v>25</v>
      </c>
      <c r="F1403" s="2">
        <v>0.0</v>
      </c>
      <c r="G1403" s="2">
        <v>2739500.0</v>
      </c>
      <c r="H1403" s="2">
        <v>5503.0</v>
      </c>
      <c r="I1403" s="2">
        <v>2745003.0</v>
      </c>
      <c r="J1403" s="2">
        <v>1364744.0</v>
      </c>
      <c r="K1403" s="2">
        <v>1380259.0</v>
      </c>
    </row>
    <row r="1404">
      <c r="A1404" s="2">
        <v>2022.0</v>
      </c>
      <c r="B1404" s="2" t="s">
        <v>1200</v>
      </c>
      <c r="D1404" s="1" t="s">
        <v>1319</v>
      </c>
      <c r="E1404" s="2" t="s">
        <v>56</v>
      </c>
      <c r="F1404" s="2">
        <v>955386.0</v>
      </c>
      <c r="G1404" s="2">
        <v>4008906.0</v>
      </c>
      <c r="H1404" s="2">
        <v>19794.0</v>
      </c>
      <c r="I1404" s="2">
        <v>4984086.0</v>
      </c>
      <c r="J1404" s="2">
        <v>4728264.0</v>
      </c>
      <c r="K1404" s="2">
        <v>255822.0</v>
      </c>
    </row>
    <row r="1405">
      <c r="A1405" s="2">
        <v>2022.0</v>
      </c>
      <c r="B1405" s="2" t="s">
        <v>1297</v>
      </c>
      <c r="D1405" s="1" t="s">
        <v>1319</v>
      </c>
      <c r="E1405" s="2" t="s">
        <v>56</v>
      </c>
      <c r="F1405" s="2">
        <v>255822.0</v>
      </c>
      <c r="G1405" s="2">
        <v>2549822.0</v>
      </c>
      <c r="H1405" s="2">
        <v>20627.0</v>
      </c>
      <c r="I1405" s="2">
        <v>2826271.0</v>
      </c>
      <c r="J1405" s="2">
        <v>2803770.0</v>
      </c>
      <c r="K1405" s="2">
        <v>22501.0</v>
      </c>
    </row>
    <row r="1406">
      <c r="A1406" s="2">
        <v>2022.0</v>
      </c>
      <c r="B1406" s="2" t="s">
        <v>1200</v>
      </c>
      <c r="D1406" s="1" t="s">
        <v>1319</v>
      </c>
      <c r="E1406" s="2" t="s">
        <v>1320</v>
      </c>
      <c r="F1406" s="2">
        <v>0.0</v>
      </c>
      <c r="G1406" s="2">
        <v>134470.0</v>
      </c>
      <c r="H1406" s="2">
        <v>0.0</v>
      </c>
      <c r="I1406" s="2">
        <v>134470.0</v>
      </c>
      <c r="J1406" s="2">
        <v>93737.0</v>
      </c>
      <c r="K1406" s="2">
        <v>40733.0</v>
      </c>
    </row>
    <row r="1407">
      <c r="A1407" s="2">
        <v>2022.0</v>
      </c>
      <c r="B1407" s="2" t="s">
        <v>1297</v>
      </c>
      <c r="D1407" s="1" t="s">
        <v>1319</v>
      </c>
      <c r="E1407" s="2" t="s">
        <v>1320</v>
      </c>
      <c r="F1407" s="2">
        <v>40733.0</v>
      </c>
      <c r="G1407" s="2">
        <v>1315615.0</v>
      </c>
      <c r="H1407" s="2">
        <v>9446.0</v>
      </c>
      <c r="I1407" s="2">
        <v>1365794.0</v>
      </c>
      <c r="J1407" s="2">
        <v>1206692.0</v>
      </c>
      <c r="K1407" s="2">
        <v>159102.0</v>
      </c>
    </row>
    <row r="1408">
      <c r="A1408" s="2">
        <v>2022.0</v>
      </c>
      <c r="B1408" s="2" t="s">
        <v>1200</v>
      </c>
      <c r="D1408" s="1" t="s">
        <v>1319</v>
      </c>
      <c r="E1408" s="2" t="s">
        <v>712</v>
      </c>
      <c r="F1408" s="2">
        <v>83757.0</v>
      </c>
      <c r="G1408" s="2">
        <v>83757.0</v>
      </c>
      <c r="H1408" s="2">
        <v>3758.0</v>
      </c>
      <c r="I1408" s="2">
        <v>171272.0</v>
      </c>
      <c r="J1408" s="2">
        <v>84157.0</v>
      </c>
      <c r="K1408" s="2">
        <v>87115.0</v>
      </c>
    </row>
    <row r="1409">
      <c r="A1409" s="2">
        <v>2022.0</v>
      </c>
      <c r="B1409" s="2" t="s">
        <v>1297</v>
      </c>
      <c r="D1409" s="1" t="s">
        <v>1319</v>
      </c>
      <c r="E1409" s="2" t="s">
        <v>712</v>
      </c>
      <c r="F1409" s="2">
        <v>87115.0</v>
      </c>
      <c r="G1409" s="2">
        <v>607115.0</v>
      </c>
      <c r="H1409" s="2">
        <v>7733.0</v>
      </c>
      <c r="I1409" s="2">
        <v>701963.0</v>
      </c>
      <c r="J1409" s="2">
        <v>87115.0</v>
      </c>
      <c r="K1409" s="2">
        <v>614848.0</v>
      </c>
    </row>
    <row r="1410">
      <c r="A1410" s="2">
        <v>2022.0</v>
      </c>
      <c r="B1410" s="2" t="s">
        <v>1200</v>
      </c>
      <c r="D1410" s="1" t="s">
        <v>1321</v>
      </c>
      <c r="E1410" s="2" t="s">
        <v>313</v>
      </c>
      <c r="F1410" s="2">
        <v>786764.0</v>
      </c>
      <c r="G1410" s="2">
        <v>1.3711301E7</v>
      </c>
      <c r="H1410" s="2">
        <v>113010.0</v>
      </c>
      <c r="I1410" s="2">
        <v>1.4611075E7</v>
      </c>
      <c r="J1410" s="2">
        <v>1.2089888E7</v>
      </c>
      <c r="K1410" s="2">
        <v>2521187.0</v>
      </c>
    </row>
    <row r="1411">
      <c r="A1411" s="2">
        <v>2022.0</v>
      </c>
      <c r="B1411" s="2" t="s">
        <v>1297</v>
      </c>
      <c r="D1411" s="1" t="s">
        <v>1321</v>
      </c>
      <c r="E1411" s="2"/>
      <c r="F1411" s="2">
        <v>2521187.0</v>
      </c>
      <c r="G1411" s="2">
        <v>0.0</v>
      </c>
      <c r="H1411" s="2">
        <v>38561.0</v>
      </c>
      <c r="I1411" s="2">
        <v>2559748.0</v>
      </c>
      <c r="J1411" s="2">
        <v>9381500.0</v>
      </c>
      <c r="K1411" s="2">
        <v>0.0</v>
      </c>
    </row>
    <row r="1412">
      <c r="A1412" s="2">
        <v>2022.0</v>
      </c>
      <c r="B1412" s="2" t="s">
        <v>1200</v>
      </c>
      <c r="D1412" s="1" t="s">
        <v>1321</v>
      </c>
      <c r="E1412" s="2" t="s">
        <v>76</v>
      </c>
      <c r="F1412" s="2">
        <v>1516428.0</v>
      </c>
      <c r="G1412" s="2">
        <v>5950064.0</v>
      </c>
      <c r="H1412" s="2">
        <v>99894.0</v>
      </c>
      <c r="I1412" s="2">
        <v>7566386.0</v>
      </c>
      <c r="J1412" s="2">
        <v>4350698.0</v>
      </c>
      <c r="K1412" s="2">
        <v>3215688.0</v>
      </c>
    </row>
    <row r="1413">
      <c r="A1413" s="2">
        <v>2022.0</v>
      </c>
      <c r="B1413" s="2" t="s">
        <v>1297</v>
      </c>
      <c r="D1413" s="1" t="s">
        <v>1321</v>
      </c>
      <c r="E1413" s="2"/>
      <c r="F1413" s="2">
        <v>3215688.0</v>
      </c>
      <c r="G1413" s="2">
        <v>1.0697E7</v>
      </c>
      <c r="H1413" s="2">
        <v>61902.0</v>
      </c>
      <c r="I1413" s="2">
        <v>1.397459E7</v>
      </c>
      <c r="J1413" s="2">
        <v>3159717.0</v>
      </c>
      <c r="K1413" s="2">
        <v>1.0814873E7</v>
      </c>
    </row>
    <row r="1414">
      <c r="A1414" s="2">
        <v>2022.0</v>
      </c>
      <c r="B1414" s="2" t="s">
        <v>1200</v>
      </c>
      <c r="D1414" s="1" t="s">
        <v>1321</v>
      </c>
      <c r="E1414" s="2" t="s">
        <v>1323</v>
      </c>
      <c r="F1414" s="2">
        <v>244431.0</v>
      </c>
      <c r="G1414" s="2">
        <v>0.0</v>
      </c>
      <c r="H1414" s="2">
        <v>0.0</v>
      </c>
      <c r="I1414" s="2">
        <v>244431.0</v>
      </c>
      <c r="J1414" s="2">
        <v>9502.0</v>
      </c>
      <c r="K1414" s="2">
        <v>234929.0</v>
      </c>
    </row>
    <row r="1415">
      <c r="A1415" s="2">
        <v>2022.0</v>
      </c>
      <c r="B1415" s="2" t="s">
        <v>1297</v>
      </c>
      <c r="D1415" s="1" t="s">
        <v>1321</v>
      </c>
      <c r="E1415" s="2"/>
      <c r="F1415" s="2">
        <v>234929.0</v>
      </c>
      <c r="G1415" s="2">
        <v>0.0</v>
      </c>
      <c r="H1415" s="2">
        <v>0.0</v>
      </c>
      <c r="I1415" s="2">
        <v>234929.0</v>
      </c>
      <c r="J1415" s="2">
        <v>4578.0</v>
      </c>
      <c r="K1415" s="2">
        <v>230351.0</v>
      </c>
    </row>
    <row r="1416">
      <c r="A1416" s="2">
        <v>2022.0</v>
      </c>
      <c r="B1416" s="2" t="s">
        <v>1200</v>
      </c>
      <c r="D1416" s="1" t="s">
        <v>1321</v>
      </c>
      <c r="E1416" s="2" t="s">
        <v>1324</v>
      </c>
      <c r="F1416" s="2">
        <v>97438.0</v>
      </c>
      <c r="G1416" s="2">
        <v>1053999.0</v>
      </c>
      <c r="H1416" s="2">
        <v>0.0</v>
      </c>
      <c r="I1416" s="2">
        <v>1151437.0</v>
      </c>
      <c r="J1416" s="2">
        <v>1111670.0</v>
      </c>
      <c r="K1416" s="2">
        <v>39767.0</v>
      </c>
    </row>
    <row r="1417">
      <c r="A1417" s="2">
        <v>2022.0</v>
      </c>
      <c r="B1417" s="2" t="s">
        <v>1297</v>
      </c>
      <c r="D1417" s="1" t="s">
        <v>1321</v>
      </c>
      <c r="E1417" s="2"/>
      <c r="F1417" s="2">
        <v>39767.0</v>
      </c>
      <c r="G1417" s="2">
        <v>1492000.0</v>
      </c>
      <c r="H1417" s="2">
        <v>0.0</v>
      </c>
      <c r="I1417" s="2">
        <v>1531767.0</v>
      </c>
      <c r="J1417" s="2">
        <v>1104853.0</v>
      </c>
      <c r="K1417" s="2">
        <v>426914.0</v>
      </c>
    </row>
    <row r="1418">
      <c r="A1418" s="2">
        <v>2022.0</v>
      </c>
      <c r="B1418" s="2" t="s">
        <v>1200</v>
      </c>
      <c r="D1418" s="1" t="s">
        <v>1321</v>
      </c>
      <c r="E1418" s="2" t="s">
        <v>1325</v>
      </c>
      <c r="F1418" s="2">
        <v>163157.0</v>
      </c>
      <c r="G1418" s="2">
        <v>0.0</v>
      </c>
      <c r="H1418" s="2">
        <v>282.0</v>
      </c>
      <c r="I1418" s="2">
        <v>163439.0</v>
      </c>
      <c r="J1418" s="2">
        <v>163439.0</v>
      </c>
      <c r="K1418" s="2">
        <v>0.0</v>
      </c>
    </row>
    <row r="1419">
      <c r="A1419" s="2">
        <v>2022.0</v>
      </c>
      <c r="B1419" s="2" t="s">
        <v>1200</v>
      </c>
      <c r="D1419" s="1" t="s">
        <v>1321</v>
      </c>
      <c r="E1419" s="2" t="s">
        <v>1326</v>
      </c>
      <c r="F1419" s="2">
        <v>133940.0</v>
      </c>
      <c r="G1419" s="2">
        <v>12000.0</v>
      </c>
      <c r="H1419" s="2">
        <v>0.0</v>
      </c>
      <c r="I1419" s="2">
        <v>145940.0</v>
      </c>
      <c r="J1419" s="2">
        <v>134188.0</v>
      </c>
      <c r="K1419" s="2">
        <v>11752.0</v>
      </c>
    </row>
    <row r="1420">
      <c r="A1420" s="2">
        <v>2022.0</v>
      </c>
      <c r="B1420" s="2" t="s">
        <v>1297</v>
      </c>
      <c r="D1420" s="1" t="s">
        <v>1321</v>
      </c>
      <c r="E1420" s="2"/>
      <c r="F1420" s="2">
        <v>11752.0</v>
      </c>
      <c r="G1420" s="2">
        <v>0.0</v>
      </c>
      <c r="H1420" s="2">
        <v>0.0</v>
      </c>
      <c r="I1420" s="2">
        <v>11752.0</v>
      </c>
      <c r="J1420" s="2">
        <v>11752.0</v>
      </c>
      <c r="K1420" s="2">
        <v>0.0</v>
      </c>
    </row>
    <row r="1421">
      <c r="A1421" s="2">
        <v>2022.0</v>
      </c>
      <c r="B1421" s="2" t="s">
        <v>1297</v>
      </c>
      <c r="D1421" s="1" t="s">
        <v>1321</v>
      </c>
      <c r="E1421" s="2" t="s">
        <v>25</v>
      </c>
      <c r="F1421" s="2">
        <v>0.0</v>
      </c>
      <c r="G1421" s="2">
        <v>8323500.0</v>
      </c>
      <c r="H1421" s="2">
        <v>23606.0</v>
      </c>
      <c r="I1421" s="2">
        <v>8347106.0</v>
      </c>
      <c r="J1421" s="2">
        <v>2428540.0</v>
      </c>
      <c r="K1421" s="2">
        <v>5918566.0</v>
      </c>
    </row>
    <row r="1422">
      <c r="A1422" s="2">
        <v>2022.0</v>
      </c>
      <c r="B1422" s="1" t="s">
        <v>1200</v>
      </c>
      <c r="C1422" s="2" t="s">
        <v>165</v>
      </c>
      <c r="D1422" s="2" t="s">
        <v>171</v>
      </c>
      <c r="E1422" s="1" t="s">
        <v>420</v>
      </c>
      <c r="F1422" s="2">
        <v>1929828.0</v>
      </c>
      <c r="G1422" s="2">
        <v>3500000.0</v>
      </c>
      <c r="H1422" s="2">
        <v>32562.0</v>
      </c>
      <c r="I1422" s="2">
        <v>5462390.0</v>
      </c>
      <c r="J1422" s="2">
        <v>5281850.0</v>
      </c>
      <c r="K1422" s="2">
        <v>180540.0</v>
      </c>
    </row>
    <row r="1423">
      <c r="A1423" s="2">
        <v>2022.0</v>
      </c>
      <c r="B1423" s="1" t="s">
        <v>1200</v>
      </c>
      <c r="C1423" s="2"/>
      <c r="D1423" s="2" t="s">
        <v>1327</v>
      </c>
      <c r="E1423" s="1" t="s">
        <v>420</v>
      </c>
      <c r="F1423" s="2">
        <v>3619767.0</v>
      </c>
      <c r="G1423" s="2">
        <v>1.15445E7</v>
      </c>
      <c r="H1423" s="2">
        <v>76697.0</v>
      </c>
      <c r="I1423" s="2">
        <v>1.5240964E7</v>
      </c>
      <c r="J1423" s="2">
        <v>1.5238041E7</v>
      </c>
      <c r="K1423" s="2">
        <v>2923.0</v>
      </c>
    </row>
    <row r="1424">
      <c r="A1424" s="2">
        <v>2022.0</v>
      </c>
      <c r="B1424" s="1" t="s">
        <v>1200</v>
      </c>
      <c r="C1424" s="2"/>
      <c r="D1424" s="2" t="s">
        <v>175</v>
      </c>
      <c r="E1424" s="1" t="s">
        <v>420</v>
      </c>
      <c r="F1424" s="2">
        <v>2702207.0</v>
      </c>
      <c r="G1424" s="2">
        <v>300000.0</v>
      </c>
      <c r="H1424" s="2">
        <v>9578.0</v>
      </c>
      <c r="I1424" s="2">
        <v>3011785.0</v>
      </c>
      <c r="J1424" s="2">
        <v>2982337.0</v>
      </c>
      <c r="K1424" s="2">
        <v>29448.0</v>
      </c>
    </row>
    <row r="1425">
      <c r="A1425" s="2">
        <v>2022.0</v>
      </c>
      <c r="B1425" s="1" t="s">
        <v>1200</v>
      </c>
      <c r="C1425" s="2"/>
      <c r="D1425" s="2" t="s">
        <v>298</v>
      </c>
      <c r="E1425" s="1" t="s">
        <v>420</v>
      </c>
      <c r="F1425" s="2">
        <v>3447972.0</v>
      </c>
      <c r="G1425" s="2">
        <v>1.15011E7</v>
      </c>
      <c r="H1425" s="2">
        <v>41502.0</v>
      </c>
      <c r="I1425" s="2">
        <v>1.4990574E7</v>
      </c>
      <c r="J1425" s="2">
        <v>1.4988004E7</v>
      </c>
      <c r="K1425" s="2">
        <v>2570.0</v>
      </c>
    </row>
    <row r="1426">
      <c r="A1426" s="2">
        <v>2022.0</v>
      </c>
      <c r="B1426" s="1" t="s">
        <v>1200</v>
      </c>
      <c r="C1426" s="2" t="s">
        <v>906</v>
      </c>
      <c r="D1426" s="2" t="s">
        <v>909</v>
      </c>
      <c r="E1426" s="1" t="s">
        <v>420</v>
      </c>
      <c r="F1426" s="2">
        <v>1883711.0</v>
      </c>
      <c r="G1426" s="2">
        <v>4498000.0</v>
      </c>
      <c r="H1426" s="2">
        <v>16363.0</v>
      </c>
      <c r="I1426" s="2">
        <v>6398074.0</v>
      </c>
      <c r="J1426" s="2">
        <v>6394707.0</v>
      </c>
      <c r="K1426" s="2">
        <v>3367.0</v>
      </c>
    </row>
    <row r="1427">
      <c r="A1427" s="2">
        <v>2022.0</v>
      </c>
      <c r="B1427" s="1" t="s">
        <v>1200</v>
      </c>
      <c r="C1427" s="2"/>
      <c r="D1427" s="2" t="s">
        <v>911</v>
      </c>
      <c r="E1427" s="1" t="s">
        <v>420</v>
      </c>
      <c r="F1427" s="2">
        <v>1848241.0</v>
      </c>
      <c r="G1427" s="2">
        <v>4200400.0</v>
      </c>
      <c r="H1427" s="2">
        <v>19202.0</v>
      </c>
      <c r="I1427" s="2">
        <v>6067843.0</v>
      </c>
      <c r="J1427" s="2">
        <v>5925799.0</v>
      </c>
      <c r="K1427" s="2">
        <v>142044.0</v>
      </c>
    </row>
    <row r="1428">
      <c r="A1428" s="2">
        <v>2022.0</v>
      </c>
      <c r="B1428" s="1" t="s">
        <v>1200</v>
      </c>
      <c r="C1428" s="2"/>
      <c r="D1428" s="2" t="s">
        <v>1328</v>
      </c>
      <c r="E1428" s="1" t="s">
        <v>420</v>
      </c>
      <c r="F1428" s="2">
        <v>1216598.0</v>
      </c>
      <c r="G1428" s="2">
        <v>2240000.0</v>
      </c>
      <c r="H1428" s="2">
        <v>4457.0</v>
      </c>
      <c r="I1428" s="2">
        <v>168712.0</v>
      </c>
      <c r="J1428" s="2">
        <v>44059.0</v>
      </c>
      <c r="K1428" s="2">
        <v>124653.0</v>
      </c>
    </row>
    <row r="1429">
      <c r="A1429" s="2">
        <v>2022.0</v>
      </c>
      <c r="B1429" s="1" t="s">
        <v>1200</v>
      </c>
      <c r="C1429" s="2"/>
      <c r="D1429" s="2" t="s">
        <v>1225</v>
      </c>
      <c r="E1429" s="1" t="s">
        <v>420</v>
      </c>
      <c r="F1429" s="2">
        <v>1000350.0</v>
      </c>
      <c r="G1429" s="2">
        <v>2228000.0</v>
      </c>
      <c r="H1429" s="2">
        <v>10420.0</v>
      </c>
      <c r="I1429" s="2">
        <v>3238770.0</v>
      </c>
      <c r="J1429" s="2">
        <v>3173784.0</v>
      </c>
      <c r="K1429" s="2">
        <v>64986.0</v>
      </c>
    </row>
    <row r="1430">
      <c r="A1430" s="2">
        <v>2022.0</v>
      </c>
      <c r="B1430" s="1" t="s">
        <v>1200</v>
      </c>
      <c r="C1430" s="2"/>
      <c r="D1430" s="2" t="s">
        <v>1227</v>
      </c>
      <c r="E1430" s="1" t="s">
        <v>420</v>
      </c>
      <c r="F1430" s="2">
        <v>3090231.0</v>
      </c>
      <c r="G1430" s="2">
        <v>6363000.0</v>
      </c>
      <c r="H1430" s="2">
        <v>19448.0</v>
      </c>
      <c r="I1430" s="2">
        <v>9472679.0</v>
      </c>
      <c r="J1430" s="2">
        <v>9365028.0</v>
      </c>
      <c r="K1430" s="2">
        <v>107651.0</v>
      </c>
    </row>
    <row r="1431">
      <c r="A1431" s="2">
        <v>2022.0</v>
      </c>
      <c r="B1431" s="1" t="s">
        <v>1200</v>
      </c>
      <c r="C1431" s="2"/>
      <c r="D1431" s="2" t="s">
        <v>1329</v>
      </c>
      <c r="E1431" s="1" t="s">
        <v>420</v>
      </c>
      <c r="F1431" s="2">
        <v>3638763.0</v>
      </c>
      <c r="G1431" s="2">
        <v>6860000.0</v>
      </c>
      <c r="H1431" s="2">
        <v>21217.0</v>
      </c>
      <c r="I1431" s="2">
        <v>18146.0</v>
      </c>
      <c r="J1431" s="2">
        <v>0.0</v>
      </c>
      <c r="K1431" s="2">
        <v>18146.0</v>
      </c>
    </row>
    <row r="1432">
      <c r="A1432" s="2">
        <v>2022.0</v>
      </c>
      <c r="B1432" s="1" t="s">
        <v>1200</v>
      </c>
      <c r="C1432" s="2"/>
      <c r="D1432" s="2" t="s">
        <v>907</v>
      </c>
      <c r="E1432" s="1" t="s">
        <v>420</v>
      </c>
      <c r="F1432" s="2">
        <v>2620338.0</v>
      </c>
      <c r="G1432" s="2">
        <v>6185543.0</v>
      </c>
      <c r="H1432" s="2">
        <v>13264.0</v>
      </c>
      <c r="I1432" s="2">
        <v>8819145.0</v>
      </c>
      <c r="J1432" s="2">
        <v>8807573.0</v>
      </c>
      <c r="K1432" s="2">
        <v>11572.0</v>
      </c>
    </row>
    <row r="1433">
      <c r="A1433" s="2">
        <v>2022.0</v>
      </c>
      <c r="B1433" s="1" t="s">
        <v>1200</v>
      </c>
      <c r="C1433" s="2" t="s">
        <v>1231</v>
      </c>
      <c r="D1433" s="2" t="s">
        <v>1232</v>
      </c>
      <c r="E1433" s="1" t="s">
        <v>420</v>
      </c>
      <c r="F1433" s="2">
        <v>294315.0</v>
      </c>
      <c r="G1433" s="2">
        <v>1.4155728E7</v>
      </c>
      <c r="H1433" s="2">
        <v>59736.0</v>
      </c>
      <c r="I1433" s="2">
        <v>1.4509779E7</v>
      </c>
      <c r="J1433" s="2">
        <v>1.3865804E7</v>
      </c>
      <c r="K1433" s="2">
        <v>643975.0</v>
      </c>
    </row>
    <row r="1434">
      <c r="A1434" s="2">
        <v>2022.0</v>
      </c>
      <c r="B1434" s="1" t="s">
        <v>1200</v>
      </c>
      <c r="C1434" s="2"/>
      <c r="D1434" s="2" t="s">
        <v>838</v>
      </c>
      <c r="E1434" s="1" t="s">
        <v>420</v>
      </c>
      <c r="F1434" s="2">
        <v>37285.0</v>
      </c>
      <c r="G1434" s="2">
        <v>9536147.0</v>
      </c>
      <c r="H1434" s="2">
        <v>35199.0</v>
      </c>
      <c r="I1434" s="2">
        <v>9608631.0</v>
      </c>
      <c r="J1434" s="2">
        <v>9443407.0</v>
      </c>
      <c r="K1434" s="2">
        <v>165224.0</v>
      </c>
    </row>
    <row r="1435">
      <c r="A1435" s="2">
        <v>2022.0</v>
      </c>
      <c r="B1435" s="1" t="s">
        <v>1200</v>
      </c>
      <c r="C1435" s="2"/>
      <c r="D1435" s="2" t="s">
        <v>843</v>
      </c>
      <c r="E1435" s="1" t="s">
        <v>420</v>
      </c>
      <c r="F1435" s="2">
        <v>566926.0</v>
      </c>
      <c r="G1435" s="2">
        <v>8847457.0</v>
      </c>
      <c r="H1435" s="2">
        <v>46974.0</v>
      </c>
      <c r="I1435" s="2">
        <v>9461357.0</v>
      </c>
      <c r="J1435" s="2">
        <v>9397685.0</v>
      </c>
      <c r="K1435" s="2">
        <v>63672.0</v>
      </c>
    </row>
    <row r="1436">
      <c r="A1436" s="2">
        <v>2022.0</v>
      </c>
      <c r="B1436" s="1" t="s">
        <v>1200</v>
      </c>
      <c r="C1436" s="2"/>
      <c r="D1436" s="2" t="s">
        <v>930</v>
      </c>
      <c r="E1436" s="1" t="s">
        <v>420</v>
      </c>
      <c r="F1436" s="2">
        <v>634213.0</v>
      </c>
      <c r="G1436" s="2">
        <v>8360800.0</v>
      </c>
      <c r="H1436" s="2">
        <v>5775.0</v>
      </c>
      <c r="I1436" s="2">
        <v>9000788.0</v>
      </c>
      <c r="J1436" s="2">
        <v>8862818.0</v>
      </c>
      <c r="K1436" s="2">
        <v>137970.0</v>
      </c>
    </row>
    <row r="1437">
      <c r="A1437" s="2">
        <v>2022.0</v>
      </c>
      <c r="B1437" s="1" t="s">
        <v>1200</v>
      </c>
      <c r="C1437" s="2" t="s">
        <v>925</v>
      </c>
      <c r="D1437" s="2" t="s">
        <v>1330</v>
      </c>
      <c r="E1437" s="1" t="s">
        <v>420</v>
      </c>
      <c r="F1437" s="2">
        <v>1626174.0</v>
      </c>
      <c r="G1437" s="2">
        <v>1.5001621E7</v>
      </c>
      <c r="H1437" s="2">
        <v>49984.0</v>
      </c>
      <c r="I1437" s="2">
        <v>1.6677779E7</v>
      </c>
      <c r="J1437" s="2">
        <v>1.649302E7</v>
      </c>
      <c r="K1437" s="2">
        <v>184759.0</v>
      </c>
    </row>
    <row r="1438">
      <c r="A1438" s="2">
        <v>2022.0</v>
      </c>
      <c r="B1438" s="1" t="s">
        <v>1200</v>
      </c>
      <c r="C1438" s="2"/>
      <c r="D1438" s="2" t="s">
        <v>928</v>
      </c>
      <c r="E1438" s="1" t="s">
        <v>420</v>
      </c>
      <c r="F1438" s="2">
        <v>939529.0</v>
      </c>
      <c r="G1438" s="2">
        <v>4475500.0</v>
      </c>
      <c r="H1438" s="2">
        <v>14898.0</v>
      </c>
      <c r="I1438" s="2">
        <v>5429927.0</v>
      </c>
      <c r="J1438" s="2">
        <v>5410122.0</v>
      </c>
      <c r="K1438" s="2">
        <v>19805.0</v>
      </c>
    </row>
    <row r="1439">
      <c r="A1439" s="2">
        <v>2022.0</v>
      </c>
      <c r="B1439" s="1" t="s">
        <v>1200</v>
      </c>
      <c r="C1439" s="2"/>
      <c r="D1439" s="2" t="s">
        <v>1223</v>
      </c>
      <c r="E1439" s="1" t="s">
        <v>420</v>
      </c>
      <c r="F1439" s="2">
        <v>927610.0</v>
      </c>
      <c r="G1439" s="2">
        <v>4001127.0</v>
      </c>
      <c r="H1439" s="2">
        <v>13051.0</v>
      </c>
      <c r="I1439" s="2">
        <v>4941788.0</v>
      </c>
      <c r="J1439" s="2">
        <v>4785380.0</v>
      </c>
      <c r="K1439" s="2">
        <v>156408.0</v>
      </c>
    </row>
    <row r="1440">
      <c r="A1440" s="2">
        <v>2022.0</v>
      </c>
      <c r="B1440" s="1" t="s">
        <v>1200</v>
      </c>
      <c r="C1440" s="2"/>
      <c r="D1440" s="2" t="s">
        <v>1239</v>
      </c>
      <c r="E1440" s="1" t="s">
        <v>420</v>
      </c>
      <c r="F1440" s="2">
        <v>817150.0</v>
      </c>
      <c r="G1440" s="2">
        <v>4413000.0</v>
      </c>
      <c r="H1440" s="2">
        <v>31196.0</v>
      </c>
      <c r="I1440" s="2">
        <v>5261346.0</v>
      </c>
      <c r="J1440" s="2">
        <v>4813931.0</v>
      </c>
      <c r="K1440" s="2">
        <v>447415.0</v>
      </c>
    </row>
    <row r="1441">
      <c r="A1441" s="2">
        <v>2022.0</v>
      </c>
      <c r="B1441" s="1" t="s">
        <v>1200</v>
      </c>
      <c r="C1441" s="2"/>
      <c r="D1441" s="2" t="s">
        <v>1240</v>
      </c>
      <c r="E1441" s="1" t="s">
        <v>420</v>
      </c>
      <c r="F1441" s="2">
        <v>213381.0</v>
      </c>
      <c r="G1441" s="2">
        <v>5693400.0</v>
      </c>
      <c r="H1441" s="2">
        <v>24156.0</v>
      </c>
      <c r="I1441" s="2">
        <v>5930937.0</v>
      </c>
      <c r="J1441" s="2">
        <v>5771128.0</v>
      </c>
      <c r="K1441" s="2">
        <v>159809.0</v>
      </c>
    </row>
    <row r="1442">
      <c r="A1442" s="2">
        <v>2022.0</v>
      </c>
      <c r="B1442" s="1" t="s">
        <v>1200</v>
      </c>
      <c r="C1442" s="2" t="s">
        <v>176</v>
      </c>
      <c r="D1442" s="2" t="s">
        <v>456</v>
      </c>
      <c r="E1442" s="1" t="s">
        <v>420</v>
      </c>
      <c r="F1442" s="2">
        <v>12130.0</v>
      </c>
      <c r="G1442" s="2">
        <v>7654700.0</v>
      </c>
      <c r="H1442" s="2">
        <v>0.0</v>
      </c>
      <c r="I1442" s="2">
        <v>7666830.0</v>
      </c>
      <c r="J1442" s="2">
        <v>7662317.0</v>
      </c>
      <c r="K1442" s="2">
        <v>4513.0</v>
      </c>
    </row>
    <row r="1443">
      <c r="A1443" s="2">
        <v>2022.0</v>
      </c>
      <c r="B1443" s="1" t="s">
        <v>1200</v>
      </c>
      <c r="C1443" s="2"/>
      <c r="D1443" s="2" t="s">
        <v>193</v>
      </c>
      <c r="E1443" s="1" t="s">
        <v>420</v>
      </c>
      <c r="F1443" s="2">
        <v>209455.0</v>
      </c>
      <c r="G1443" s="2">
        <v>1.515E7</v>
      </c>
      <c r="H1443" s="2">
        <v>33591.0</v>
      </c>
      <c r="I1443" s="2">
        <v>1.5393046E7</v>
      </c>
      <c r="J1443" s="2">
        <v>1.5314777E7</v>
      </c>
      <c r="K1443" s="2">
        <v>78269.0</v>
      </c>
    </row>
    <row r="1444">
      <c r="A1444" s="2">
        <v>2022.0</v>
      </c>
      <c r="B1444" s="1" t="s">
        <v>1200</v>
      </c>
      <c r="C1444" s="2"/>
      <c r="D1444" s="2" t="s">
        <v>1246</v>
      </c>
      <c r="E1444" s="1" t="s">
        <v>420</v>
      </c>
      <c r="F1444" s="2">
        <v>24684.0</v>
      </c>
      <c r="G1444" s="2">
        <v>7415315.0</v>
      </c>
      <c r="H1444" s="2">
        <v>0.0</v>
      </c>
      <c r="I1444" s="2">
        <v>7439999.0</v>
      </c>
      <c r="J1444" s="2">
        <v>7434543.0</v>
      </c>
      <c r="K1444" s="2">
        <v>5456.0</v>
      </c>
    </row>
    <row r="1445">
      <c r="A1445" s="2">
        <v>2022.0</v>
      </c>
      <c r="B1445" s="1" t="s">
        <v>1200</v>
      </c>
      <c r="C1445" s="2"/>
      <c r="D1445" s="2" t="s">
        <v>176</v>
      </c>
      <c r="E1445" s="1" t="s">
        <v>420</v>
      </c>
      <c r="F1445" s="2">
        <v>1246870.0</v>
      </c>
      <c r="G1445" s="2">
        <v>2913000.0</v>
      </c>
      <c r="H1445" s="2">
        <v>0.0</v>
      </c>
      <c r="I1445" s="2">
        <v>4159870.0</v>
      </c>
      <c r="J1445" s="2">
        <v>4155033.0</v>
      </c>
      <c r="K1445" s="2">
        <v>4837.0</v>
      </c>
    </row>
    <row r="1446">
      <c r="A1446" s="2">
        <v>2022.0</v>
      </c>
      <c r="B1446" s="1" t="s">
        <v>1200</v>
      </c>
      <c r="C1446" s="2"/>
      <c r="D1446" s="2" t="s">
        <v>1331</v>
      </c>
      <c r="E1446" s="1" t="s">
        <v>420</v>
      </c>
      <c r="F1446" s="2">
        <v>281668.0</v>
      </c>
      <c r="G1446" s="2">
        <v>1117500.0</v>
      </c>
      <c r="H1446" s="2">
        <v>0.0</v>
      </c>
      <c r="I1446" s="2">
        <v>1399168.0</v>
      </c>
      <c r="J1446" s="2">
        <v>1385476.0</v>
      </c>
      <c r="K1446" s="2">
        <v>13692.0</v>
      </c>
    </row>
    <row r="1447">
      <c r="A1447" s="2">
        <v>2022.0</v>
      </c>
      <c r="B1447" s="1" t="s">
        <v>1200</v>
      </c>
      <c r="C1447" s="2" t="s">
        <v>1332</v>
      </c>
      <c r="D1447" s="2" t="s">
        <v>967</v>
      </c>
      <c r="E1447" s="1" t="s">
        <v>420</v>
      </c>
      <c r="F1447" s="2">
        <v>1288661.0</v>
      </c>
      <c r="G1447" s="2">
        <v>1.11E7</v>
      </c>
      <c r="H1447" s="2">
        <v>35161.0</v>
      </c>
      <c r="I1447" s="2">
        <v>1.2423822E7</v>
      </c>
      <c r="J1447" s="2">
        <v>1.2348006E7</v>
      </c>
      <c r="K1447" s="2">
        <v>75816.0</v>
      </c>
    </row>
    <row r="1448">
      <c r="A1448" s="2">
        <v>2022.0</v>
      </c>
      <c r="B1448" s="1" t="s">
        <v>1200</v>
      </c>
      <c r="C1448" s="2"/>
      <c r="D1448" s="2" t="s">
        <v>973</v>
      </c>
      <c r="E1448" s="1" t="s">
        <v>420</v>
      </c>
      <c r="F1448" s="2">
        <v>2247691.0</v>
      </c>
      <c r="G1448" s="2">
        <v>5960000.0</v>
      </c>
      <c r="H1448" s="2">
        <v>28187.0</v>
      </c>
      <c r="I1448" s="2">
        <v>8235878.0</v>
      </c>
      <c r="J1448" s="2">
        <v>8232330.0</v>
      </c>
      <c r="K1448" s="2">
        <v>3548.0</v>
      </c>
    </row>
    <row r="1449">
      <c r="A1449" s="2">
        <v>2022.0</v>
      </c>
      <c r="B1449" s="1" t="s">
        <v>1200</v>
      </c>
      <c r="C1449" s="2"/>
      <c r="D1449" s="2" t="s">
        <v>1079</v>
      </c>
      <c r="E1449" s="1" t="s">
        <v>420</v>
      </c>
      <c r="F1449" s="2">
        <v>922739.0</v>
      </c>
      <c r="G1449" s="2">
        <v>30180.0</v>
      </c>
      <c r="H1449" s="2">
        <v>8045.0</v>
      </c>
      <c r="I1449" s="2">
        <v>960964.0</v>
      </c>
      <c r="J1449" s="2">
        <v>953219.0</v>
      </c>
      <c r="K1449" s="2">
        <v>7745.0</v>
      </c>
    </row>
    <row r="1450">
      <c r="A1450" s="2">
        <v>2022.0</v>
      </c>
      <c r="B1450" s="1" t="s">
        <v>1200</v>
      </c>
      <c r="C1450" s="2"/>
      <c r="D1450" s="2" t="s">
        <v>1201</v>
      </c>
      <c r="E1450" s="1" t="s">
        <v>420</v>
      </c>
      <c r="F1450" s="2">
        <v>1089797.0</v>
      </c>
      <c r="G1450" s="2">
        <v>150000.0</v>
      </c>
      <c r="H1450" s="2">
        <v>17243.0</v>
      </c>
      <c r="I1450" s="2">
        <v>1257040.0</v>
      </c>
      <c r="J1450" s="2">
        <v>1171606.0</v>
      </c>
      <c r="K1450" s="2">
        <v>85434.0</v>
      </c>
    </row>
    <row r="1451">
      <c r="A1451" s="2">
        <v>2022.0</v>
      </c>
      <c r="B1451" s="1" t="s">
        <v>1200</v>
      </c>
      <c r="C1451" s="2"/>
      <c r="D1451" s="2" t="s">
        <v>977</v>
      </c>
      <c r="E1451" s="1" t="s">
        <v>420</v>
      </c>
      <c r="F1451" s="2">
        <v>724163.0</v>
      </c>
      <c r="G1451" s="2">
        <v>5060000.0</v>
      </c>
      <c r="H1451" s="2">
        <v>18969.0</v>
      </c>
      <c r="I1451" s="2">
        <v>5803132.0</v>
      </c>
      <c r="J1451" s="2">
        <v>5782760.0</v>
      </c>
      <c r="K1451" s="2">
        <v>20372.0</v>
      </c>
    </row>
    <row r="1452">
      <c r="A1452" s="2">
        <v>2022.0</v>
      </c>
      <c r="B1452" s="1" t="s">
        <v>1200</v>
      </c>
      <c r="C1452" s="2"/>
      <c r="D1452" s="2" t="s">
        <v>975</v>
      </c>
      <c r="E1452" s="1" t="s">
        <v>420</v>
      </c>
      <c r="F1452" s="2">
        <v>1672200.0</v>
      </c>
      <c r="G1452" s="2">
        <v>2420000.0</v>
      </c>
      <c r="H1452" s="2">
        <v>28568.0</v>
      </c>
      <c r="I1452" s="2">
        <v>4120768.0</v>
      </c>
      <c r="J1452" s="2">
        <v>4038491.0</v>
      </c>
      <c r="K1452" s="2">
        <v>82277.0</v>
      </c>
    </row>
    <row r="1453">
      <c r="A1453" s="2">
        <v>2022.0</v>
      </c>
      <c r="B1453" s="1" t="s">
        <v>1200</v>
      </c>
      <c r="C1453" s="2"/>
      <c r="D1453" s="2" t="s">
        <v>1333</v>
      </c>
      <c r="E1453" s="1" t="s">
        <v>420</v>
      </c>
      <c r="F1453" s="2">
        <v>1571070.0</v>
      </c>
      <c r="H1453" s="2">
        <v>9604.0</v>
      </c>
      <c r="I1453" s="2">
        <v>1580674.0</v>
      </c>
      <c r="J1453" s="2">
        <v>1518272.0</v>
      </c>
      <c r="K1453" s="2">
        <v>62402.0</v>
      </c>
    </row>
    <row r="1454">
      <c r="A1454" s="2">
        <v>2022.0</v>
      </c>
      <c r="B1454" s="1" t="s">
        <v>1200</v>
      </c>
      <c r="C1454" s="2" t="s">
        <v>143</v>
      </c>
      <c r="D1454" s="2" t="s">
        <v>1207</v>
      </c>
      <c r="E1454" s="1" t="s">
        <v>420</v>
      </c>
      <c r="F1454" s="2">
        <v>1678436.0</v>
      </c>
      <c r="G1454" s="2">
        <v>7030000.0</v>
      </c>
      <c r="H1454" s="2">
        <v>48051.0</v>
      </c>
      <c r="I1454" s="2">
        <v>8756487.0</v>
      </c>
      <c r="J1454" s="2">
        <v>8665754.0</v>
      </c>
      <c r="K1454" s="2">
        <v>90733.0</v>
      </c>
    </row>
    <row r="1455">
      <c r="A1455" s="2">
        <v>2022.0</v>
      </c>
      <c r="B1455" s="1" t="s">
        <v>1200</v>
      </c>
      <c r="C1455" s="2"/>
      <c r="D1455" s="2" t="s">
        <v>281</v>
      </c>
      <c r="E1455" s="1" t="s">
        <v>420</v>
      </c>
      <c r="F1455" s="2">
        <v>871860.0</v>
      </c>
      <c r="G1455" s="2">
        <v>2850000.0</v>
      </c>
      <c r="H1455" s="2">
        <v>12214.0</v>
      </c>
      <c r="I1455" s="2">
        <v>3734074.0</v>
      </c>
      <c r="J1455" s="2">
        <v>3695297.0</v>
      </c>
      <c r="K1455" s="2">
        <v>38777.0</v>
      </c>
    </row>
    <row r="1456">
      <c r="A1456" s="2">
        <v>2022.0</v>
      </c>
      <c r="B1456" s="1" t="s">
        <v>1200</v>
      </c>
      <c r="C1456" s="2"/>
      <c r="D1456" s="2" t="s">
        <v>143</v>
      </c>
      <c r="E1456" s="1" t="s">
        <v>420</v>
      </c>
      <c r="F1456" s="2">
        <v>878765.0</v>
      </c>
      <c r="G1456" s="2">
        <v>2475850.0</v>
      </c>
      <c r="H1456" s="2">
        <v>23652.0</v>
      </c>
      <c r="I1456" s="2">
        <v>3378267.0</v>
      </c>
      <c r="J1456" s="2">
        <v>3186346.0</v>
      </c>
      <c r="K1456" s="2">
        <v>191921.0</v>
      </c>
    </row>
    <row r="1457">
      <c r="A1457" s="2">
        <v>2022.0</v>
      </c>
      <c r="B1457" s="1" t="s">
        <v>1200</v>
      </c>
      <c r="C1457" s="2"/>
      <c r="D1457" s="2" t="s">
        <v>1209</v>
      </c>
      <c r="E1457" s="1" t="s">
        <v>420</v>
      </c>
      <c r="F1457" s="2">
        <v>1669203.0</v>
      </c>
      <c r="G1457" s="2">
        <v>7755000.0</v>
      </c>
      <c r="H1457" s="2">
        <v>35831.0</v>
      </c>
      <c r="I1457" s="2">
        <v>9460034.0</v>
      </c>
      <c r="J1457" s="2">
        <v>9442661.0</v>
      </c>
      <c r="K1457" s="2">
        <v>17373.0</v>
      </c>
    </row>
    <row r="1458">
      <c r="A1458" s="2">
        <v>2022.0</v>
      </c>
      <c r="B1458" s="1" t="s">
        <v>1200</v>
      </c>
      <c r="C1458" s="2"/>
      <c r="D1458" s="2" t="s">
        <v>832</v>
      </c>
      <c r="E1458" s="1" t="s">
        <v>420</v>
      </c>
      <c r="F1458" s="2">
        <v>1501245.0</v>
      </c>
      <c r="G1458" s="2">
        <v>8960000.0</v>
      </c>
      <c r="H1458" s="2">
        <v>39585.0</v>
      </c>
      <c r="I1458" s="2">
        <v>1.050083E7</v>
      </c>
      <c r="J1458" s="2">
        <v>1.0492127E7</v>
      </c>
      <c r="K1458" s="2">
        <v>8703.0</v>
      </c>
    </row>
    <row r="1459">
      <c r="A1459" s="2">
        <v>2022.0</v>
      </c>
      <c r="B1459" s="1" t="s">
        <v>1200</v>
      </c>
      <c r="C1459" s="2"/>
      <c r="D1459" s="2" t="s">
        <v>146</v>
      </c>
      <c r="E1459" s="1" t="s">
        <v>420</v>
      </c>
      <c r="F1459" s="2">
        <v>152541.0</v>
      </c>
      <c r="G1459" s="2">
        <v>3360469.0</v>
      </c>
      <c r="H1459" s="2">
        <v>13276.0</v>
      </c>
      <c r="I1459" s="2">
        <v>3526286.0</v>
      </c>
      <c r="J1459" s="2">
        <v>3506006.0</v>
      </c>
      <c r="K1459" s="2">
        <v>20280.0</v>
      </c>
    </row>
    <row r="1460">
      <c r="A1460" s="2">
        <v>2022.0</v>
      </c>
      <c r="B1460" s="1" t="s">
        <v>1200</v>
      </c>
      <c r="C1460" s="2"/>
      <c r="D1460" s="2" t="s">
        <v>1211</v>
      </c>
      <c r="E1460" s="1" t="s">
        <v>420</v>
      </c>
      <c r="F1460" s="2">
        <v>438841.0</v>
      </c>
      <c r="G1460" s="2">
        <v>1.4301966E7</v>
      </c>
      <c r="H1460" s="2">
        <v>52071.0</v>
      </c>
      <c r="I1460" s="2">
        <v>1.4792878E7</v>
      </c>
      <c r="J1460" s="2">
        <v>1.4686446E7</v>
      </c>
      <c r="K1460" s="2">
        <v>106432.0</v>
      </c>
    </row>
    <row r="1461">
      <c r="A1461" s="2">
        <v>2022.0</v>
      </c>
      <c r="B1461" s="1" t="s">
        <v>1200</v>
      </c>
      <c r="C1461" s="2" t="s">
        <v>106</v>
      </c>
      <c r="D1461" s="2" t="s">
        <v>111</v>
      </c>
      <c r="E1461" s="1" t="s">
        <v>420</v>
      </c>
      <c r="F1461" s="2">
        <v>6407106.0</v>
      </c>
      <c r="G1461" s="2">
        <v>1.651E7</v>
      </c>
      <c r="H1461" s="2">
        <v>138258.0</v>
      </c>
      <c r="I1461" s="2">
        <v>2.3055364E7</v>
      </c>
      <c r="J1461" s="2">
        <v>2.2903321E7</v>
      </c>
      <c r="K1461" s="2">
        <v>152043.0</v>
      </c>
    </row>
    <row r="1462">
      <c r="A1462" s="2">
        <v>2022.0</v>
      </c>
      <c r="B1462" s="1" t="s">
        <v>1200</v>
      </c>
      <c r="C1462" s="2"/>
      <c r="D1462" s="2" t="s">
        <v>833</v>
      </c>
      <c r="E1462" s="1" t="s">
        <v>420</v>
      </c>
      <c r="F1462" s="2">
        <v>5050221.0</v>
      </c>
      <c r="G1462" s="2">
        <v>1.379E7</v>
      </c>
      <c r="H1462" s="2">
        <v>101434.0</v>
      </c>
      <c r="I1462" s="2">
        <v>1.8941655E7</v>
      </c>
      <c r="J1462" s="2">
        <v>1.8490697E7</v>
      </c>
      <c r="K1462" s="2">
        <v>450958.0</v>
      </c>
    </row>
    <row r="1463">
      <c r="A1463" s="2">
        <v>2022.0</v>
      </c>
      <c r="B1463" s="1" t="s">
        <v>1200</v>
      </c>
      <c r="C1463" s="2"/>
      <c r="D1463" s="2" t="s">
        <v>1090</v>
      </c>
      <c r="E1463" s="1" t="s">
        <v>420</v>
      </c>
      <c r="F1463" s="2">
        <v>8149363.0</v>
      </c>
      <c r="G1463" s="2">
        <v>1.217E7</v>
      </c>
      <c r="H1463" s="2">
        <v>177430.0</v>
      </c>
      <c r="I1463" s="2">
        <v>2.0496793E7</v>
      </c>
      <c r="J1463" s="2">
        <v>2.0294322E7</v>
      </c>
      <c r="K1463" s="2">
        <v>202471.0</v>
      </c>
    </row>
    <row r="1464">
      <c r="A1464" s="2">
        <v>2022.0</v>
      </c>
      <c r="B1464" s="1" t="s">
        <v>1200</v>
      </c>
      <c r="C1464" s="2"/>
      <c r="D1464" s="2" t="s">
        <v>116</v>
      </c>
      <c r="E1464" s="1" t="s">
        <v>420</v>
      </c>
      <c r="F1464" s="2">
        <v>7693394.0</v>
      </c>
      <c r="G1464" s="2">
        <v>6200000.0</v>
      </c>
      <c r="H1464" s="2">
        <v>94455.0</v>
      </c>
      <c r="I1464" s="2">
        <v>1.3987849E7</v>
      </c>
      <c r="J1464" s="2">
        <v>1.3859908E7</v>
      </c>
      <c r="K1464" s="2">
        <v>127941.0</v>
      </c>
    </row>
    <row r="1465">
      <c r="A1465" s="2">
        <v>2022.0</v>
      </c>
      <c r="B1465" s="1" t="s">
        <v>1200</v>
      </c>
      <c r="C1465" s="2" t="s">
        <v>1334</v>
      </c>
      <c r="D1465" s="2" t="s">
        <v>139</v>
      </c>
      <c r="E1465" s="1" t="s">
        <v>420</v>
      </c>
      <c r="F1465" s="2">
        <v>4676790.0</v>
      </c>
      <c r="G1465" s="2">
        <v>9449320.0</v>
      </c>
      <c r="H1465" s="2">
        <v>41854.0</v>
      </c>
      <c r="I1465" s="2">
        <v>1.4167964E7</v>
      </c>
      <c r="J1465" s="2">
        <v>1.4044713E7</v>
      </c>
      <c r="K1465" s="2">
        <v>123251.0</v>
      </c>
    </row>
    <row r="1466">
      <c r="A1466" s="2">
        <v>2022.0</v>
      </c>
      <c r="B1466" s="1" t="s">
        <v>1200</v>
      </c>
      <c r="C1466" s="2"/>
      <c r="D1466" s="2" t="s">
        <v>1335</v>
      </c>
      <c r="E1466" s="1" t="s">
        <v>420</v>
      </c>
      <c r="F1466" s="2">
        <v>2697993.0</v>
      </c>
      <c r="G1466" s="2">
        <v>5482518.0</v>
      </c>
      <c r="H1466" s="2">
        <v>22765.0</v>
      </c>
      <c r="I1466" s="2">
        <v>8203276.0</v>
      </c>
      <c r="J1466" s="2">
        <v>8094245.0</v>
      </c>
      <c r="K1466" s="2">
        <v>109031.0</v>
      </c>
    </row>
    <row r="1467">
      <c r="A1467" s="2">
        <v>2022.0</v>
      </c>
      <c r="B1467" s="1" t="s">
        <v>1200</v>
      </c>
      <c r="C1467" s="2"/>
      <c r="D1467" s="2" t="s">
        <v>820</v>
      </c>
      <c r="E1467" s="1" t="s">
        <v>420</v>
      </c>
      <c r="F1467" s="2">
        <v>285500.0</v>
      </c>
      <c r="G1467" s="2">
        <v>1.7679187E7</v>
      </c>
      <c r="H1467" s="2">
        <v>31263.0</v>
      </c>
      <c r="I1467" s="2">
        <v>1.799595E7</v>
      </c>
      <c r="J1467" s="2">
        <v>1.7791711E7</v>
      </c>
      <c r="K1467" s="2">
        <v>204239.0</v>
      </c>
    </row>
    <row r="1468">
      <c r="A1468" s="2">
        <v>2022.0</v>
      </c>
      <c r="B1468" s="1" t="s">
        <v>1200</v>
      </c>
      <c r="C1468" s="2"/>
      <c r="D1468" s="2" t="s">
        <v>1336</v>
      </c>
      <c r="E1468" s="1" t="s">
        <v>420</v>
      </c>
      <c r="F1468" s="2">
        <v>1858731.0</v>
      </c>
      <c r="G1468" s="2">
        <v>4800000.0</v>
      </c>
      <c r="H1468" s="2">
        <v>45146.0</v>
      </c>
      <c r="I1468" s="2">
        <v>6703877.0</v>
      </c>
      <c r="J1468" s="2">
        <v>6533559.0</v>
      </c>
      <c r="K1468" s="2">
        <v>170318.0</v>
      </c>
    </row>
    <row r="1469">
      <c r="A1469" s="2">
        <v>2022.0</v>
      </c>
      <c r="B1469" s="1" t="s">
        <v>1200</v>
      </c>
      <c r="C1469" s="2"/>
      <c r="D1469" s="2" t="s">
        <v>814</v>
      </c>
      <c r="E1469" s="1" t="s">
        <v>420</v>
      </c>
      <c r="F1469" s="2">
        <v>7449467.0</v>
      </c>
      <c r="G1469" s="2">
        <v>1.6110885E7</v>
      </c>
      <c r="H1469" s="2">
        <v>31545.0</v>
      </c>
      <c r="I1469" s="2">
        <v>2.3591897E7</v>
      </c>
      <c r="J1469" s="2">
        <v>2.3084433E7</v>
      </c>
      <c r="K1469" s="2">
        <v>507464.0</v>
      </c>
    </row>
    <row r="1470">
      <c r="A1470" s="2">
        <v>2022.0</v>
      </c>
      <c r="B1470" s="1" t="s">
        <v>1200</v>
      </c>
      <c r="C1470" s="2" t="s">
        <v>1219</v>
      </c>
      <c r="D1470" s="2" t="s">
        <v>1219</v>
      </c>
      <c r="E1470" s="1" t="s">
        <v>420</v>
      </c>
      <c r="F1470" s="2">
        <v>32426.0</v>
      </c>
      <c r="G1470" s="2">
        <v>7750000.0</v>
      </c>
      <c r="H1470" s="2">
        <v>16655.0</v>
      </c>
      <c r="I1470" s="2">
        <v>7799081.0</v>
      </c>
      <c r="J1470" s="2">
        <v>7762070.0</v>
      </c>
      <c r="K1470" s="2">
        <v>37011.0</v>
      </c>
    </row>
    <row r="1471">
      <c r="A1471" s="2">
        <v>2022.0</v>
      </c>
      <c r="B1471" s="1" t="s">
        <v>1200</v>
      </c>
      <c r="C1471" s="2"/>
      <c r="D1471" s="2" t="s">
        <v>774</v>
      </c>
      <c r="E1471" s="1" t="s">
        <v>420</v>
      </c>
      <c r="F1471" s="2">
        <v>145940.0</v>
      </c>
      <c r="G1471" s="2">
        <v>7500000.0</v>
      </c>
      <c r="H1471" s="2">
        <v>12392.0</v>
      </c>
      <c r="I1471" s="2">
        <v>7658332.0</v>
      </c>
      <c r="J1471" s="2">
        <v>7613539.0</v>
      </c>
      <c r="K1471" s="2">
        <v>44793.0</v>
      </c>
    </row>
    <row r="1472">
      <c r="A1472" s="2">
        <v>2022.0</v>
      </c>
      <c r="B1472" s="1" t="s">
        <v>1200</v>
      </c>
      <c r="C1472" s="2" t="s">
        <v>280</v>
      </c>
      <c r="D1472" s="2" t="s">
        <v>924</v>
      </c>
      <c r="E1472" s="1" t="s">
        <v>420</v>
      </c>
      <c r="F1472" s="2">
        <v>2521198.0</v>
      </c>
      <c r="G1472" s="2">
        <v>1.2139448E7</v>
      </c>
      <c r="H1472" s="2">
        <v>45561.0</v>
      </c>
      <c r="I1472" s="2">
        <v>1.4706207E7</v>
      </c>
      <c r="J1472" s="2">
        <v>1.4620688E7</v>
      </c>
      <c r="K1472" s="2">
        <v>85519.0</v>
      </c>
    </row>
    <row r="1473">
      <c r="A1473" s="2">
        <v>2022.0</v>
      </c>
      <c r="B1473" s="1" t="s">
        <v>1200</v>
      </c>
      <c r="C1473" s="2"/>
      <c r="D1473" s="2" t="s">
        <v>288</v>
      </c>
      <c r="E1473" s="1" t="s">
        <v>420</v>
      </c>
      <c r="F1473" s="2">
        <v>293497.0</v>
      </c>
      <c r="G1473" s="2">
        <v>2.4431664E7</v>
      </c>
      <c r="H1473" s="2">
        <v>119024.0</v>
      </c>
      <c r="I1473" s="2">
        <v>2.4844185E7</v>
      </c>
      <c r="J1473" s="2">
        <v>2.4616824E7</v>
      </c>
      <c r="K1473" s="2">
        <v>227361.0</v>
      </c>
    </row>
    <row r="1474">
      <c r="A1474" s="2">
        <v>2022.0</v>
      </c>
      <c r="B1474" s="1" t="s">
        <v>1200</v>
      </c>
      <c r="C1474" s="2"/>
      <c r="D1474" s="2" t="s">
        <v>286</v>
      </c>
      <c r="E1474" s="1" t="s">
        <v>420</v>
      </c>
      <c r="F1474" s="2">
        <v>2599632.0</v>
      </c>
      <c r="G1474" s="2">
        <v>1.154265E7</v>
      </c>
      <c r="H1474" s="2">
        <v>62619.0</v>
      </c>
      <c r="I1474" s="2">
        <v>1.4204901E7</v>
      </c>
      <c r="J1474" s="2">
        <v>1.4175094E7</v>
      </c>
      <c r="K1474" s="2">
        <v>29807.0</v>
      </c>
    </row>
    <row r="1475">
      <c r="A1475" s="2">
        <v>2022.0</v>
      </c>
      <c r="B1475" s="1" t="s">
        <v>1200</v>
      </c>
      <c r="C1475" s="2"/>
      <c r="D1475" s="2" t="s">
        <v>280</v>
      </c>
      <c r="E1475" s="1" t="s">
        <v>420</v>
      </c>
      <c r="F1475" s="2">
        <v>801385.0</v>
      </c>
      <c r="G1475" s="2">
        <v>9040067.0</v>
      </c>
      <c r="H1475" s="2">
        <v>70963.0</v>
      </c>
      <c r="I1475" s="2">
        <v>9912415.0</v>
      </c>
      <c r="J1475" s="2">
        <v>9735601.0</v>
      </c>
      <c r="K1475" s="2">
        <v>176814.0</v>
      </c>
    </row>
    <row r="1476">
      <c r="A1476" s="2">
        <v>2022.0</v>
      </c>
      <c r="B1476" s="1" t="s">
        <v>1200</v>
      </c>
      <c r="C1476" s="2"/>
      <c r="D1476" s="2" t="s">
        <v>1337</v>
      </c>
      <c r="E1476" s="1" t="s">
        <v>420</v>
      </c>
      <c r="F1476" s="2">
        <v>230995.0</v>
      </c>
      <c r="G1476" s="2">
        <v>7737278.0</v>
      </c>
      <c r="H1476" s="2">
        <v>31116.0</v>
      </c>
      <c r="I1476" s="2">
        <v>7999389.0</v>
      </c>
      <c r="J1476" s="2">
        <v>7940085.0</v>
      </c>
      <c r="K1476" s="2">
        <v>59304.0</v>
      </c>
    </row>
    <row r="1477">
      <c r="A1477" s="2">
        <v>2022.0</v>
      </c>
      <c r="B1477" s="1" t="s">
        <v>1200</v>
      </c>
      <c r="C1477" s="2" t="s">
        <v>844</v>
      </c>
      <c r="D1477" s="2" t="s">
        <v>265</v>
      </c>
      <c r="E1477" s="1" t="s">
        <v>420</v>
      </c>
      <c r="F1477" s="2">
        <v>1840154.0</v>
      </c>
      <c r="G1477" s="2">
        <v>1.1955223E7</v>
      </c>
      <c r="H1477" s="2">
        <v>40560.0</v>
      </c>
      <c r="I1477" s="2">
        <v>138015.0</v>
      </c>
      <c r="J1477" s="2">
        <v>4823.0</v>
      </c>
      <c r="K1477" s="2">
        <v>133192.0</v>
      </c>
    </row>
    <row r="1478">
      <c r="A1478" s="2">
        <v>2022.0</v>
      </c>
      <c r="B1478" s="1" t="s">
        <v>1200</v>
      </c>
      <c r="C1478" s="2"/>
      <c r="D1478" s="2" t="s">
        <v>245</v>
      </c>
      <c r="E1478" s="1" t="s">
        <v>420</v>
      </c>
      <c r="F1478" s="2">
        <v>1743055.0</v>
      </c>
      <c r="G1478" s="2">
        <v>1.0158815E7</v>
      </c>
      <c r="H1478" s="2">
        <v>30190.0</v>
      </c>
      <c r="I1478" s="2">
        <v>1.193206E7</v>
      </c>
      <c r="J1478" s="2">
        <v>1.1605317E7</v>
      </c>
      <c r="K1478" s="2">
        <v>326743.0</v>
      </c>
    </row>
    <row r="1479">
      <c r="A1479" s="2">
        <v>2022.0</v>
      </c>
      <c r="B1479" s="1" t="s">
        <v>1200</v>
      </c>
      <c r="C1479" s="2"/>
      <c r="D1479" s="2" t="s">
        <v>1160</v>
      </c>
      <c r="E1479" s="1" t="s">
        <v>420</v>
      </c>
      <c r="F1479" s="2">
        <v>1601106.0</v>
      </c>
      <c r="G1479" s="2">
        <v>1.3112456E7</v>
      </c>
      <c r="H1479" s="2">
        <v>16475.0</v>
      </c>
      <c r="I1479" s="2">
        <v>1.4730037E7</v>
      </c>
      <c r="J1479" s="2">
        <v>1.4522994E7</v>
      </c>
      <c r="K1479" s="2">
        <v>207043.0</v>
      </c>
    </row>
    <row r="1480">
      <c r="A1480" s="2">
        <v>2022.0</v>
      </c>
      <c r="B1480" s="1" t="s">
        <v>1200</v>
      </c>
      <c r="C1480" s="2"/>
      <c r="D1480" s="2" t="s">
        <v>274</v>
      </c>
      <c r="E1480" s="1" t="s">
        <v>420</v>
      </c>
      <c r="F1480" s="2">
        <v>529496.0</v>
      </c>
      <c r="G1480" s="2">
        <v>2085800.0</v>
      </c>
      <c r="H1480" s="2">
        <v>12626.0</v>
      </c>
      <c r="I1480" s="2">
        <v>2627922.0</v>
      </c>
      <c r="J1480" s="2">
        <v>2432233.0</v>
      </c>
      <c r="K1480" s="2">
        <v>195689.0</v>
      </c>
    </row>
    <row r="1481">
      <c r="A1481" s="2">
        <v>2022.0</v>
      </c>
      <c r="B1481" s="1" t="s">
        <v>1200</v>
      </c>
      <c r="C1481" s="2"/>
      <c r="D1481" s="2" t="s">
        <v>241</v>
      </c>
      <c r="E1481" s="1" t="s">
        <v>420</v>
      </c>
      <c r="F1481" s="2">
        <v>942592.0</v>
      </c>
      <c r="G1481" s="2">
        <v>7716498.0</v>
      </c>
      <c r="H1481" s="2">
        <v>16966.0</v>
      </c>
      <c r="I1481" s="2">
        <v>8676056.0</v>
      </c>
      <c r="J1481" s="2">
        <v>8658492.0</v>
      </c>
      <c r="K1481" s="2">
        <v>17564.0</v>
      </c>
    </row>
    <row r="1482">
      <c r="A1482" s="2">
        <v>2022.0</v>
      </c>
      <c r="B1482" s="1" t="s">
        <v>1200</v>
      </c>
      <c r="C1482" s="2"/>
      <c r="D1482" s="2" t="s">
        <v>1338</v>
      </c>
      <c r="E1482" s="1" t="s">
        <v>420</v>
      </c>
      <c r="F1482" s="2">
        <v>226075.0</v>
      </c>
      <c r="G1482" s="2">
        <v>2.172126E7</v>
      </c>
      <c r="H1482" s="2">
        <v>99402.0</v>
      </c>
      <c r="I1482" s="2">
        <v>2.2046737E7</v>
      </c>
      <c r="J1482" s="2">
        <v>2.1307049E7</v>
      </c>
      <c r="K1482" s="2">
        <v>739688.0</v>
      </c>
    </row>
    <row r="1483">
      <c r="A1483" s="2">
        <v>2022.0</v>
      </c>
      <c r="B1483" s="1" t="s">
        <v>1200</v>
      </c>
      <c r="C1483" s="2"/>
      <c r="D1483" s="2" t="s">
        <v>256</v>
      </c>
      <c r="E1483" s="1" t="s">
        <v>420</v>
      </c>
      <c r="F1483" s="2">
        <v>384092.0</v>
      </c>
      <c r="G1483" s="2">
        <v>7537299.0</v>
      </c>
      <c r="H1483" s="2">
        <v>25191.0</v>
      </c>
      <c r="I1483" s="2">
        <v>7946582.0</v>
      </c>
      <c r="J1483" s="2">
        <v>7901409.0</v>
      </c>
      <c r="K1483" s="2">
        <v>45173.0</v>
      </c>
    </row>
    <row r="1484">
      <c r="A1484" s="2">
        <v>2022.0</v>
      </c>
      <c r="B1484" s="1" t="s">
        <v>1200</v>
      </c>
      <c r="C1484" s="2"/>
      <c r="D1484" s="2" t="s">
        <v>276</v>
      </c>
      <c r="E1484" s="1" t="s">
        <v>420</v>
      </c>
      <c r="F1484" s="2">
        <v>150947.0</v>
      </c>
      <c r="G1484" s="2">
        <v>8932500.0</v>
      </c>
      <c r="H1484" s="2">
        <v>14890.0</v>
      </c>
      <c r="I1484" s="2">
        <v>9098337.0</v>
      </c>
      <c r="J1484" s="2">
        <v>9063976.0</v>
      </c>
      <c r="K1484" s="2">
        <v>34361.0</v>
      </c>
    </row>
    <row r="1485">
      <c r="A1485" s="2">
        <v>2022.0</v>
      </c>
      <c r="B1485" s="1" t="s">
        <v>1200</v>
      </c>
      <c r="C1485" s="2"/>
      <c r="D1485" s="2" t="s">
        <v>253</v>
      </c>
      <c r="E1485" s="1" t="s">
        <v>420</v>
      </c>
      <c r="F1485" s="2">
        <v>53985.0</v>
      </c>
      <c r="G1485" s="2">
        <v>1.24193E7</v>
      </c>
      <c r="H1485" s="2">
        <v>255969.0</v>
      </c>
      <c r="I1485" s="2">
        <v>1.2499254E7</v>
      </c>
      <c r="J1485" s="2">
        <v>1.2466858E7</v>
      </c>
      <c r="K1485" s="2">
        <v>32396.0</v>
      </c>
    </row>
    <row r="1486">
      <c r="A1486" s="2">
        <v>2022.0</v>
      </c>
      <c r="B1486" s="1" t="s">
        <v>1200</v>
      </c>
      <c r="C1486" s="2"/>
      <c r="D1486" s="2" t="s">
        <v>1258</v>
      </c>
      <c r="E1486" s="1" t="s">
        <v>420</v>
      </c>
      <c r="F1486" s="2">
        <v>2481589.0</v>
      </c>
      <c r="G1486" s="2">
        <v>2.5295342E7</v>
      </c>
      <c r="H1486" s="2">
        <v>57193.0</v>
      </c>
      <c r="I1486" s="2">
        <v>2.7834124E7</v>
      </c>
      <c r="J1486" s="2">
        <v>2.7772438E7</v>
      </c>
      <c r="K1486" s="2">
        <v>61686.0</v>
      </c>
    </row>
    <row r="1487">
      <c r="A1487" s="2">
        <v>2022.0</v>
      </c>
      <c r="B1487" s="1" t="s">
        <v>1200</v>
      </c>
      <c r="C1487" s="2" t="s">
        <v>1265</v>
      </c>
      <c r="D1487" s="2" t="s">
        <v>756</v>
      </c>
      <c r="E1487" s="1" t="s">
        <v>420</v>
      </c>
      <c r="F1487" s="2">
        <v>4186294.0</v>
      </c>
      <c r="G1487" s="2">
        <v>2000036.0</v>
      </c>
      <c r="H1487" s="2">
        <v>74165.0</v>
      </c>
      <c r="I1487" s="2">
        <v>6260495.0</v>
      </c>
      <c r="J1487" s="2">
        <v>6258504.0</v>
      </c>
      <c r="K1487" s="2">
        <v>1991.0</v>
      </c>
    </row>
    <row r="1488">
      <c r="A1488" s="2">
        <v>2022.0</v>
      </c>
      <c r="B1488" s="1" t="s">
        <v>1200</v>
      </c>
      <c r="C1488" s="2"/>
      <c r="D1488" s="2" t="s">
        <v>984</v>
      </c>
      <c r="E1488" s="1" t="s">
        <v>420</v>
      </c>
      <c r="F1488" s="2">
        <v>7503161.0</v>
      </c>
      <c r="G1488" s="2">
        <v>1600000.0</v>
      </c>
      <c r="H1488" s="2">
        <v>141469.0</v>
      </c>
      <c r="I1488" s="2">
        <v>1741469.0</v>
      </c>
      <c r="J1488" s="2">
        <v>1004380.0</v>
      </c>
      <c r="K1488" s="2">
        <v>737089.0</v>
      </c>
    </row>
    <row r="1489">
      <c r="A1489" s="2">
        <v>2022.0</v>
      </c>
      <c r="B1489" s="1" t="s">
        <v>1200</v>
      </c>
      <c r="C1489" s="2"/>
      <c r="D1489" s="2" t="s">
        <v>1339</v>
      </c>
      <c r="E1489" s="1" t="s">
        <v>420</v>
      </c>
      <c r="F1489" s="2">
        <v>1441085.0</v>
      </c>
      <c r="G1489" s="2">
        <v>1.1921E7</v>
      </c>
      <c r="H1489" s="2">
        <v>46092.0</v>
      </c>
      <c r="I1489" s="2">
        <v>1.3408177E7</v>
      </c>
      <c r="J1489" s="2">
        <v>1.3297921E7</v>
      </c>
      <c r="K1489" s="2">
        <v>110256.0</v>
      </c>
    </row>
    <row r="1490">
      <c r="A1490" s="2">
        <v>2022.0</v>
      </c>
      <c r="B1490" s="1" t="s">
        <v>1200</v>
      </c>
      <c r="C1490" s="2"/>
      <c r="D1490" s="2" t="s">
        <v>1340</v>
      </c>
      <c r="E1490" s="1" t="s">
        <v>420</v>
      </c>
      <c r="F1490" s="2">
        <v>3251878.0</v>
      </c>
      <c r="G1490" s="2">
        <v>1.4189E7</v>
      </c>
      <c r="H1490" s="2">
        <v>73841.0</v>
      </c>
      <c r="I1490" s="2">
        <v>1.7514719E7</v>
      </c>
      <c r="J1490" s="2">
        <v>1.7511353E7</v>
      </c>
      <c r="K1490" s="2">
        <v>3366.0</v>
      </c>
    </row>
    <row r="1491">
      <c r="A1491" s="2">
        <v>2022.0</v>
      </c>
      <c r="B1491" s="1" t="s">
        <v>1200</v>
      </c>
      <c r="C1491" s="2" t="s">
        <v>764</v>
      </c>
      <c r="D1491" s="2" t="s">
        <v>884</v>
      </c>
      <c r="E1491" s="1" t="s">
        <v>420</v>
      </c>
      <c r="F1491" s="2">
        <v>710436.0</v>
      </c>
      <c r="G1491" s="2">
        <v>1736037.0</v>
      </c>
      <c r="H1491" s="2">
        <v>14478.0</v>
      </c>
      <c r="I1491" s="2">
        <v>2460951.0</v>
      </c>
      <c r="J1491" s="2">
        <v>2263567.0</v>
      </c>
      <c r="K1491" s="2">
        <v>197384.0</v>
      </c>
    </row>
    <row r="1492">
      <c r="A1492" s="2">
        <v>2022.0</v>
      </c>
      <c r="B1492" s="1" t="s">
        <v>1200</v>
      </c>
      <c r="C1492" s="2"/>
      <c r="D1492" s="2" t="s">
        <v>1262</v>
      </c>
      <c r="E1492" s="1" t="s">
        <v>420</v>
      </c>
      <c r="F1492" s="2">
        <v>582995.0</v>
      </c>
      <c r="G1492" s="2">
        <v>4197882.0</v>
      </c>
      <c r="H1492" s="2">
        <v>25851.0</v>
      </c>
      <c r="I1492" s="2">
        <v>4806728.0</v>
      </c>
      <c r="J1492" s="2">
        <v>4723935.0</v>
      </c>
      <c r="K1492" s="2">
        <v>82793.0</v>
      </c>
    </row>
    <row r="1493">
      <c r="A1493" s="2">
        <v>2022.0</v>
      </c>
      <c r="B1493" s="1" t="s">
        <v>1200</v>
      </c>
      <c r="C1493" s="2" t="s">
        <v>28</v>
      </c>
      <c r="D1493" s="2" t="s">
        <v>28</v>
      </c>
      <c r="E1493" s="1" t="s">
        <v>420</v>
      </c>
      <c r="F1493" s="2">
        <v>9839419.0</v>
      </c>
      <c r="G1493" s="2">
        <v>7345924.0</v>
      </c>
      <c r="H1493" s="2">
        <v>135863.0</v>
      </c>
      <c r="I1493" s="2">
        <v>1.7321206E7</v>
      </c>
      <c r="J1493" s="2">
        <v>1.7184943E7</v>
      </c>
      <c r="K1493" s="2">
        <v>136263.0</v>
      </c>
    </row>
    <row r="1494">
      <c r="A1494" s="2">
        <v>2022.0</v>
      </c>
      <c r="B1494" s="1" t="s">
        <v>1200</v>
      </c>
      <c r="C1494" s="2" t="s">
        <v>1273</v>
      </c>
      <c r="D1494" s="2" t="s">
        <v>301</v>
      </c>
      <c r="E1494" s="1" t="s">
        <v>420</v>
      </c>
      <c r="F1494" s="2">
        <v>336194.0</v>
      </c>
      <c r="G1494" s="2">
        <v>7055154.0</v>
      </c>
      <c r="H1494" s="2">
        <v>16977.0</v>
      </c>
      <c r="I1494" s="2">
        <v>7408325.0</v>
      </c>
      <c r="J1494" s="2">
        <v>7389343.0</v>
      </c>
      <c r="K1494" s="2">
        <v>18982.0</v>
      </c>
    </row>
    <row r="1495">
      <c r="A1495" s="2">
        <v>2022.0</v>
      </c>
      <c r="B1495" s="1" t="s">
        <v>1200</v>
      </c>
      <c r="C1495" s="2"/>
      <c r="D1495" s="2" t="s">
        <v>1341</v>
      </c>
      <c r="E1495" s="1" t="s">
        <v>420</v>
      </c>
      <c r="F1495" s="2">
        <v>884538.0</v>
      </c>
      <c r="G1495" s="2">
        <v>9973000.0</v>
      </c>
      <c r="H1495" s="2">
        <v>30196.0</v>
      </c>
      <c r="I1495" s="2">
        <v>1.0887734E7</v>
      </c>
      <c r="J1495" s="2">
        <v>1.0778797E7</v>
      </c>
      <c r="K1495" s="2">
        <v>108937.0</v>
      </c>
    </row>
    <row r="1496">
      <c r="A1496" s="2">
        <v>2022.0</v>
      </c>
      <c r="B1496" s="1" t="s">
        <v>1200</v>
      </c>
      <c r="C1496" s="2"/>
      <c r="D1496" s="2" t="s">
        <v>293</v>
      </c>
      <c r="E1496" s="1" t="s">
        <v>420</v>
      </c>
      <c r="F1496" s="2">
        <v>1031182.0</v>
      </c>
      <c r="G1496" s="2">
        <v>5128046.0</v>
      </c>
      <c r="H1496" s="2">
        <v>400.0</v>
      </c>
      <c r="I1496" s="2">
        <v>6159628.0</v>
      </c>
      <c r="J1496" s="2">
        <v>6137933.0</v>
      </c>
      <c r="K1496" s="2">
        <v>21695.0</v>
      </c>
    </row>
    <row r="1497">
      <c r="A1497" s="2">
        <v>2022.0</v>
      </c>
      <c r="B1497" s="1" t="s">
        <v>1200</v>
      </c>
      <c r="C1497" s="2" t="s">
        <v>859</v>
      </c>
      <c r="D1497" s="2" t="s">
        <v>873</v>
      </c>
      <c r="E1497" s="1" t="s">
        <v>420</v>
      </c>
      <c r="F1497" s="2">
        <v>312642.0</v>
      </c>
      <c r="G1497" s="2">
        <v>9437364.0</v>
      </c>
      <c r="H1497" s="2">
        <v>18026.0</v>
      </c>
      <c r="I1497" s="2">
        <v>9768032.0</v>
      </c>
      <c r="J1497" s="2">
        <v>9750006.0</v>
      </c>
      <c r="K1497" s="2">
        <v>18026.0</v>
      </c>
    </row>
    <row r="1498">
      <c r="A1498" s="2">
        <v>2022.0</v>
      </c>
      <c r="B1498" s="1" t="s">
        <v>1200</v>
      </c>
      <c r="C1498" s="2"/>
      <c r="D1498" s="2" t="s">
        <v>879</v>
      </c>
      <c r="E1498" s="1" t="s">
        <v>420</v>
      </c>
      <c r="F1498" s="2">
        <v>843861.0</v>
      </c>
      <c r="G1498" s="2">
        <v>297000.0</v>
      </c>
      <c r="H1498" s="2">
        <v>4183.0</v>
      </c>
      <c r="I1498" s="2">
        <v>1145044.0</v>
      </c>
      <c r="J1498" s="2">
        <v>1064018.0</v>
      </c>
      <c r="K1498" s="2">
        <v>81026.0</v>
      </c>
    </row>
    <row r="1499">
      <c r="A1499" s="2">
        <v>2022.0</v>
      </c>
      <c r="B1499" s="1" t="s">
        <v>1200</v>
      </c>
      <c r="C1499" s="2"/>
      <c r="D1499" s="2" t="s">
        <v>1282</v>
      </c>
      <c r="E1499" s="1" t="s">
        <v>420</v>
      </c>
      <c r="F1499" s="2">
        <v>252964.0</v>
      </c>
      <c r="G1499" s="2">
        <v>2511000.0</v>
      </c>
      <c r="H1499" s="2">
        <v>16570.0</v>
      </c>
      <c r="I1499" s="2">
        <v>2780534.0</v>
      </c>
      <c r="J1499" s="2">
        <v>2480667.0</v>
      </c>
      <c r="K1499" s="2">
        <v>299867.0</v>
      </c>
    </row>
    <row r="1500">
      <c r="A1500" s="2">
        <v>2022.0</v>
      </c>
      <c r="B1500" s="1" t="s">
        <v>1200</v>
      </c>
      <c r="C1500" s="2"/>
      <c r="D1500" s="2" t="s">
        <v>1283</v>
      </c>
      <c r="E1500" s="1" t="s">
        <v>420</v>
      </c>
      <c r="F1500" s="2">
        <v>1249962.0</v>
      </c>
      <c r="G1500" s="2">
        <v>6880554.0</v>
      </c>
      <c r="H1500" s="2">
        <v>26902.0</v>
      </c>
      <c r="I1500" s="2">
        <v>8157418.0</v>
      </c>
      <c r="J1500" s="2">
        <v>8130172.0</v>
      </c>
      <c r="K1500" s="2">
        <v>27246.0</v>
      </c>
    </row>
    <row r="1501">
      <c r="A1501" s="2">
        <v>2022.0</v>
      </c>
      <c r="B1501" s="1" t="s">
        <v>1200</v>
      </c>
      <c r="C1501" s="2"/>
      <c r="D1501" s="2" t="s">
        <v>1343</v>
      </c>
      <c r="E1501" s="1" t="s">
        <v>420</v>
      </c>
      <c r="F1501" s="2">
        <v>0.0</v>
      </c>
      <c r="G1501" s="2">
        <v>0.0</v>
      </c>
      <c r="H1501" s="2">
        <v>0.0</v>
      </c>
      <c r="I1501" s="2">
        <v>0.0</v>
      </c>
      <c r="J1501" s="2">
        <v>0.0</v>
      </c>
      <c r="K1501" s="2">
        <v>0.0</v>
      </c>
    </row>
    <row r="1502">
      <c r="A1502" s="2">
        <v>2022.0</v>
      </c>
      <c r="B1502" s="1" t="s">
        <v>1200</v>
      </c>
      <c r="C1502" s="2"/>
      <c r="D1502" s="2" t="s">
        <v>292</v>
      </c>
      <c r="E1502" s="1" t="s">
        <v>420</v>
      </c>
      <c r="F1502" s="2">
        <v>564234.0</v>
      </c>
      <c r="G1502" s="2">
        <v>1940234.0</v>
      </c>
      <c r="H1502" s="2">
        <v>11027.0</v>
      </c>
      <c r="I1502" s="2">
        <v>2515495.0</v>
      </c>
      <c r="J1502" s="2">
        <v>2391301.0</v>
      </c>
      <c r="K1502" s="2">
        <v>124194.0</v>
      </c>
    </row>
    <row r="1503">
      <c r="A1503" s="2">
        <v>2022.0</v>
      </c>
      <c r="B1503" s="1" t="s">
        <v>1200</v>
      </c>
      <c r="C1503" s="2"/>
      <c r="D1503" s="2" t="s">
        <v>1285</v>
      </c>
      <c r="E1503" s="1" t="s">
        <v>420</v>
      </c>
      <c r="F1503" s="2">
        <v>1411440.0</v>
      </c>
      <c r="G1503" s="2">
        <v>6496010.0</v>
      </c>
      <c r="H1503" s="2">
        <v>41828.0</v>
      </c>
      <c r="I1503" s="2">
        <v>7949278.0</v>
      </c>
      <c r="J1503" s="2">
        <v>7559550.0</v>
      </c>
      <c r="K1503" s="2">
        <v>389728.0</v>
      </c>
    </row>
    <row r="1504">
      <c r="A1504" s="2">
        <v>2022.0</v>
      </c>
      <c r="B1504" s="1" t="s">
        <v>1200</v>
      </c>
      <c r="C1504" s="2"/>
      <c r="D1504" s="2" t="s">
        <v>875</v>
      </c>
      <c r="E1504" s="1" t="s">
        <v>420</v>
      </c>
      <c r="F1504" s="2">
        <v>2361710.0</v>
      </c>
      <c r="G1504" s="2">
        <v>9643000.0</v>
      </c>
      <c r="H1504" s="2">
        <v>38757.0</v>
      </c>
      <c r="I1504" s="2">
        <v>1.2043467E7</v>
      </c>
      <c r="J1504" s="2">
        <v>1.1978506E7</v>
      </c>
      <c r="K1504" s="2">
        <v>64961.0</v>
      </c>
    </row>
    <row r="1505">
      <c r="A1505" s="2">
        <v>2022.0</v>
      </c>
      <c r="B1505" s="1" t="s">
        <v>1200</v>
      </c>
      <c r="C1505" s="2" t="s">
        <v>1137</v>
      </c>
      <c r="D1505" s="2" t="s">
        <v>766</v>
      </c>
      <c r="E1505" s="1" t="s">
        <v>420</v>
      </c>
      <c r="F1505" s="2">
        <v>685628.0</v>
      </c>
      <c r="G1505" s="2">
        <v>1700000.0</v>
      </c>
      <c r="H1505" s="2">
        <v>0.0</v>
      </c>
      <c r="I1505" s="2">
        <v>2385628.0</v>
      </c>
      <c r="J1505" s="2">
        <v>2177514.0</v>
      </c>
      <c r="K1505" s="2">
        <v>208114.0</v>
      </c>
    </row>
    <row r="1506">
      <c r="A1506" s="2">
        <v>2022.0</v>
      </c>
      <c r="B1506" s="1" t="s">
        <v>1200</v>
      </c>
      <c r="C1506" s="2"/>
      <c r="D1506" s="2" t="s">
        <v>751</v>
      </c>
      <c r="E1506" s="1" t="s">
        <v>420</v>
      </c>
      <c r="F1506" s="2">
        <v>3471717.0</v>
      </c>
      <c r="G1506" s="2">
        <v>8200000.0</v>
      </c>
      <c r="H1506" s="2">
        <v>0.0</v>
      </c>
      <c r="I1506" s="2">
        <v>1.1671717E7</v>
      </c>
      <c r="J1506" s="2">
        <v>1.158951E7</v>
      </c>
      <c r="K1506" s="2">
        <v>82207.0</v>
      </c>
    </row>
    <row r="1507">
      <c r="A1507" s="2">
        <v>2022.0</v>
      </c>
      <c r="B1507" s="1" t="s">
        <v>1200</v>
      </c>
      <c r="C1507" s="2"/>
      <c r="D1507" s="2" t="s">
        <v>1287</v>
      </c>
      <c r="E1507" s="1" t="s">
        <v>420</v>
      </c>
      <c r="F1507" s="2">
        <v>3385173.0</v>
      </c>
      <c r="G1507" s="2">
        <v>3700000.0</v>
      </c>
      <c r="H1507" s="2">
        <v>128516.0</v>
      </c>
      <c r="I1507" s="2">
        <v>7213689.0</v>
      </c>
      <c r="J1507" s="2">
        <v>7173060.0</v>
      </c>
      <c r="K1507" s="2">
        <v>40629.0</v>
      </c>
    </row>
    <row r="1508">
      <c r="A1508" s="2">
        <v>2022.0</v>
      </c>
      <c r="B1508" s="1" t="s">
        <v>1200</v>
      </c>
      <c r="C1508" s="2"/>
      <c r="D1508" s="2" t="s">
        <v>761</v>
      </c>
      <c r="E1508" s="1" t="s">
        <v>420</v>
      </c>
      <c r="F1508" s="2">
        <v>82480.0</v>
      </c>
      <c r="G1508" s="2">
        <v>9050000.0</v>
      </c>
      <c r="H1508" s="2">
        <v>0.0</v>
      </c>
      <c r="I1508" s="2">
        <v>9132480.0</v>
      </c>
      <c r="J1508" s="2">
        <v>9110374.0</v>
      </c>
      <c r="K1508" s="2">
        <v>22106.0</v>
      </c>
    </row>
    <row r="1509">
      <c r="A1509" s="2">
        <v>2022.0</v>
      </c>
      <c r="B1509" s="1" t="s">
        <v>1200</v>
      </c>
      <c r="C1509" s="2"/>
      <c r="D1509" s="2" t="s">
        <v>757</v>
      </c>
      <c r="E1509" s="1" t="s">
        <v>420</v>
      </c>
      <c r="F1509" s="2">
        <v>90346.0</v>
      </c>
      <c r="G1509" s="2">
        <v>5700000.0</v>
      </c>
      <c r="H1509" s="2">
        <v>0.0</v>
      </c>
      <c r="I1509" s="2">
        <v>5790346.0</v>
      </c>
      <c r="J1509" s="2">
        <v>5749142.0</v>
      </c>
      <c r="K1509" s="2">
        <v>41204.0</v>
      </c>
    </row>
    <row r="1510">
      <c r="A1510" s="2">
        <v>2022.0</v>
      </c>
      <c r="B1510" s="1" t="s">
        <v>1200</v>
      </c>
      <c r="C1510" s="2" t="s">
        <v>796</v>
      </c>
      <c r="D1510" s="2" t="s">
        <v>802</v>
      </c>
      <c r="E1510" s="1" t="s">
        <v>420</v>
      </c>
      <c r="F1510" s="2">
        <v>255386.0</v>
      </c>
      <c r="G1510" s="2">
        <v>8700000.0</v>
      </c>
      <c r="H1510" s="2">
        <v>94056.0</v>
      </c>
      <c r="I1510" s="2">
        <v>9049442.0</v>
      </c>
      <c r="J1510" s="2">
        <v>8574857.0</v>
      </c>
      <c r="K1510" s="2">
        <v>474585.0</v>
      </c>
    </row>
    <row r="1511">
      <c r="A1511" s="2">
        <v>2022.0</v>
      </c>
      <c r="B1511" s="1" t="s">
        <v>1200</v>
      </c>
      <c r="C1511" s="2"/>
      <c r="D1511" s="2" t="s">
        <v>1344</v>
      </c>
      <c r="E1511" s="1" t="s">
        <v>420</v>
      </c>
      <c r="F1511" s="2">
        <v>785768.0</v>
      </c>
      <c r="G1511" s="2">
        <v>1.19516E7</v>
      </c>
      <c r="H1511" s="2">
        <v>91773.0</v>
      </c>
      <c r="I1511" s="2">
        <v>1.28229141E8</v>
      </c>
      <c r="J1511" s="2">
        <v>1.2552349E7</v>
      </c>
      <c r="K1511" s="2">
        <v>276792.0</v>
      </c>
    </row>
    <row r="1512">
      <c r="A1512" s="2">
        <v>2022.0</v>
      </c>
      <c r="B1512" s="1" t="s">
        <v>1200</v>
      </c>
      <c r="C1512" s="2"/>
      <c r="D1512" s="2" t="s">
        <v>799</v>
      </c>
      <c r="E1512" s="1" t="s">
        <v>420</v>
      </c>
      <c r="F1512" s="2">
        <v>3712364.0</v>
      </c>
      <c r="G1512" s="2">
        <v>9600000.0</v>
      </c>
      <c r="H1512" s="2">
        <v>119857.0</v>
      </c>
      <c r="I1512" s="2">
        <v>1.3432221E7</v>
      </c>
      <c r="J1512" s="2">
        <v>1.3419008E7</v>
      </c>
      <c r="K1512" s="2">
        <v>13213.0</v>
      </c>
    </row>
    <row r="1513">
      <c r="A1513" s="2">
        <v>2022.0</v>
      </c>
      <c r="B1513" s="1" t="s">
        <v>1200</v>
      </c>
      <c r="C1513" s="2" t="s">
        <v>1291</v>
      </c>
      <c r="D1513" s="2" t="s">
        <v>198</v>
      </c>
      <c r="E1513" s="1" t="s">
        <v>420</v>
      </c>
      <c r="F1513" s="2">
        <v>360485.0</v>
      </c>
      <c r="G1513" s="2">
        <v>1.32E7</v>
      </c>
      <c r="H1513" s="2">
        <v>41801.0</v>
      </c>
      <c r="I1513" s="2">
        <v>1.3602286E7</v>
      </c>
      <c r="J1513" s="2">
        <v>1.3550352E7</v>
      </c>
      <c r="K1513" s="2">
        <v>51934.0</v>
      </c>
    </row>
    <row r="1514">
      <c r="A1514" s="2">
        <v>2022.0</v>
      </c>
      <c r="B1514" s="1" t="s">
        <v>1200</v>
      </c>
      <c r="C1514" s="2"/>
      <c r="D1514" s="2" t="s">
        <v>1345</v>
      </c>
      <c r="E1514" s="1" t="s">
        <v>420</v>
      </c>
      <c r="F1514" s="2">
        <v>1132304.0</v>
      </c>
      <c r="G1514" s="2">
        <v>1450000.0</v>
      </c>
      <c r="H1514" s="2">
        <v>19896.0</v>
      </c>
      <c r="I1514" s="2">
        <v>2602200.0</v>
      </c>
      <c r="J1514" s="2">
        <v>2581350.0</v>
      </c>
      <c r="K1514" s="2">
        <v>20850.0</v>
      </c>
    </row>
    <row r="1515">
      <c r="A1515" s="2">
        <v>2022.0</v>
      </c>
      <c r="B1515" s="1" t="s">
        <v>1200</v>
      </c>
      <c r="C1515" s="2"/>
      <c r="D1515" s="2" t="s">
        <v>199</v>
      </c>
      <c r="E1515" s="1" t="s">
        <v>420</v>
      </c>
      <c r="F1515" s="2">
        <v>57235.0</v>
      </c>
      <c r="G1515" s="2">
        <v>2862000.0</v>
      </c>
      <c r="H1515" s="2">
        <v>11788.0</v>
      </c>
      <c r="I1515" s="2">
        <v>2931023.0</v>
      </c>
      <c r="J1515" s="2">
        <v>2931023.0</v>
      </c>
      <c r="K1515" s="2">
        <v>0.0</v>
      </c>
    </row>
    <row r="1516">
      <c r="A1516" s="2">
        <v>2022.0</v>
      </c>
      <c r="B1516" s="1" t="s">
        <v>1200</v>
      </c>
      <c r="C1516" s="2"/>
      <c r="D1516" s="2" t="s">
        <v>793</v>
      </c>
      <c r="E1516" s="1" t="s">
        <v>420</v>
      </c>
      <c r="F1516" s="2">
        <v>1489149.0</v>
      </c>
      <c r="G1516" s="2">
        <v>8550000.0</v>
      </c>
      <c r="H1516" s="2">
        <v>76910.0</v>
      </c>
      <c r="I1516" s="2">
        <v>1.0116059E7</v>
      </c>
      <c r="J1516" s="2">
        <v>9901128.0</v>
      </c>
      <c r="K1516" s="2">
        <v>214931.0</v>
      </c>
    </row>
    <row r="1517">
      <c r="A1517" s="2">
        <v>2022.0</v>
      </c>
      <c r="B1517" s="1" t="s">
        <v>1200</v>
      </c>
      <c r="C1517" s="2"/>
      <c r="D1517" s="2" t="s">
        <v>1346</v>
      </c>
      <c r="E1517" s="1" t="s">
        <v>420</v>
      </c>
      <c r="F1517" s="2">
        <v>217714.0</v>
      </c>
      <c r="G1517" s="2">
        <v>900000.0</v>
      </c>
      <c r="H1517" s="2">
        <v>8279.0</v>
      </c>
      <c r="I1517" s="2">
        <v>1125993.0</v>
      </c>
      <c r="J1517" s="2">
        <v>1048411.0</v>
      </c>
      <c r="K1517" s="2">
        <v>77582.0</v>
      </c>
    </row>
    <row r="1518">
      <c r="A1518" s="2">
        <v>2022.0</v>
      </c>
      <c r="B1518" s="1" t="s">
        <v>1200</v>
      </c>
      <c r="C1518" s="2"/>
      <c r="D1518" s="2" t="s">
        <v>526</v>
      </c>
      <c r="E1518" s="1" t="s">
        <v>420</v>
      </c>
      <c r="F1518" s="2">
        <v>151930.0</v>
      </c>
      <c r="H1518" s="2">
        <v>80687.0</v>
      </c>
      <c r="K1518" s="2">
        <v>1203040.0</v>
      </c>
    </row>
    <row r="1519">
      <c r="A1519" s="2">
        <v>2022.0</v>
      </c>
      <c r="B1519" s="1" t="s">
        <v>1200</v>
      </c>
      <c r="C1519" s="2"/>
      <c r="D1519" s="2" t="s">
        <v>1187</v>
      </c>
      <c r="E1519" s="1" t="s">
        <v>420</v>
      </c>
      <c r="F1519" s="2">
        <v>2303419.0</v>
      </c>
      <c r="G1519" s="2">
        <v>1.1872532E7</v>
      </c>
      <c r="H1519" s="2">
        <v>45010.0</v>
      </c>
      <c r="I1519" s="2">
        <v>1.4220961E7</v>
      </c>
      <c r="J1519" s="2">
        <v>1.405871E7</v>
      </c>
      <c r="K1519" s="2">
        <v>162251.0</v>
      </c>
    </row>
    <row r="1520">
      <c r="A1520" s="2">
        <v>2022.0</v>
      </c>
      <c r="B1520" s="1" t="s">
        <v>1200</v>
      </c>
      <c r="C1520" s="2"/>
      <c r="D1520" s="2" t="s">
        <v>1188</v>
      </c>
      <c r="E1520" s="1" t="s">
        <v>420</v>
      </c>
      <c r="F1520" s="2">
        <v>1352224.0</v>
      </c>
      <c r="G1520" s="2">
        <v>1.402043E7</v>
      </c>
      <c r="H1520" s="2">
        <v>44103.0</v>
      </c>
      <c r="I1520" s="2">
        <v>1.5416757E7</v>
      </c>
      <c r="J1520" s="2">
        <v>1.5231047E7</v>
      </c>
      <c r="K1520" s="2">
        <v>185710.0</v>
      </c>
    </row>
    <row r="1521">
      <c r="A1521" s="2">
        <v>2022.0</v>
      </c>
      <c r="B1521" s="1" t="s">
        <v>1200</v>
      </c>
      <c r="C1521" s="2"/>
      <c r="D1521" s="2" t="s">
        <v>1189</v>
      </c>
      <c r="E1521" s="1" t="s">
        <v>420</v>
      </c>
      <c r="F1521" s="2">
        <v>400315.0</v>
      </c>
      <c r="G1521" s="2">
        <v>1.138E7</v>
      </c>
      <c r="H1521" s="2">
        <v>63820.0</v>
      </c>
      <c r="I1521" s="2">
        <v>1.1844135E7</v>
      </c>
      <c r="J1521" s="2">
        <v>1.1737138E7</v>
      </c>
      <c r="K1521" s="2">
        <v>106997.0</v>
      </c>
    </row>
    <row r="1522">
      <c r="A1522" s="2">
        <v>2022.0</v>
      </c>
      <c r="B1522" s="1" t="s">
        <v>1200</v>
      </c>
      <c r="C1522" s="2"/>
      <c r="D1522" s="2" t="s">
        <v>1293</v>
      </c>
      <c r="E1522" s="1" t="s">
        <v>420</v>
      </c>
      <c r="F1522" s="2">
        <v>518844.0</v>
      </c>
      <c r="G1522" s="2">
        <v>3600191.0</v>
      </c>
      <c r="H1522" s="2">
        <v>19042.0</v>
      </c>
      <c r="I1522" s="2">
        <v>4138077.0</v>
      </c>
      <c r="J1522" s="2">
        <v>3981666.0</v>
      </c>
      <c r="K1522" s="2">
        <v>156411.0</v>
      </c>
    </row>
    <row r="1523">
      <c r="A1523" s="2">
        <v>2022.0</v>
      </c>
      <c r="B1523" s="1" t="s">
        <v>1200</v>
      </c>
      <c r="C1523" s="2" t="s">
        <v>941</v>
      </c>
      <c r="D1523" s="2" t="s">
        <v>1294</v>
      </c>
      <c r="E1523" s="1" t="s">
        <v>420</v>
      </c>
      <c r="F1523" s="2">
        <v>84864.0</v>
      </c>
      <c r="G1523" s="2">
        <v>1.135331E7</v>
      </c>
      <c r="H1523" s="2">
        <v>40582.0</v>
      </c>
      <c r="I1523" s="2">
        <v>1.1478756E7</v>
      </c>
      <c r="J1523" s="2">
        <v>1.1321599E7</v>
      </c>
      <c r="K1523" s="2">
        <v>157157.0</v>
      </c>
    </row>
    <row r="1524">
      <c r="A1524" s="2">
        <v>2022.0</v>
      </c>
      <c r="B1524" s="1" t="s">
        <v>1200</v>
      </c>
      <c r="C1524" s="2"/>
      <c r="D1524" s="2" t="s">
        <v>1190</v>
      </c>
      <c r="E1524" s="1" t="s">
        <v>420</v>
      </c>
      <c r="F1524" s="2">
        <v>915492.0</v>
      </c>
      <c r="G1524" s="2">
        <v>7236243.0</v>
      </c>
      <c r="H1524" s="2">
        <v>32489.0</v>
      </c>
      <c r="I1524" s="2">
        <v>8184224.0</v>
      </c>
      <c r="J1524" s="2">
        <v>7851254.0</v>
      </c>
      <c r="K1524" s="2">
        <v>332970.0</v>
      </c>
    </row>
    <row r="1525">
      <c r="A1525" s="2">
        <v>2022.0</v>
      </c>
      <c r="B1525" s="1" t="s">
        <v>1200</v>
      </c>
      <c r="C1525" s="2"/>
      <c r="D1525" s="2" t="s">
        <v>1193</v>
      </c>
      <c r="E1525" s="1" t="s">
        <v>420</v>
      </c>
      <c r="F1525" s="2">
        <v>1440875.0</v>
      </c>
      <c r="G1525" s="2">
        <v>4424250.0</v>
      </c>
      <c r="H1525" s="2">
        <v>16413.0</v>
      </c>
      <c r="I1525" s="2">
        <v>5881538.0</v>
      </c>
      <c r="J1525" s="2">
        <v>5847150.0</v>
      </c>
      <c r="K1525" s="2">
        <v>34388.0</v>
      </c>
    </row>
    <row r="1526">
      <c r="A1526" s="2">
        <v>2022.0</v>
      </c>
      <c r="B1526" s="1" t="s">
        <v>1200</v>
      </c>
      <c r="C1526" s="2" t="s">
        <v>887</v>
      </c>
      <c r="D1526" s="2" t="s">
        <v>887</v>
      </c>
      <c r="E1526" s="1" t="s">
        <v>420</v>
      </c>
      <c r="F1526" s="2">
        <v>2712446.0</v>
      </c>
      <c r="G1526" s="2">
        <v>6588347.0</v>
      </c>
      <c r="H1526" s="2">
        <v>42753.0</v>
      </c>
      <c r="I1526" s="2">
        <v>9343546.0</v>
      </c>
      <c r="J1526" s="2">
        <v>9273965.0</v>
      </c>
      <c r="K1526" s="2">
        <v>69581.0</v>
      </c>
    </row>
    <row r="1527">
      <c r="A1527" s="2">
        <v>2022.0</v>
      </c>
      <c r="B1527" s="1" t="s">
        <v>1200</v>
      </c>
      <c r="C1527" s="2" t="s">
        <v>641</v>
      </c>
      <c r="D1527" s="2" t="s">
        <v>656</v>
      </c>
      <c r="E1527" s="1" t="s">
        <v>420</v>
      </c>
      <c r="F1527" s="2">
        <v>2382909.0</v>
      </c>
      <c r="G1527" s="2">
        <v>4.6928E7</v>
      </c>
      <c r="H1527" s="2">
        <v>108618.0</v>
      </c>
      <c r="I1527" s="2">
        <v>4.9419527E7</v>
      </c>
      <c r="J1527" s="2">
        <v>4.8207433E7</v>
      </c>
      <c r="K1527" s="2">
        <v>1212094.0</v>
      </c>
    </row>
    <row r="1528">
      <c r="A1528" s="2">
        <v>2022.0</v>
      </c>
      <c r="B1528" s="1" t="s">
        <v>1200</v>
      </c>
      <c r="C1528" s="2"/>
      <c r="D1528" s="2" t="s">
        <v>655</v>
      </c>
      <c r="E1528" s="1" t="s">
        <v>420</v>
      </c>
      <c r="F1528" s="2">
        <v>7586592.0</v>
      </c>
      <c r="G1528" s="2">
        <v>1.304E7</v>
      </c>
      <c r="H1528" s="2">
        <v>289470.0</v>
      </c>
      <c r="I1528" s="2">
        <v>2.0916062E7</v>
      </c>
      <c r="J1528" s="2">
        <v>1.8557475E7</v>
      </c>
      <c r="K1528" s="2">
        <v>2358587.0</v>
      </c>
    </row>
    <row r="1529">
      <c r="A1529" s="2">
        <v>2022.0</v>
      </c>
      <c r="B1529" s="1" t="s">
        <v>1200</v>
      </c>
      <c r="C1529" s="2"/>
      <c r="D1529" s="2" t="s">
        <v>1017</v>
      </c>
      <c r="E1529" s="1" t="s">
        <v>420</v>
      </c>
      <c r="F1529" s="2">
        <v>6842797.0</v>
      </c>
      <c r="G1529" s="2">
        <v>1.05384138E8</v>
      </c>
      <c r="H1529" s="2">
        <v>78686.0</v>
      </c>
      <c r="I1529" s="2">
        <v>1.12305621E8</v>
      </c>
      <c r="J1529" s="2">
        <v>1.11804994E8</v>
      </c>
      <c r="K1529" s="2">
        <v>500627.0</v>
      </c>
    </row>
    <row r="1530">
      <c r="A1530" s="2">
        <v>2022.0</v>
      </c>
      <c r="B1530" s="1" t="s">
        <v>1200</v>
      </c>
      <c r="C1530" s="2"/>
      <c r="D1530" s="2" t="s">
        <v>1015</v>
      </c>
      <c r="E1530" s="1" t="s">
        <v>420</v>
      </c>
      <c r="F1530" s="2">
        <v>1.0208369E7</v>
      </c>
      <c r="G1530" s="2">
        <v>8236000.0</v>
      </c>
      <c r="H1530" s="2">
        <v>194024.0</v>
      </c>
      <c r="I1530" s="2">
        <v>1.8638393E7</v>
      </c>
      <c r="J1530" s="2">
        <v>1.6459864E7</v>
      </c>
      <c r="K1530" s="2">
        <v>2178529.0</v>
      </c>
    </row>
    <row r="1531">
      <c r="A1531" s="2">
        <v>2022.0</v>
      </c>
      <c r="B1531" s="1" t="s">
        <v>1200</v>
      </c>
      <c r="C1531" s="2"/>
      <c r="D1531" s="2" t="s">
        <v>644</v>
      </c>
      <c r="E1531" s="1" t="s">
        <v>420</v>
      </c>
      <c r="F1531" s="2">
        <v>1956835.0</v>
      </c>
      <c r="G1531" s="2">
        <v>5004324.0</v>
      </c>
      <c r="H1531" s="2">
        <v>29084.0</v>
      </c>
      <c r="I1531" s="2">
        <v>6990243.0</v>
      </c>
      <c r="J1531" s="2">
        <v>6903342.0</v>
      </c>
      <c r="K1531" s="2">
        <v>86901.0</v>
      </c>
    </row>
    <row r="1532">
      <c r="A1532" s="2">
        <v>2022.0</v>
      </c>
      <c r="B1532" s="1" t="s">
        <v>1200</v>
      </c>
      <c r="C1532" s="2"/>
      <c r="D1532" s="2" t="s">
        <v>1023</v>
      </c>
      <c r="E1532" s="1" t="s">
        <v>420</v>
      </c>
      <c r="F1532" s="2">
        <v>1946379.0</v>
      </c>
      <c r="G1532" s="2">
        <v>1.2699E7</v>
      </c>
      <c r="H1532" s="2">
        <v>47154.0</v>
      </c>
      <c r="I1532" s="2">
        <v>1.4692533E7</v>
      </c>
      <c r="J1532" s="2">
        <v>1.4345487E7</v>
      </c>
      <c r="K1532" s="2">
        <v>347046.0</v>
      </c>
    </row>
    <row r="1533">
      <c r="A1533" s="2">
        <v>2022.0</v>
      </c>
      <c r="B1533" s="1" t="s">
        <v>1200</v>
      </c>
      <c r="C1533" s="2"/>
      <c r="D1533" s="2" t="s">
        <v>658</v>
      </c>
      <c r="E1533" s="1" t="s">
        <v>420</v>
      </c>
      <c r="F1533" s="2">
        <v>8011870.0</v>
      </c>
      <c r="G1533" s="2">
        <v>6252000.0</v>
      </c>
      <c r="H1533" s="2">
        <v>169322.0</v>
      </c>
      <c r="I1533" s="2">
        <v>1.4433192E7</v>
      </c>
      <c r="J1533" s="2">
        <v>1.2431849E7</v>
      </c>
      <c r="K1533" s="2">
        <v>2001343.0</v>
      </c>
    </row>
    <row r="1534">
      <c r="A1534" s="2">
        <v>2022.0</v>
      </c>
      <c r="B1534" s="1" t="s">
        <v>1200</v>
      </c>
      <c r="C1534" s="2"/>
      <c r="D1534" s="2" t="s">
        <v>652</v>
      </c>
      <c r="E1534" s="1" t="s">
        <v>420</v>
      </c>
      <c r="F1534" s="2">
        <v>283613.0</v>
      </c>
      <c r="G1534" s="2">
        <v>1.04E7</v>
      </c>
      <c r="H1534" s="2">
        <v>72107.0</v>
      </c>
      <c r="I1534" s="2">
        <v>1.075572E7</v>
      </c>
      <c r="J1534" s="2">
        <v>9831093.0</v>
      </c>
      <c r="K1534" s="2">
        <v>924627.0</v>
      </c>
    </row>
    <row r="1535">
      <c r="A1535" s="2">
        <v>2022.0</v>
      </c>
      <c r="B1535" s="1" t="s">
        <v>1200</v>
      </c>
      <c r="C1535" s="2" t="s">
        <v>63</v>
      </c>
      <c r="D1535" s="2" t="s">
        <v>1348</v>
      </c>
      <c r="E1535" s="1" t="s">
        <v>420</v>
      </c>
      <c r="F1535" s="2">
        <v>554365.0</v>
      </c>
      <c r="G1535" s="2">
        <v>3456000.0</v>
      </c>
      <c r="H1535" s="2">
        <v>36980.0</v>
      </c>
      <c r="I1535" s="2">
        <v>4047345.0</v>
      </c>
      <c r="J1535" s="2">
        <v>4006876.0</v>
      </c>
      <c r="K1535" s="2">
        <v>40469.0</v>
      </c>
    </row>
    <row r="1536">
      <c r="A1536" s="2">
        <v>2022.0</v>
      </c>
      <c r="B1536" s="1" t="s">
        <v>1200</v>
      </c>
      <c r="C1536" s="2"/>
      <c r="D1536" s="2" t="s">
        <v>1349</v>
      </c>
      <c r="E1536" s="1" t="s">
        <v>420</v>
      </c>
      <c r="F1536" s="2">
        <v>2418423.0</v>
      </c>
      <c r="G1536" s="2">
        <v>1.1209E7</v>
      </c>
      <c r="H1536" s="2">
        <v>53355.0</v>
      </c>
      <c r="I1536" s="2">
        <v>1.3680778E7</v>
      </c>
      <c r="J1536" s="2">
        <v>1.3619531E7</v>
      </c>
      <c r="K1536" s="2">
        <v>61247.0</v>
      </c>
    </row>
    <row r="1537">
      <c r="A1537" s="2">
        <v>2022.0</v>
      </c>
      <c r="B1537" s="1" t="s">
        <v>1200</v>
      </c>
      <c r="C1537" s="2"/>
      <c r="D1537" s="2" t="s">
        <v>64</v>
      </c>
      <c r="E1537" s="1" t="s">
        <v>420</v>
      </c>
      <c r="F1537" s="2">
        <v>3292058.0</v>
      </c>
      <c r="G1537" s="2">
        <v>1.9474E7</v>
      </c>
      <c r="H1537" s="2">
        <v>68703.0</v>
      </c>
      <c r="I1537" s="2">
        <v>2.2834761E7</v>
      </c>
      <c r="J1537" s="2">
        <v>2.2764746E7</v>
      </c>
      <c r="K1537" s="2">
        <v>70015.0</v>
      </c>
    </row>
    <row r="1538">
      <c r="A1538" s="2">
        <v>2022.0</v>
      </c>
      <c r="B1538" s="1" t="s">
        <v>1200</v>
      </c>
      <c r="C1538" s="2"/>
      <c r="D1538" s="2" t="s">
        <v>84</v>
      </c>
      <c r="E1538" s="1" t="s">
        <v>420</v>
      </c>
      <c r="F1538" s="2">
        <v>1042063.0</v>
      </c>
      <c r="G1538" s="2">
        <v>8273000.0</v>
      </c>
      <c r="H1538" s="2">
        <v>53622.0</v>
      </c>
      <c r="I1538" s="2">
        <v>9368685.0</v>
      </c>
      <c r="J1538" s="2">
        <v>9240558.0</v>
      </c>
      <c r="K1538" s="2">
        <v>128127.0</v>
      </c>
    </row>
    <row r="1539">
      <c r="A1539" s="2">
        <v>2022.0</v>
      </c>
      <c r="B1539" s="1" t="s">
        <v>1200</v>
      </c>
      <c r="C1539" s="2"/>
      <c r="D1539" s="2" t="s">
        <v>101</v>
      </c>
      <c r="E1539" s="1" t="s">
        <v>420</v>
      </c>
      <c r="F1539" s="2">
        <v>3068885.0</v>
      </c>
      <c r="G1539" s="2">
        <v>2.0505109E7</v>
      </c>
      <c r="H1539" s="2">
        <v>78699.0</v>
      </c>
      <c r="I1539" s="2">
        <v>2.3652693E7</v>
      </c>
      <c r="J1539" s="2">
        <v>2.345465E7</v>
      </c>
      <c r="K1539" s="2">
        <v>198043.0</v>
      </c>
    </row>
    <row r="1540">
      <c r="A1540" s="2">
        <v>2022.0</v>
      </c>
      <c r="B1540" s="1" t="s">
        <v>1200</v>
      </c>
      <c r="C1540" s="2"/>
      <c r="D1540" s="2" t="s">
        <v>77</v>
      </c>
      <c r="E1540" s="1" t="s">
        <v>420</v>
      </c>
      <c r="F1540" s="2">
        <v>3734055.0</v>
      </c>
      <c r="G1540" s="2">
        <v>1.4218361E7</v>
      </c>
      <c r="H1540" s="2">
        <v>85934.0</v>
      </c>
      <c r="I1540" s="2">
        <v>1.803835E7</v>
      </c>
      <c r="J1540" s="2">
        <v>1.7872799E7</v>
      </c>
      <c r="K1540" s="2">
        <v>165551.0</v>
      </c>
    </row>
    <row r="1541">
      <c r="A1541" s="2">
        <v>2022.0</v>
      </c>
      <c r="B1541" s="1" t="s">
        <v>1200</v>
      </c>
      <c r="C1541" s="2"/>
      <c r="D1541" s="2" t="s">
        <v>89</v>
      </c>
      <c r="E1541" s="1" t="s">
        <v>420</v>
      </c>
      <c r="F1541" s="2">
        <v>1843608.0</v>
      </c>
      <c r="G1541" s="2">
        <v>1.0378E7</v>
      </c>
      <c r="H1541" s="2">
        <v>63549.0</v>
      </c>
      <c r="I1541" s="2">
        <v>1.2285157E7</v>
      </c>
      <c r="J1541" s="2">
        <v>1.2211469E7</v>
      </c>
      <c r="K1541" s="2">
        <v>73688.0</v>
      </c>
    </row>
    <row r="1542">
      <c r="A1542" s="2">
        <v>2022.0</v>
      </c>
      <c r="B1542" s="1" t="s">
        <v>1200</v>
      </c>
      <c r="C1542" s="2"/>
      <c r="D1542" s="2" t="s">
        <v>63</v>
      </c>
      <c r="E1542" s="1" t="s">
        <v>420</v>
      </c>
      <c r="F1542" s="2">
        <v>1.2519834E7</v>
      </c>
      <c r="G1542" s="2">
        <v>3.0776715E7</v>
      </c>
      <c r="H1542" s="2">
        <v>125666.0</v>
      </c>
      <c r="I1542" s="2">
        <v>4.3422215E7</v>
      </c>
      <c r="J1542" s="2">
        <v>4.2799155E7</v>
      </c>
      <c r="K1542" s="2">
        <v>623060.0</v>
      </c>
    </row>
    <row r="1543">
      <c r="A1543" s="2">
        <v>2022.0</v>
      </c>
      <c r="B1543" s="1" t="s">
        <v>1297</v>
      </c>
      <c r="C1543" s="2" t="s">
        <v>165</v>
      </c>
      <c r="D1543" s="2" t="s">
        <v>171</v>
      </c>
      <c r="E1543" s="1" t="s">
        <v>420</v>
      </c>
      <c r="F1543" s="2">
        <v>180540.0</v>
      </c>
      <c r="G1543" s="2">
        <v>0.0</v>
      </c>
      <c r="H1543" s="2">
        <v>6865.0</v>
      </c>
      <c r="I1543" s="2">
        <v>187405.0</v>
      </c>
      <c r="J1543" s="2">
        <v>300.0</v>
      </c>
      <c r="K1543" s="2">
        <v>187105.0</v>
      </c>
    </row>
    <row r="1544">
      <c r="A1544" s="2">
        <v>2022.0</v>
      </c>
      <c r="B1544" s="1" t="s">
        <v>1297</v>
      </c>
      <c r="C1544" s="2"/>
      <c r="D1544" s="2" t="s">
        <v>1327</v>
      </c>
      <c r="E1544" s="1" t="s">
        <v>420</v>
      </c>
      <c r="F1544" s="2">
        <v>187105.0</v>
      </c>
      <c r="G1544" s="2">
        <v>0.0</v>
      </c>
      <c r="H1544" s="2">
        <v>111.0</v>
      </c>
      <c r="I1544" s="2">
        <v>187216.0</v>
      </c>
      <c r="J1544" s="2">
        <v>184182.0</v>
      </c>
      <c r="K1544" s="2">
        <v>3034.0</v>
      </c>
    </row>
    <row r="1545">
      <c r="A1545" s="2">
        <v>2022.0</v>
      </c>
      <c r="B1545" s="1" t="s">
        <v>1297</v>
      </c>
      <c r="C1545" s="2"/>
      <c r="D1545" s="2" t="s">
        <v>175</v>
      </c>
      <c r="E1545" s="1" t="s">
        <v>420</v>
      </c>
      <c r="F1545" s="2">
        <v>29448.0</v>
      </c>
      <c r="G1545" s="2">
        <v>0.0</v>
      </c>
      <c r="H1545" s="2">
        <v>1121.0</v>
      </c>
      <c r="I1545" s="2">
        <v>30569.0</v>
      </c>
      <c r="J1545" s="2">
        <v>0.0</v>
      </c>
      <c r="K1545" s="2">
        <v>30569.0</v>
      </c>
    </row>
    <row r="1546">
      <c r="A1546" s="2">
        <v>2022.0</v>
      </c>
      <c r="B1546" s="1" t="s">
        <v>1297</v>
      </c>
      <c r="C1546" s="2"/>
      <c r="D1546" s="2" t="s">
        <v>298</v>
      </c>
      <c r="E1546" s="1" t="s">
        <v>420</v>
      </c>
      <c r="F1546" s="2">
        <v>30569.0</v>
      </c>
      <c r="G1546" s="2">
        <v>0.0</v>
      </c>
      <c r="H1546" s="2">
        <v>0.0</v>
      </c>
      <c r="I1546" s="2">
        <v>30569.0</v>
      </c>
      <c r="J1546" s="2">
        <v>0.0</v>
      </c>
      <c r="K1546" s="2">
        <v>0.0</v>
      </c>
    </row>
    <row r="1547">
      <c r="A1547" s="2">
        <v>2022.0</v>
      </c>
      <c r="B1547" s="1" t="s">
        <v>1297</v>
      </c>
      <c r="C1547" s="2" t="s">
        <v>308</v>
      </c>
      <c r="D1547" s="2" t="s">
        <v>901</v>
      </c>
      <c r="E1547" s="1" t="s">
        <v>420</v>
      </c>
      <c r="F1547" s="2">
        <v>15225.0</v>
      </c>
      <c r="G1547" s="2">
        <v>0.0</v>
      </c>
      <c r="H1547" s="2">
        <v>490.0</v>
      </c>
      <c r="I1547" s="2">
        <v>15715.0</v>
      </c>
      <c r="J1547" s="2">
        <v>15715.0</v>
      </c>
      <c r="K1547" s="2">
        <v>0.0</v>
      </c>
    </row>
    <row r="1548">
      <c r="A1548" s="2">
        <v>2022.0</v>
      </c>
      <c r="B1548" s="1" t="s">
        <v>1297</v>
      </c>
      <c r="C1548" s="2"/>
      <c r="D1548" s="2" t="s">
        <v>1301</v>
      </c>
      <c r="E1548" s="1" t="s">
        <v>420</v>
      </c>
      <c r="F1548" s="2">
        <v>1587947.0</v>
      </c>
      <c r="G1548" s="2">
        <v>7847579.0</v>
      </c>
      <c r="H1548" s="2">
        <v>4382.0</v>
      </c>
      <c r="I1548" s="2">
        <v>9439908.0</v>
      </c>
      <c r="J1548" s="2">
        <v>9359521.0</v>
      </c>
      <c r="K1548" s="2">
        <v>80387.0</v>
      </c>
    </row>
    <row r="1549">
      <c r="A1549" s="2">
        <v>2022.0</v>
      </c>
      <c r="B1549" s="1" t="s">
        <v>1297</v>
      </c>
      <c r="C1549" s="2"/>
      <c r="D1549" s="2" t="s">
        <v>1350</v>
      </c>
      <c r="E1549" s="1" t="s">
        <v>420</v>
      </c>
      <c r="F1549" s="2">
        <v>12257.0</v>
      </c>
      <c r="G1549" s="2">
        <v>0.0</v>
      </c>
      <c r="H1549" s="2">
        <v>399.0</v>
      </c>
      <c r="I1549" s="2">
        <v>12656.0</v>
      </c>
      <c r="J1549" s="2">
        <v>12656.0</v>
      </c>
      <c r="K1549" s="2">
        <v>0.0</v>
      </c>
    </row>
    <row r="1550">
      <c r="A1550" s="2">
        <v>2022.0</v>
      </c>
      <c r="B1550" s="1" t="s">
        <v>1297</v>
      </c>
      <c r="C1550" s="2" t="s">
        <v>906</v>
      </c>
      <c r="D1550" s="2" t="s">
        <v>1351</v>
      </c>
      <c r="E1550" s="1" t="s">
        <v>420</v>
      </c>
      <c r="F1550" s="2">
        <v>3367.0</v>
      </c>
      <c r="G1550" s="2">
        <v>0.0</v>
      </c>
      <c r="H1550" s="2">
        <v>137.0</v>
      </c>
      <c r="I1550" s="2">
        <v>3504.0</v>
      </c>
      <c r="J1550" s="2">
        <v>0.0</v>
      </c>
      <c r="K1550" s="2">
        <v>3504.0</v>
      </c>
    </row>
    <row r="1551">
      <c r="A1551" s="2">
        <v>2022.0</v>
      </c>
      <c r="B1551" s="1" t="s">
        <v>1297</v>
      </c>
      <c r="C1551" s="2"/>
      <c r="D1551" s="2" t="s">
        <v>911</v>
      </c>
      <c r="E1551" s="1" t="s">
        <v>420</v>
      </c>
      <c r="F1551" s="2">
        <v>142044.0</v>
      </c>
      <c r="G1551" s="2">
        <v>0.0</v>
      </c>
      <c r="H1551" s="2">
        <v>2691.0</v>
      </c>
      <c r="I1551" s="2">
        <v>144735.0</v>
      </c>
      <c r="J1551" s="2">
        <v>79075.0</v>
      </c>
      <c r="K1551" s="2">
        <v>65660.0</v>
      </c>
    </row>
    <row r="1552">
      <c r="A1552" s="2">
        <v>2022.0</v>
      </c>
      <c r="B1552" s="1" t="s">
        <v>1297</v>
      </c>
      <c r="C1552" s="2"/>
      <c r="D1552" s="2" t="s">
        <v>1328</v>
      </c>
      <c r="E1552" s="1" t="s">
        <v>420</v>
      </c>
      <c r="F1552" s="2">
        <v>124653.0</v>
      </c>
      <c r="G1552" s="2">
        <v>0.0</v>
      </c>
      <c r="H1552" s="2">
        <v>5064.0</v>
      </c>
      <c r="I1552" s="2">
        <v>173776.0</v>
      </c>
      <c r="J1552" s="2">
        <v>44059.0</v>
      </c>
      <c r="K1552" s="2">
        <v>129717.0</v>
      </c>
    </row>
    <row r="1553">
      <c r="A1553" s="2">
        <v>2022.0</v>
      </c>
      <c r="B1553" s="1" t="s">
        <v>1297</v>
      </c>
      <c r="C1553" s="2"/>
      <c r="D1553" s="2" t="s">
        <v>1225</v>
      </c>
      <c r="E1553" s="1" t="s">
        <v>420</v>
      </c>
      <c r="F1553" s="2">
        <v>64986.0</v>
      </c>
      <c r="G1553" s="2">
        <v>0.0</v>
      </c>
      <c r="H1553" s="2">
        <v>2640.0</v>
      </c>
      <c r="I1553" s="2">
        <v>67626.0</v>
      </c>
      <c r="J1553" s="2">
        <v>0.0</v>
      </c>
      <c r="K1553" s="2">
        <v>67626.0</v>
      </c>
    </row>
    <row r="1554">
      <c r="A1554" s="2">
        <v>2022.0</v>
      </c>
      <c r="B1554" s="1" t="s">
        <v>1297</v>
      </c>
      <c r="C1554" s="2"/>
      <c r="D1554" s="2" t="s">
        <v>1329</v>
      </c>
      <c r="E1554" s="1" t="s">
        <v>420</v>
      </c>
      <c r="F1554" s="2">
        <v>18146.0</v>
      </c>
      <c r="G1554" s="2">
        <v>0.0</v>
      </c>
      <c r="H1554" s="2">
        <v>737.0</v>
      </c>
      <c r="I1554" s="2">
        <v>18883.0</v>
      </c>
      <c r="J1554" s="2">
        <v>0.0</v>
      </c>
      <c r="K1554" s="2">
        <v>18883.0</v>
      </c>
    </row>
    <row r="1555">
      <c r="A1555" s="2">
        <v>2022.0</v>
      </c>
      <c r="B1555" s="1" t="s">
        <v>1297</v>
      </c>
      <c r="C1555" s="2"/>
      <c r="D1555" s="2" t="s">
        <v>907</v>
      </c>
      <c r="E1555" s="1" t="s">
        <v>420</v>
      </c>
      <c r="F1555" s="2">
        <v>11572.0</v>
      </c>
      <c r="G1555" s="2">
        <v>0.0</v>
      </c>
      <c r="H1555" s="2">
        <v>470.0</v>
      </c>
      <c r="I1555" s="2">
        <v>12042.0</v>
      </c>
      <c r="J1555" s="2">
        <v>0.0</v>
      </c>
      <c r="K1555" s="2">
        <v>12042.0</v>
      </c>
    </row>
    <row r="1556">
      <c r="A1556" s="2">
        <v>2022.0</v>
      </c>
      <c r="B1556" s="1" t="s">
        <v>1297</v>
      </c>
      <c r="C1556" s="2"/>
      <c r="D1556" s="2" t="s">
        <v>1227</v>
      </c>
      <c r="E1556" s="1" t="s">
        <v>420</v>
      </c>
      <c r="F1556" s="2">
        <v>107651.0</v>
      </c>
      <c r="G1556" s="2">
        <v>0.0</v>
      </c>
      <c r="H1556" s="2">
        <v>4217.0</v>
      </c>
      <c r="I1556" s="2">
        <v>111868.0</v>
      </c>
      <c r="J1556" s="2">
        <v>6987.0</v>
      </c>
      <c r="K1556" s="2">
        <v>104881.0</v>
      </c>
    </row>
    <row r="1557">
      <c r="A1557" s="2">
        <v>2022.0</v>
      </c>
      <c r="B1557" s="1" t="s">
        <v>1297</v>
      </c>
      <c r="C1557" s="2" t="s">
        <v>1231</v>
      </c>
      <c r="D1557" s="2" t="s">
        <v>1352</v>
      </c>
      <c r="E1557" s="1" t="s">
        <v>420</v>
      </c>
      <c r="F1557" s="2">
        <v>643975.0</v>
      </c>
      <c r="G1557" s="2">
        <v>0.0</v>
      </c>
      <c r="H1557" s="2">
        <v>24511.0</v>
      </c>
      <c r="I1557" s="2">
        <v>668486.0</v>
      </c>
      <c r="J1557" s="2">
        <v>0.0</v>
      </c>
      <c r="K1557" s="2">
        <v>668486.0</v>
      </c>
    </row>
    <row r="1558">
      <c r="A1558" s="2">
        <v>2022.0</v>
      </c>
      <c r="B1558" s="1" t="s">
        <v>1297</v>
      </c>
      <c r="C1558" s="2"/>
      <c r="D1558" s="2" t="s">
        <v>838</v>
      </c>
      <c r="E1558" s="1" t="s">
        <v>420</v>
      </c>
      <c r="F1558" s="2">
        <v>165224.0</v>
      </c>
      <c r="G1558" s="2">
        <v>0.0</v>
      </c>
      <c r="H1558" s="2">
        <v>6288.0</v>
      </c>
      <c r="I1558" s="2">
        <v>171512.0</v>
      </c>
      <c r="J1558" s="2">
        <v>0.0</v>
      </c>
      <c r="K1558" s="2">
        <v>171512.0</v>
      </c>
    </row>
    <row r="1559">
      <c r="A1559" s="2">
        <v>2022.0</v>
      </c>
      <c r="B1559" s="1" t="s">
        <v>1297</v>
      </c>
      <c r="C1559" s="2"/>
      <c r="D1559" s="2" t="s">
        <v>843</v>
      </c>
      <c r="E1559" s="1" t="s">
        <v>420</v>
      </c>
      <c r="F1559" s="2">
        <v>63672.0</v>
      </c>
      <c r="G1559" s="2">
        <v>947816.0</v>
      </c>
      <c r="H1559" s="2">
        <v>6427.0</v>
      </c>
      <c r="I1559" s="2">
        <v>1017915.0</v>
      </c>
      <c r="J1559" s="2">
        <v>861598.0</v>
      </c>
      <c r="K1559" s="2">
        <v>156317.0</v>
      </c>
    </row>
    <row r="1560">
      <c r="A1560" s="2">
        <v>2022.0</v>
      </c>
      <c r="B1560" s="1" t="s">
        <v>1297</v>
      </c>
      <c r="C1560" s="2"/>
      <c r="D1560" s="2" t="s">
        <v>930</v>
      </c>
      <c r="E1560" s="1" t="s">
        <v>420</v>
      </c>
      <c r="F1560" s="2">
        <v>137970.0</v>
      </c>
      <c r="G1560" s="2">
        <v>0.0</v>
      </c>
      <c r="H1560" s="2">
        <v>5471.0</v>
      </c>
      <c r="I1560" s="2">
        <v>143441.0</v>
      </c>
      <c r="J1560" s="2">
        <v>0.0</v>
      </c>
      <c r="K1560" s="2">
        <v>143441.0</v>
      </c>
    </row>
    <row r="1561">
      <c r="A1561" s="2">
        <v>2022.0</v>
      </c>
      <c r="B1561" s="1" t="s">
        <v>1297</v>
      </c>
      <c r="C1561" s="2" t="s">
        <v>925</v>
      </c>
      <c r="D1561" s="2" t="s">
        <v>1330</v>
      </c>
      <c r="E1561" s="1" t="s">
        <v>420</v>
      </c>
      <c r="F1561" s="2">
        <v>184759.0</v>
      </c>
      <c r="G1561" s="2">
        <v>0.0</v>
      </c>
      <c r="H1561" s="2">
        <v>7328.0</v>
      </c>
      <c r="I1561" s="2">
        <v>192087.0</v>
      </c>
      <c r="J1561" s="2">
        <v>0.0</v>
      </c>
      <c r="K1561" s="2">
        <v>192087.0</v>
      </c>
    </row>
    <row r="1562">
      <c r="A1562" s="2">
        <v>2022.0</v>
      </c>
      <c r="B1562" s="1" t="s">
        <v>1297</v>
      </c>
      <c r="C1562" s="2"/>
      <c r="D1562" s="2" t="s">
        <v>928</v>
      </c>
      <c r="E1562" s="1" t="s">
        <v>420</v>
      </c>
      <c r="F1562" s="2">
        <v>19805.0</v>
      </c>
      <c r="G1562" s="2">
        <v>0.0</v>
      </c>
      <c r="H1562" s="2">
        <v>785.0</v>
      </c>
      <c r="I1562" s="2">
        <v>20590.0</v>
      </c>
      <c r="J1562" s="2">
        <v>0.0</v>
      </c>
      <c r="K1562" s="2">
        <v>20590.0</v>
      </c>
    </row>
    <row r="1563">
      <c r="A1563" s="2">
        <v>2022.0</v>
      </c>
      <c r="B1563" s="1" t="s">
        <v>1297</v>
      </c>
      <c r="C1563" s="2"/>
      <c r="D1563" s="2" t="s">
        <v>1353</v>
      </c>
      <c r="E1563" s="1" t="s">
        <v>420</v>
      </c>
      <c r="F1563" s="2">
        <v>156408.0</v>
      </c>
      <c r="G1563" s="2">
        <v>0.0</v>
      </c>
      <c r="H1563" s="2">
        <v>6200.0</v>
      </c>
      <c r="I1563" s="2">
        <v>162608.0</v>
      </c>
      <c r="J1563" s="2">
        <v>0.0</v>
      </c>
      <c r="K1563" s="2">
        <v>162608.0</v>
      </c>
    </row>
    <row r="1564">
      <c r="A1564" s="2">
        <v>2022.0</v>
      </c>
      <c r="B1564" s="1" t="s">
        <v>1297</v>
      </c>
      <c r="C1564" s="2"/>
      <c r="D1564" s="2" t="s">
        <v>1239</v>
      </c>
      <c r="E1564" s="1" t="s">
        <v>420</v>
      </c>
      <c r="F1564" s="2">
        <v>447415.0</v>
      </c>
      <c r="G1564" s="2">
        <v>0.0</v>
      </c>
      <c r="H1564" s="2">
        <v>17743.0</v>
      </c>
      <c r="I1564" s="2">
        <v>465158.0</v>
      </c>
      <c r="J1564" s="2">
        <v>0.0</v>
      </c>
      <c r="K1564" s="2">
        <v>465158.0</v>
      </c>
    </row>
    <row r="1565">
      <c r="A1565" s="2">
        <v>2022.0</v>
      </c>
      <c r="B1565" s="1" t="s">
        <v>1297</v>
      </c>
      <c r="C1565" s="2"/>
      <c r="D1565" s="2" t="s">
        <v>1240</v>
      </c>
      <c r="E1565" s="1" t="s">
        <v>420</v>
      </c>
      <c r="F1565" s="2">
        <v>159809.0</v>
      </c>
      <c r="G1565" s="2">
        <v>0.0</v>
      </c>
      <c r="H1565" s="2">
        <v>6337.0</v>
      </c>
      <c r="I1565" s="2">
        <v>166146.0</v>
      </c>
      <c r="J1565" s="2">
        <v>0.0</v>
      </c>
      <c r="K1565" s="2">
        <v>166146.0</v>
      </c>
    </row>
    <row r="1566">
      <c r="A1566" s="2">
        <v>2022.0</v>
      </c>
      <c r="B1566" s="1" t="s">
        <v>1297</v>
      </c>
      <c r="C1566" s="2" t="s">
        <v>176</v>
      </c>
      <c r="D1566" s="2" t="s">
        <v>193</v>
      </c>
      <c r="E1566" s="1" t="s">
        <v>420</v>
      </c>
      <c r="F1566" s="2">
        <v>78269.0</v>
      </c>
      <c r="H1566" s="2">
        <v>1590.0</v>
      </c>
      <c r="I1566" s="2">
        <v>79859.0</v>
      </c>
      <c r="J1566" s="2">
        <v>77269.0</v>
      </c>
      <c r="K1566" s="2">
        <v>2590.0</v>
      </c>
    </row>
    <row r="1567">
      <c r="A1567" s="2">
        <v>2022.0</v>
      </c>
      <c r="B1567" s="1" t="s">
        <v>1297</v>
      </c>
      <c r="C1567" s="2"/>
      <c r="D1567" s="2" t="s">
        <v>1246</v>
      </c>
      <c r="E1567" s="1" t="s">
        <v>420</v>
      </c>
      <c r="F1567" s="2">
        <v>5456.0</v>
      </c>
      <c r="G1567" s="2">
        <v>0.0</v>
      </c>
      <c r="H1567" s="2">
        <v>0.0</v>
      </c>
      <c r="I1567" s="2">
        <v>5456.0</v>
      </c>
      <c r="J1567" s="2">
        <v>236.0</v>
      </c>
      <c r="K1567" s="2">
        <v>5220.0</v>
      </c>
    </row>
    <row r="1568">
      <c r="A1568" s="2">
        <v>2022.0</v>
      </c>
      <c r="B1568" s="1" t="s">
        <v>1297</v>
      </c>
      <c r="C1568" s="2"/>
      <c r="D1568" s="2" t="s">
        <v>176</v>
      </c>
      <c r="E1568" s="1" t="s">
        <v>420</v>
      </c>
      <c r="F1568" s="2">
        <v>4837.0</v>
      </c>
      <c r="G1568" s="2">
        <v>0.0</v>
      </c>
      <c r="H1568" s="2">
        <v>0.0</v>
      </c>
      <c r="I1568" s="2">
        <v>4837.0</v>
      </c>
      <c r="J1568" s="2">
        <v>4837.0</v>
      </c>
      <c r="K1568" s="2">
        <v>0.0</v>
      </c>
    </row>
    <row r="1569">
      <c r="A1569" s="2">
        <v>2022.0</v>
      </c>
      <c r="B1569" s="1" t="s">
        <v>1297</v>
      </c>
      <c r="C1569" s="2"/>
      <c r="D1569" s="2" t="s">
        <v>1331</v>
      </c>
      <c r="E1569" s="1" t="s">
        <v>420</v>
      </c>
      <c r="F1569" s="2">
        <v>13692.0</v>
      </c>
      <c r="G1569" s="2">
        <v>0.0</v>
      </c>
      <c r="H1569" s="2">
        <v>0.0</v>
      </c>
      <c r="I1569" s="2">
        <v>13692.0</v>
      </c>
      <c r="J1569" s="2">
        <v>236.0</v>
      </c>
      <c r="K1569" s="2">
        <v>13456.0</v>
      </c>
    </row>
    <row r="1570">
      <c r="A1570" s="2">
        <v>2022.0</v>
      </c>
      <c r="B1570" s="1" t="s">
        <v>1297</v>
      </c>
      <c r="C1570" s="2" t="s">
        <v>1332</v>
      </c>
      <c r="D1570" s="2" t="s">
        <v>967</v>
      </c>
      <c r="E1570" s="1" t="s">
        <v>420</v>
      </c>
      <c r="F1570" s="2">
        <v>75816.0</v>
      </c>
      <c r="G1570" s="2">
        <v>0.0</v>
      </c>
      <c r="H1570" s="2">
        <v>1469.0</v>
      </c>
      <c r="I1570" s="2">
        <v>77285.0</v>
      </c>
      <c r="J1570" s="2">
        <v>77100.0</v>
      </c>
      <c r="K1570" s="2">
        <v>185.0</v>
      </c>
    </row>
    <row r="1571">
      <c r="A1571" s="2">
        <v>2022.0</v>
      </c>
      <c r="B1571" s="1" t="s">
        <v>1297</v>
      </c>
      <c r="C1571" s="2"/>
      <c r="D1571" s="2" t="s">
        <v>1298</v>
      </c>
      <c r="E1571" s="1" t="s">
        <v>420</v>
      </c>
      <c r="F1571" s="2">
        <v>3548.0</v>
      </c>
      <c r="G1571" s="2">
        <v>0.0</v>
      </c>
      <c r="H1571" s="2">
        <v>135.0</v>
      </c>
      <c r="I1571" s="2">
        <v>3683.0</v>
      </c>
      <c r="J1571" s="2">
        <v>0.0</v>
      </c>
      <c r="K1571" s="2">
        <v>3683.0</v>
      </c>
    </row>
    <row r="1572">
      <c r="A1572" s="2">
        <v>2022.0</v>
      </c>
      <c r="B1572" s="1" t="s">
        <v>1297</v>
      </c>
      <c r="C1572" s="2"/>
      <c r="D1572" s="2" t="s">
        <v>1079</v>
      </c>
      <c r="E1572" s="1" t="s">
        <v>420</v>
      </c>
      <c r="F1572" s="2">
        <v>7745.0</v>
      </c>
      <c r="G1572" s="2">
        <v>0.0</v>
      </c>
      <c r="H1572" s="2">
        <v>295.0</v>
      </c>
      <c r="I1572" s="2">
        <v>8040.0</v>
      </c>
      <c r="J1572" s="2">
        <v>0.0</v>
      </c>
      <c r="K1572" s="2">
        <v>8040.0</v>
      </c>
    </row>
    <row r="1573">
      <c r="A1573" s="2">
        <v>2022.0</v>
      </c>
      <c r="B1573" s="1" t="s">
        <v>1297</v>
      </c>
      <c r="C1573" s="2"/>
      <c r="D1573" s="2" t="s">
        <v>1201</v>
      </c>
      <c r="E1573" s="1" t="s">
        <v>420</v>
      </c>
      <c r="F1573" s="2">
        <v>85434.0</v>
      </c>
      <c r="G1573" s="2">
        <v>0.0</v>
      </c>
      <c r="H1573" s="2">
        <v>3251.0</v>
      </c>
      <c r="I1573" s="2">
        <v>88685.0</v>
      </c>
      <c r="J1573" s="2">
        <v>0.0</v>
      </c>
      <c r="K1573" s="2">
        <v>88685.0</v>
      </c>
    </row>
    <row r="1574">
      <c r="A1574" s="2">
        <v>2022.0</v>
      </c>
      <c r="B1574" s="1" t="s">
        <v>1297</v>
      </c>
      <c r="C1574" s="2"/>
      <c r="D1574" s="2" t="s">
        <v>977</v>
      </c>
      <c r="E1574" s="1" t="s">
        <v>420</v>
      </c>
      <c r="F1574" s="2">
        <v>20372.0</v>
      </c>
      <c r="G1574" s="2">
        <v>0.0</v>
      </c>
      <c r="H1574" s="2">
        <v>775.0</v>
      </c>
      <c r="I1574" s="2">
        <v>21147.0</v>
      </c>
      <c r="J1574" s="2">
        <v>0.0</v>
      </c>
      <c r="K1574" s="2">
        <v>21147.0</v>
      </c>
    </row>
    <row r="1575">
      <c r="A1575" s="2">
        <v>2022.0</v>
      </c>
      <c r="B1575" s="1" t="s">
        <v>1297</v>
      </c>
      <c r="C1575" s="2"/>
      <c r="D1575" s="2" t="s">
        <v>975</v>
      </c>
      <c r="E1575" s="1" t="s">
        <v>420</v>
      </c>
      <c r="F1575" s="2">
        <v>82277.0</v>
      </c>
      <c r="G1575" s="2">
        <v>0.0</v>
      </c>
      <c r="H1575" s="2">
        <v>1927.0</v>
      </c>
      <c r="I1575" s="2">
        <v>84204.0</v>
      </c>
      <c r="J1575" s="2">
        <v>83824.0</v>
      </c>
      <c r="K1575" s="2">
        <v>380.0</v>
      </c>
    </row>
    <row r="1576">
      <c r="A1576" s="2">
        <v>2022.0</v>
      </c>
      <c r="B1576" s="1" t="s">
        <v>1297</v>
      </c>
      <c r="C1576" s="2"/>
      <c r="D1576" s="2" t="s">
        <v>1354</v>
      </c>
      <c r="E1576" s="1" t="s">
        <v>420</v>
      </c>
      <c r="F1576" s="2">
        <v>62402.0</v>
      </c>
      <c r="G1576" s="2">
        <v>0.0</v>
      </c>
      <c r="H1576" s="2">
        <v>2358.0</v>
      </c>
      <c r="I1576" s="2">
        <v>64760.0</v>
      </c>
      <c r="J1576" s="2">
        <v>40000.0</v>
      </c>
      <c r="K1576" s="2">
        <v>24760.0</v>
      </c>
    </row>
    <row r="1577">
      <c r="A1577" s="2">
        <v>2022.0</v>
      </c>
      <c r="B1577" s="1" t="s">
        <v>1297</v>
      </c>
      <c r="C1577" s="2" t="s">
        <v>143</v>
      </c>
      <c r="D1577" s="2" t="s">
        <v>1207</v>
      </c>
      <c r="E1577" s="1" t="s">
        <v>420</v>
      </c>
      <c r="F1577" s="2">
        <v>90733.0</v>
      </c>
      <c r="G1577" s="2">
        <v>0.0</v>
      </c>
      <c r="H1577" s="2">
        <v>1465.0</v>
      </c>
      <c r="I1577" s="2">
        <v>92198.0</v>
      </c>
      <c r="J1577" s="2">
        <v>86120.0</v>
      </c>
      <c r="K1577" s="2">
        <v>6078.0</v>
      </c>
    </row>
    <row r="1578">
      <c r="A1578" s="2">
        <v>2022.0</v>
      </c>
      <c r="B1578" s="1" t="s">
        <v>1297</v>
      </c>
      <c r="C1578" s="2"/>
      <c r="D1578" s="2" t="s">
        <v>281</v>
      </c>
      <c r="E1578" s="1" t="s">
        <v>420</v>
      </c>
      <c r="F1578" s="2">
        <v>38777.0</v>
      </c>
      <c r="G1578" s="2">
        <v>0.0</v>
      </c>
      <c r="H1578" s="2">
        <v>1293.0</v>
      </c>
      <c r="I1578" s="2">
        <v>40070.0</v>
      </c>
      <c r="J1578" s="2">
        <v>5000.0</v>
      </c>
      <c r="K1578" s="2">
        <v>35070.0</v>
      </c>
    </row>
    <row r="1579">
      <c r="A1579" s="2">
        <v>2022.0</v>
      </c>
      <c r="B1579" s="1" t="s">
        <v>1297</v>
      </c>
      <c r="C1579" s="2"/>
      <c r="D1579" s="2" t="s">
        <v>143</v>
      </c>
      <c r="E1579" s="1" t="s">
        <v>420</v>
      </c>
      <c r="F1579" s="2">
        <v>191921.0</v>
      </c>
      <c r="G1579" s="2">
        <v>0.0</v>
      </c>
      <c r="H1579" s="2">
        <v>3887.0</v>
      </c>
      <c r="I1579" s="2">
        <v>195808.0</v>
      </c>
      <c r="J1579" s="2">
        <v>190450.0</v>
      </c>
      <c r="K1579" s="2">
        <v>5358.0</v>
      </c>
    </row>
    <row r="1580">
      <c r="A1580" s="2">
        <v>2022.0</v>
      </c>
      <c r="B1580" s="1" t="s">
        <v>1297</v>
      </c>
      <c r="C1580" s="2"/>
      <c r="D1580" s="2" t="s">
        <v>1209</v>
      </c>
      <c r="E1580" s="1" t="s">
        <v>420</v>
      </c>
      <c r="F1580" s="2">
        <v>17373.0</v>
      </c>
      <c r="G1580" s="2">
        <v>0.0</v>
      </c>
      <c r="H1580" s="2">
        <v>427.0</v>
      </c>
      <c r="I1580" s="2">
        <v>17800.0</v>
      </c>
      <c r="J1580" s="2">
        <v>16300.0</v>
      </c>
      <c r="K1580" s="2">
        <v>1500.0</v>
      </c>
    </row>
    <row r="1581">
      <c r="A1581" s="2">
        <v>2022.0</v>
      </c>
      <c r="B1581" s="1" t="s">
        <v>1297</v>
      </c>
      <c r="C1581" s="2"/>
      <c r="D1581" s="2" t="s">
        <v>832</v>
      </c>
      <c r="E1581" s="1" t="s">
        <v>420</v>
      </c>
      <c r="F1581" s="2">
        <v>8703.0</v>
      </c>
      <c r="H1581" s="2">
        <v>331.0</v>
      </c>
      <c r="I1581" s="2">
        <v>9034.0</v>
      </c>
      <c r="J1581" s="2">
        <v>150.0</v>
      </c>
      <c r="K1581" s="2">
        <v>8884.0</v>
      </c>
    </row>
    <row r="1582">
      <c r="A1582" s="2">
        <v>2022.0</v>
      </c>
      <c r="B1582" s="1" t="s">
        <v>1297</v>
      </c>
      <c r="C1582" s="2"/>
      <c r="D1582" s="2" t="s">
        <v>146</v>
      </c>
      <c r="E1582" s="1" t="s">
        <v>420</v>
      </c>
      <c r="F1582" s="2">
        <v>20280.0</v>
      </c>
      <c r="G1582" s="2">
        <v>0.0</v>
      </c>
      <c r="H1582" s="2">
        <v>771.0</v>
      </c>
      <c r="I1582" s="2">
        <v>21051.0</v>
      </c>
      <c r="J1582" s="2">
        <v>300.0</v>
      </c>
      <c r="K1582" s="2">
        <v>20751.0</v>
      </c>
    </row>
    <row r="1583">
      <c r="A1583" s="2">
        <v>2022.0</v>
      </c>
      <c r="B1583" s="1" t="s">
        <v>1297</v>
      </c>
      <c r="C1583" s="2"/>
      <c r="D1583" s="2" t="s">
        <v>1211</v>
      </c>
      <c r="E1583" s="1" t="s">
        <v>420</v>
      </c>
      <c r="F1583" s="2">
        <v>106432.0</v>
      </c>
      <c r="G1583" s="2">
        <v>0.0</v>
      </c>
      <c r="H1583" s="2">
        <v>1699.0</v>
      </c>
      <c r="I1583" s="2">
        <v>108131.0</v>
      </c>
      <c r="J1583" s="2">
        <v>100450.0</v>
      </c>
      <c r="K1583" s="2">
        <v>7681.0</v>
      </c>
    </row>
    <row r="1584">
      <c r="A1584" s="2">
        <v>2022.0</v>
      </c>
      <c r="B1584" s="1" t="s">
        <v>1297</v>
      </c>
      <c r="C1584" s="2" t="s">
        <v>106</v>
      </c>
      <c r="D1584" s="2" t="s">
        <v>111</v>
      </c>
      <c r="E1584" s="1" t="s">
        <v>420</v>
      </c>
      <c r="F1584" s="2">
        <v>152043.0</v>
      </c>
      <c r="G1584" s="2">
        <v>0.0</v>
      </c>
      <c r="H1584" s="2">
        <v>5787.0</v>
      </c>
      <c r="I1584" s="2">
        <v>157830.0</v>
      </c>
      <c r="J1584" s="2">
        <v>0.0</v>
      </c>
      <c r="K1584" s="2">
        <v>157830.0</v>
      </c>
    </row>
    <row r="1585">
      <c r="A1585" s="2">
        <v>2022.0</v>
      </c>
      <c r="B1585" s="1" t="s">
        <v>1297</v>
      </c>
      <c r="C1585" s="2"/>
      <c r="D1585" s="2" t="s">
        <v>833</v>
      </c>
      <c r="E1585" s="1" t="s">
        <v>420</v>
      </c>
      <c r="F1585" s="2">
        <v>450958.0</v>
      </c>
      <c r="G1585" s="2">
        <v>0.0</v>
      </c>
      <c r="H1585" s="2">
        <v>17164.0</v>
      </c>
      <c r="I1585" s="2">
        <v>468122.0</v>
      </c>
      <c r="J1585" s="2">
        <v>0.0</v>
      </c>
      <c r="K1585" s="2">
        <v>468122.0</v>
      </c>
    </row>
    <row r="1586">
      <c r="A1586" s="2">
        <v>2022.0</v>
      </c>
      <c r="B1586" s="1" t="s">
        <v>1297</v>
      </c>
      <c r="C1586" s="2"/>
      <c r="D1586" s="2" t="s">
        <v>1090</v>
      </c>
      <c r="E1586" s="1" t="s">
        <v>420</v>
      </c>
      <c r="F1586" s="2">
        <v>202471.0</v>
      </c>
      <c r="G1586" s="2">
        <v>0.0</v>
      </c>
      <c r="H1586" s="2">
        <v>7706.0</v>
      </c>
      <c r="I1586" s="2">
        <v>210177.0</v>
      </c>
      <c r="J1586" s="2">
        <v>0.0</v>
      </c>
      <c r="K1586" s="2">
        <v>210177.0</v>
      </c>
    </row>
    <row r="1587">
      <c r="A1587" s="2">
        <v>2022.0</v>
      </c>
      <c r="B1587" s="1" t="s">
        <v>1297</v>
      </c>
      <c r="C1587" s="2"/>
      <c r="D1587" s="2" t="s">
        <v>116</v>
      </c>
      <c r="E1587" s="1" t="s">
        <v>420</v>
      </c>
      <c r="F1587" s="2">
        <v>127941.0</v>
      </c>
      <c r="G1587" s="2">
        <v>0.0</v>
      </c>
      <c r="H1587" s="2">
        <v>4869.0</v>
      </c>
      <c r="I1587" s="2">
        <v>132810.0</v>
      </c>
      <c r="J1587" s="2">
        <v>0.0</v>
      </c>
      <c r="K1587" s="2">
        <v>132810.0</v>
      </c>
    </row>
    <row r="1588">
      <c r="A1588" s="2">
        <v>2022.0</v>
      </c>
      <c r="B1588" s="1" t="s">
        <v>1297</v>
      </c>
      <c r="C1588" s="2" t="s">
        <v>1334</v>
      </c>
      <c r="D1588" s="2" t="s">
        <v>139</v>
      </c>
      <c r="E1588" s="1" t="s">
        <v>420</v>
      </c>
      <c r="F1588" s="2">
        <v>123251.0</v>
      </c>
      <c r="G1588" s="2">
        <v>190680.0</v>
      </c>
      <c r="H1588" s="2">
        <v>2875.0</v>
      </c>
      <c r="I1588" s="2">
        <v>316806.0</v>
      </c>
      <c r="J1588" s="2">
        <v>211070.0</v>
      </c>
      <c r="K1588" s="2">
        <v>105736.0</v>
      </c>
    </row>
    <row r="1589">
      <c r="A1589" s="2">
        <v>2022.0</v>
      </c>
      <c r="B1589" s="1" t="s">
        <v>1297</v>
      </c>
      <c r="C1589" s="2"/>
      <c r="D1589" s="2" t="s">
        <v>1335</v>
      </c>
      <c r="E1589" s="1" t="s">
        <v>420</v>
      </c>
      <c r="F1589" s="2">
        <v>109031.0</v>
      </c>
      <c r="G1589" s="2">
        <v>0.0</v>
      </c>
      <c r="H1589" s="2">
        <v>2050.0</v>
      </c>
      <c r="I1589" s="2">
        <v>111081.0</v>
      </c>
      <c r="J1589" s="2">
        <v>0.0</v>
      </c>
      <c r="K1589" s="2">
        <v>111081.0</v>
      </c>
    </row>
    <row r="1590">
      <c r="A1590" s="2">
        <v>2022.0</v>
      </c>
      <c r="B1590" s="1" t="s">
        <v>1297</v>
      </c>
      <c r="C1590" s="2"/>
      <c r="D1590" s="2" t="s">
        <v>820</v>
      </c>
      <c r="E1590" s="1" t="s">
        <v>420</v>
      </c>
      <c r="F1590" s="2">
        <v>204239.0</v>
      </c>
      <c r="G1590" s="2">
        <v>689909.0</v>
      </c>
      <c r="H1590" s="2">
        <v>6396.0</v>
      </c>
      <c r="I1590" s="2">
        <v>900544.0</v>
      </c>
      <c r="J1590" s="2">
        <v>887566.0</v>
      </c>
      <c r="K1590" s="2">
        <v>12978.0</v>
      </c>
    </row>
    <row r="1591">
      <c r="A1591" s="2">
        <v>2022.0</v>
      </c>
      <c r="B1591" s="1" t="s">
        <v>1297</v>
      </c>
      <c r="C1591" s="2"/>
      <c r="D1591" s="2" t="s">
        <v>136</v>
      </c>
      <c r="E1591" s="1" t="s">
        <v>420</v>
      </c>
      <c r="F1591" s="2">
        <v>170318.0</v>
      </c>
      <c r="G1591" s="2">
        <v>0.0</v>
      </c>
      <c r="H1591" s="2">
        <v>6733.0</v>
      </c>
      <c r="I1591" s="2">
        <v>177051.0</v>
      </c>
      <c r="J1591" s="2">
        <v>27360.0</v>
      </c>
      <c r="K1591" s="2">
        <v>149691.0</v>
      </c>
    </row>
    <row r="1592">
      <c r="A1592" s="2">
        <v>2022.0</v>
      </c>
      <c r="B1592" s="1" t="s">
        <v>1297</v>
      </c>
      <c r="C1592" s="2"/>
      <c r="D1592" s="2" t="s">
        <v>814</v>
      </c>
      <c r="E1592" s="1" t="s">
        <v>420</v>
      </c>
      <c r="F1592" s="2">
        <v>507464.0</v>
      </c>
      <c r="G1592" s="2">
        <v>1358643.0</v>
      </c>
      <c r="H1592" s="2">
        <v>10113.0</v>
      </c>
      <c r="I1592" s="2">
        <v>1876220.0</v>
      </c>
      <c r="J1592" s="2">
        <v>1215588.0</v>
      </c>
      <c r="K1592" s="2">
        <v>660632.0</v>
      </c>
    </row>
    <row r="1593">
      <c r="A1593" s="2">
        <v>2022.0</v>
      </c>
      <c r="B1593" s="1" t="s">
        <v>1297</v>
      </c>
      <c r="C1593" s="2" t="s">
        <v>1219</v>
      </c>
      <c r="D1593" s="2" t="s">
        <v>1221</v>
      </c>
      <c r="E1593" s="1" t="s">
        <v>420</v>
      </c>
      <c r="F1593" s="2">
        <v>37011.0</v>
      </c>
      <c r="G1593" s="2">
        <v>0.0</v>
      </c>
      <c r="H1593" s="2">
        <v>798.0</v>
      </c>
      <c r="I1593" s="2">
        <v>37809.0</v>
      </c>
      <c r="J1593" s="2">
        <v>35000.0</v>
      </c>
      <c r="K1593" s="2">
        <v>2809.0</v>
      </c>
    </row>
    <row r="1594">
      <c r="A1594" s="2">
        <v>2022.0</v>
      </c>
      <c r="B1594" s="1" t="s">
        <v>1297</v>
      </c>
      <c r="C1594" s="2"/>
      <c r="D1594" s="2" t="s">
        <v>774</v>
      </c>
      <c r="E1594" s="1" t="s">
        <v>420</v>
      </c>
      <c r="F1594" s="2">
        <v>44793.0</v>
      </c>
      <c r="G1594" s="2">
        <v>0.0</v>
      </c>
      <c r="I1594" s="2">
        <v>44793.0</v>
      </c>
      <c r="J1594" s="2">
        <v>44793.0</v>
      </c>
    </row>
    <row r="1595">
      <c r="A1595" s="2">
        <v>2022.0</v>
      </c>
      <c r="B1595" s="1" t="s">
        <v>1297</v>
      </c>
      <c r="C1595" s="2" t="s">
        <v>280</v>
      </c>
      <c r="D1595" s="2" t="s">
        <v>924</v>
      </c>
      <c r="E1595" s="1" t="s">
        <v>420</v>
      </c>
      <c r="F1595" s="2">
        <v>85519.0</v>
      </c>
      <c r="G1595" s="2">
        <v>0.0</v>
      </c>
      <c r="H1595" s="2">
        <v>3255.0</v>
      </c>
      <c r="I1595" s="2">
        <v>88774.0</v>
      </c>
      <c r="J1595" s="2">
        <v>0.0</v>
      </c>
      <c r="K1595" s="2">
        <v>88774.0</v>
      </c>
    </row>
    <row r="1596">
      <c r="A1596" s="2">
        <v>2022.0</v>
      </c>
      <c r="B1596" s="1" t="s">
        <v>1297</v>
      </c>
      <c r="C1596" s="2"/>
      <c r="D1596" s="2" t="s">
        <v>288</v>
      </c>
      <c r="E1596" s="1" t="s">
        <v>420</v>
      </c>
      <c r="F1596" s="2">
        <v>227361.0</v>
      </c>
      <c r="G1596" s="2">
        <v>0.0</v>
      </c>
      <c r="H1596" s="2">
        <v>8654.0</v>
      </c>
      <c r="I1596" s="2">
        <v>236015.0</v>
      </c>
      <c r="J1596" s="2">
        <v>0.0</v>
      </c>
      <c r="K1596" s="2">
        <v>236015.0</v>
      </c>
    </row>
    <row r="1597">
      <c r="A1597" s="2">
        <v>2022.0</v>
      </c>
      <c r="B1597" s="1" t="s">
        <v>1297</v>
      </c>
      <c r="C1597" s="2"/>
      <c r="D1597" s="2" t="s">
        <v>286</v>
      </c>
      <c r="E1597" s="1" t="s">
        <v>420</v>
      </c>
      <c r="F1597" s="2">
        <v>29807.0</v>
      </c>
      <c r="G1597" s="2">
        <v>0.0</v>
      </c>
      <c r="H1597" s="2">
        <v>1154.0</v>
      </c>
      <c r="I1597" s="2">
        <v>30961.0</v>
      </c>
      <c r="J1597" s="2">
        <v>20.0</v>
      </c>
      <c r="K1597" s="2">
        <v>30941.0</v>
      </c>
    </row>
    <row r="1598">
      <c r="A1598" s="2">
        <v>2022.0</v>
      </c>
      <c r="B1598" s="1" t="s">
        <v>1297</v>
      </c>
      <c r="C1598" s="2"/>
      <c r="D1598" s="2" t="s">
        <v>280</v>
      </c>
      <c r="E1598" s="1" t="s">
        <v>420</v>
      </c>
      <c r="F1598" s="2">
        <v>176814.0</v>
      </c>
      <c r="G1598" s="2">
        <v>0.0</v>
      </c>
      <c r="H1598" s="2">
        <v>6729.0</v>
      </c>
      <c r="I1598" s="2">
        <v>183543.0</v>
      </c>
      <c r="J1598" s="2">
        <v>0.0</v>
      </c>
      <c r="K1598" s="2">
        <v>183543.0</v>
      </c>
    </row>
    <row r="1599">
      <c r="A1599" s="2">
        <v>2022.0</v>
      </c>
      <c r="B1599" s="1" t="s">
        <v>1297</v>
      </c>
      <c r="C1599" s="2"/>
      <c r="D1599" s="2" t="s">
        <v>1337</v>
      </c>
      <c r="E1599" s="1" t="s">
        <v>420</v>
      </c>
      <c r="F1599" s="2">
        <v>59304.0</v>
      </c>
      <c r="G1599" s="2">
        <v>0.0</v>
      </c>
      <c r="H1599" s="2">
        <v>2257.0</v>
      </c>
      <c r="I1599" s="2">
        <v>61561.0</v>
      </c>
      <c r="J1599" s="2">
        <v>0.0</v>
      </c>
      <c r="K1599" s="2">
        <v>61561.0</v>
      </c>
    </row>
    <row r="1600">
      <c r="A1600" s="2">
        <v>2022.0</v>
      </c>
      <c r="B1600" s="1" t="s">
        <v>1297</v>
      </c>
      <c r="C1600" s="2" t="s">
        <v>844</v>
      </c>
      <c r="D1600" s="2" t="s">
        <v>265</v>
      </c>
      <c r="E1600" s="1" t="s">
        <v>420</v>
      </c>
      <c r="F1600" s="2">
        <v>133192.0</v>
      </c>
      <c r="G1600" s="2">
        <v>0.0</v>
      </c>
      <c r="H1600" s="2">
        <v>4823.0</v>
      </c>
      <c r="I1600" s="2">
        <v>138015.0</v>
      </c>
      <c r="J1600" s="2">
        <v>52731.0</v>
      </c>
      <c r="K1600" s="2">
        <v>85284.0</v>
      </c>
    </row>
    <row r="1601">
      <c r="A1601" s="2">
        <v>2022.0</v>
      </c>
      <c r="B1601" s="1" t="s">
        <v>1297</v>
      </c>
      <c r="C1601" s="2"/>
      <c r="D1601" s="2" t="s">
        <v>245</v>
      </c>
      <c r="E1601" s="1" t="s">
        <v>420</v>
      </c>
      <c r="F1601" s="2">
        <v>326743.0</v>
      </c>
      <c r="G1601" s="2">
        <v>0.0</v>
      </c>
      <c r="H1601" s="2">
        <v>12436.0</v>
      </c>
      <c r="I1601" s="2">
        <v>339179.0</v>
      </c>
      <c r="K1601" s="2">
        <v>339179.0</v>
      </c>
    </row>
    <row r="1602">
      <c r="A1602" s="2">
        <v>2022.0</v>
      </c>
      <c r="B1602" s="1" t="s">
        <v>1297</v>
      </c>
      <c r="C1602" s="2"/>
      <c r="D1602" s="2" t="s">
        <v>1160</v>
      </c>
      <c r="E1602" s="1" t="s">
        <v>420</v>
      </c>
      <c r="F1602" s="2">
        <v>207043.0</v>
      </c>
      <c r="G1602" s="2">
        <v>0.0</v>
      </c>
      <c r="H1602" s="2">
        <v>7575.0</v>
      </c>
      <c r="I1602" s="2">
        <v>214618.0</v>
      </c>
      <c r="J1602" s="2">
        <v>57230.0</v>
      </c>
      <c r="K1602" s="2">
        <v>157388.0</v>
      </c>
    </row>
    <row r="1603">
      <c r="A1603" s="2">
        <v>2022.0</v>
      </c>
      <c r="B1603" s="1" t="s">
        <v>1297</v>
      </c>
      <c r="C1603" s="2"/>
      <c r="D1603" s="2" t="s">
        <v>274</v>
      </c>
      <c r="E1603" s="1" t="s">
        <v>420</v>
      </c>
      <c r="F1603" s="2">
        <v>195689.0</v>
      </c>
      <c r="G1603" s="2">
        <v>0.0</v>
      </c>
      <c r="H1603" s="2">
        <v>4763.0</v>
      </c>
      <c r="I1603" s="2">
        <v>200452.0</v>
      </c>
      <c r="J1603" s="2">
        <v>145832.0</v>
      </c>
      <c r="K1603" s="2">
        <v>54620.0</v>
      </c>
    </row>
    <row r="1604">
      <c r="A1604" s="2">
        <v>2022.0</v>
      </c>
      <c r="B1604" s="1" t="s">
        <v>1297</v>
      </c>
      <c r="C1604" s="2"/>
      <c r="D1604" s="2" t="s">
        <v>241</v>
      </c>
      <c r="E1604" s="1" t="s">
        <v>420</v>
      </c>
      <c r="F1604" s="2">
        <v>17564.0</v>
      </c>
      <c r="G1604" s="2">
        <v>0.0</v>
      </c>
      <c r="H1604" s="2">
        <v>668.0</v>
      </c>
      <c r="I1604" s="2">
        <v>18232.0</v>
      </c>
      <c r="J1604" s="2">
        <v>0.0</v>
      </c>
      <c r="K1604" s="2">
        <v>18232.0</v>
      </c>
    </row>
    <row r="1605">
      <c r="A1605" s="2">
        <v>2022.0</v>
      </c>
      <c r="B1605" s="1" t="s">
        <v>1297</v>
      </c>
      <c r="C1605" s="2"/>
      <c r="D1605" s="2" t="s">
        <v>1338</v>
      </c>
      <c r="E1605" s="1" t="s">
        <v>420</v>
      </c>
      <c r="F1605" s="2">
        <v>739688.0</v>
      </c>
      <c r="G1605" s="2">
        <v>0.0</v>
      </c>
      <c r="H1605" s="2">
        <v>26152.0</v>
      </c>
      <c r="I1605" s="2">
        <v>765840.0</v>
      </c>
      <c r="J1605" s="2">
        <v>113113.0</v>
      </c>
      <c r="K1605" s="2">
        <v>652727.0</v>
      </c>
    </row>
    <row r="1606">
      <c r="A1606" s="2">
        <v>2022.0</v>
      </c>
      <c r="B1606" s="1" t="s">
        <v>1297</v>
      </c>
      <c r="C1606" s="2"/>
      <c r="D1606" s="2" t="s">
        <v>256</v>
      </c>
      <c r="E1606" s="1" t="s">
        <v>420</v>
      </c>
      <c r="F1606" s="2">
        <v>45173.0</v>
      </c>
      <c r="G1606" s="2">
        <v>0.0</v>
      </c>
      <c r="H1606" s="2">
        <v>1719.0</v>
      </c>
      <c r="I1606" s="2">
        <v>46892.0</v>
      </c>
      <c r="K1606" s="2">
        <v>46892.0</v>
      </c>
    </row>
    <row r="1607">
      <c r="A1607" s="2">
        <v>2022.0</v>
      </c>
      <c r="B1607" s="1" t="s">
        <v>1297</v>
      </c>
      <c r="C1607" s="2"/>
      <c r="D1607" s="2" t="s">
        <v>276</v>
      </c>
      <c r="E1607" s="1" t="s">
        <v>420</v>
      </c>
      <c r="F1607" s="2">
        <v>34361.0</v>
      </c>
      <c r="G1607" s="2">
        <v>0.0</v>
      </c>
      <c r="H1607" s="2">
        <v>799.0</v>
      </c>
      <c r="I1607" s="2">
        <v>35160.0</v>
      </c>
      <c r="J1607" s="2">
        <v>35160.0</v>
      </c>
      <c r="K1607" s="2">
        <v>0.0</v>
      </c>
    </row>
    <row r="1608">
      <c r="A1608" s="2">
        <v>2022.0</v>
      </c>
      <c r="B1608" s="1" t="s">
        <v>1297</v>
      </c>
      <c r="C1608" s="2"/>
      <c r="D1608" s="2" t="s">
        <v>253</v>
      </c>
      <c r="E1608" s="1" t="s">
        <v>420</v>
      </c>
      <c r="F1608" s="2">
        <v>32396.0</v>
      </c>
      <c r="G1608" s="2">
        <v>0.0</v>
      </c>
      <c r="H1608" s="2">
        <v>1233.0</v>
      </c>
      <c r="I1608" s="2">
        <v>33629.0</v>
      </c>
      <c r="J1608" s="2">
        <v>0.0</v>
      </c>
      <c r="K1608" s="2">
        <v>33629.0</v>
      </c>
    </row>
    <row r="1609">
      <c r="A1609" s="2">
        <v>2022.0</v>
      </c>
      <c r="B1609" s="1" t="s">
        <v>1297</v>
      </c>
      <c r="C1609" s="2"/>
      <c r="D1609" s="2" t="s">
        <v>1258</v>
      </c>
      <c r="E1609" s="1" t="s">
        <v>420</v>
      </c>
      <c r="F1609" s="2">
        <v>61686.0</v>
      </c>
      <c r="G1609" s="2">
        <v>0.0</v>
      </c>
      <c r="H1609" s="2">
        <v>2034.0</v>
      </c>
      <c r="I1609" s="2">
        <v>63720.0</v>
      </c>
      <c r="J1609" s="2">
        <v>60000.0</v>
      </c>
      <c r="K1609" s="2">
        <v>3720.0</v>
      </c>
    </row>
    <row r="1610">
      <c r="A1610" s="2">
        <v>2022.0</v>
      </c>
      <c r="B1610" s="1" t="s">
        <v>1297</v>
      </c>
      <c r="C1610" s="2" t="s">
        <v>1265</v>
      </c>
      <c r="D1610" s="2" t="s">
        <v>756</v>
      </c>
      <c r="E1610" s="1" t="s">
        <v>420</v>
      </c>
      <c r="F1610" s="2">
        <v>1991.0</v>
      </c>
      <c r="G1610" s="2">
        <v>0.0</v>
      </c>
      <c r="H1610" s="2">
        <v>71.0</v>
      </c>
      <c r="I1610" s="2">
        <v>2062.0</v>
      </c>
      <c r="J1610" s="2">
        <v>0.0</v>
      </c>
      <c r="K1610" s="2">
        <v>2062.0</v>
      </c>
    </row>
    <row r="1611">
      <c r="A1611" s="2">
        <v>2022.0</v>
      </c>
      <c r="B1611" s="1" t="s">
        <v>1297</v>
      </c>
      <c r="C1611" s="2"/>
      <c r="D1611" s="2" t="s">
        <v>984</v>
      </c>
      <c r="E1611" s="1" t="s">
        <v>420</v>
      </c>
      <c r="F1611" s="2">
        <v>737089.0</v>
      </c>
      <c r="G1611" s="2">
        <v>0.0</v>
      </c>
      <c r="H1611" s="2">
        <v>26167.0</v>
      </c>
      <c r="I1611" s="2">
        <v>763256.0</v>
      </c>
      <c r="J1611" s="2">
        <v>0.0</v>
      </c>
      <c r="K1611" s="2">
        <v>763256.0</v>
      </c>
    </row>
    <row r="1612">
      <c r="A1612" s="2">
        <v>2022.0</v>
      </c>
      <c r="B1612" s="1" t="s">
        <v>1297</v>
      </c>
      <c r="C1612" s="2"/>
      <c r="D1612" s="2" t="s">
        <v>1339</v>
      </c>
      <c r="E1612" s="1" t="s">
        <v>420</v>
      </c>
      <c r="F1612" s="2">
        <v>110256.0</v>
      </c>
      <c r="G1612" s="2">
        <v>0.0</v>
      </c>
      <c r="H1612" s="2">
        <v>4196.0</v>
      </c>
      <c r="I1612" s="2">
        <v>114452.0</v>
      </c>
      <c r="J1612" s="2">
        <v>0.0</v>
      </c>
      <c r="K1612" s="2">
        <v>114452.0</v>
      </c>
    </row>
    <row r="1613">
      <c r="A1613" s="2">
        <v>2022.0</v>
      </c>
      <c r="B1613" s="1" t="s">
        <v>1297</v>
      </c>
      <c r="C1613" s="2"/>
      <c r="D1613" s="2" t="s">
        <v>1340</v>
      </c>
      <c r="E1613" s="1" t="s">
        <v>420</v>
      </c>
      <c r="F1613" s="2">
        <v>3366.0</v>
      </c>
      <c r="G1613" s="2">
        <v>0.0</v>
      </c>
      <c r="H1613" s="2">
        <v>194.0</v>
      </c>
      <c r="I1613" s="2">
        <v>3560.0</v>
      </c>
      <c r="J1613" s="2">
        <v>0.0</v>
      </c>
      <c r="K1613" s="2">
        <v>3560.0</v>
      </c>
    </row>
    <row r="1614">
      <c r="A1614" s="2">
        <v>2022.0</v>
      </c>
      <c r="B1614" s="1" t="s">
        <v>1297</v>
      </c>
      <c r="C1614" s="2" t="s">
        <v>764</v>
      </c>
      <c r="D1614" s="2" t="s">
        <v>884</v>
      </c>
      <c r="E1614" s="1" t="s">
        <v>420</v>
      </c>
      <c r="F1614" s="2">
        <v>197384.0</v>
      </c>
      <c r="G1614" s="2">
        <v>0.0</v>
      </c>
      <c r="H1614" s="2">
        <v>11365.0</v>
      </c>
      <c r="I1614" s="2">
        <v>208749.0</v>
      </c>
      <c r="J1614" s="2">
        <v>0.0</v>
      </c>
      <c r="K1614" s="2">
        <v>208749.0</v>
      </c>
    </row>
    <row r="1615">
      <c r="A1615" s="2">
        <v>2022.0</v>
      </c>
      <c r="B1615" s="1" t="s">
        <v>1297</v>
      </c>
      <c r="C1615" s="2"/>
      <c r="D1615" s="2" t="s">
        <v>1311</v>
      </c>
      <c r="E1615" s="1" t="s">
        <v>420</v>
      </c>
      <c r="F1615" s="2">
        <v>17167.0</v>
      </c>
      <c r="G1615" s="2">
        <v>0.0</v>
      </c>
      <c r="H1615" s="2">
        <v>654.0</v>
      </c>
      <c r="I1615" s="2">
        <v>17821.0</v>
      </c>
      <c r="J1615" s="2">
        <v>0.0</v>
      </c>
      <c r="K1615" s="2">
        <v>17821.0</v>
      </c>
    </row>
    <row r="1616">
      <c r="A1616" s="2">
        <v>2022.0</v>
      </c>
      <c r="B1616" s="1" t="s">
        <v>1297</v>
      </c>
      <c r="C1616" s="2"/>
      <c r="D1616" s="2" t="s">
        <v>1262</v>
      </c>
      <c r="E1616" s="1" t="s">
        <v>420</v>
      </c>
      <c r="F1616" s="2">
        <v>82793.0</v>
      </c>
      <c r="G1616" s="2">
        <v>0.0</v>
      </c>
      <c r="H1616" s="2">
        <v>3152.0</v>
      </c>
      <c r="I1616" s="2">
        <v>85945.0</v>
      </c>
      <c r="J1616" s="2">
        <v>0.0</v>
      </c>
      <c r="K1616" s="2">
        <v>85945.0</v>
      </c>
    </row>
    <row r="1617">
      <c r="A1617" s="2">
        <v>2022.0</v>
      </c>
      <c r="B1617" s="1" t="s">
        <v>1297</v>
      </c>
      <c r="C1617" s="2" t="s">
        <v>28</v>
      </c>
      <c r="D1617" s="2" t="s">
        <v>28</v>
      </c>
      <c r="E1617" s="1" t="s">
        <v>420</v>
      </c>
      <c r="F1617" s="2">
        <v>136263.0</v>
      </c>
      <c r="G1617" s="2">
        <v>0.0</v>
      </c>
      <c r="H1617" s="2">
        <v>5186.0</v>
      </c>
      <c r="I1617" s="2">
        <v>141449.0</v>
      </c>
      <c r="J1617" s="2">
        <v>0.0</v>
      </c>
      <c r="K1617" s="2">
        <v>141449.0</v>
      </c>
    </row>
    <row r="1618">
      <c r="A1618" s="2">
        <v>2022.0</v>
      </c>
      <c r="B1618" s="1" t="s">
        <v>1297</v>
      </c>
      <c r="C1618" s="2" t="s">
        <v>1273</v>
      </c>
      <c r="D1618" s="2" t="s">
        <v>1274</v>
      </c>
      <c r="E1618" s="1" t="s">
        <v>420</v>
      </c>
      <c r="F1618" s="2">
        <v>18982.0</v>
      </c>
      <c r="G1618" s="2">
        <v>0.0</v>
      </c>
      <c r="H1618" s="2">
        <v>350.0</v>
      </c>
      <c r="I1618" s="2">
        <v>19332.0</v>
      </c>
      <c r="J1618" s="2">
        <v>17400.0</v>
      </c>
      <c r="K1618" s="2">
        <v>1932.0</v>
      </c>
    </row>
    <row r="1619">
      <c r="A1619" s="2">
        <v>2022.0</v>
      </c>
      <c r="B1619" s="1" t="s">
        <v>1297</v>
      </c>
      <c r="C1619" s="2"/>
      <c r="D1619" s="2" t="s">
        <v>1341</v>
      </c>
      <c r="E1619" s="1" t="s">
        <v>420</v>
      </c>
      <c r="F1619" s="2">
        <v>108937.0</v>
      </c>
      <c r="G1619" s="2">
        <v>0.0</v>
      </c>
      <c r="H1619" s="2">
        <v>4146.0</v>
      </c>
      <c r="I1619" s="2">
        <v>113083.0</v>
      </c>
      <c r="J1619" s="2">
        <v>0.0</v>
      </c>
      <c r="K1619" s="2">
        <v>113083.0</v>
      </c>
    </row>
    <row r="1620">
      <c r="A1620" s="2">
        <v>2022.0</v>
      </c>
      <c r="B1620" s="1" t="s">
        <v>1297</v>
      </c>
      <c r="C1620" s="2"/>
      <c r="D1620" s="2" t="s">
        <v>293</v>
      </c>
      <c r="E1620" s="1" t="s">
        <v>420</v>
      </c>
      <c r="F1620" s="2">
        <v>21695.0</v>
      </c>
      <c r="G1620" s="2">
        <v>0.0</v>
      </c>
      <c r="H1620" s="2">
        <v>826.0</v>
      </c>
      <c r="I1620" s="2">
        <v>22521.0</v>
      </c>
      <c r="J1620" s="2">
        <v>0.0</v>
      </c>
      <c r="K1620" s="2">
        <v>22521.0</v>
      </c>
    </row>
    <row r="1621">
      <c r="A1621" s="2">
        <v>2022.0</v>
      </c>
      <c r="B1621" s="1" t="s">
        <v>1297</v>
      </c>
      <c r="C1621" s="2" t="s">
        <v>859</v>
      </c>
      <c r="D1621" s="2" t="s">
        <v>873</v>
      </c>
      <c r="E1621" s="1" t="s">
        <v>420</v>
      </c>
      <c r="F1621" s="2">
        <v>18026.0</v>
      </c>
      <c r="G1621" s="2">
        <v>0.0</v>
      </c>
      <c r="H1621" s="2">
        <v>686.0</v>
      </c>
      <c r="I1621" s="2">
        <v>18712.0</v>
      </c>
      <c r="J1621" s="2">
        <v>0.0</v>
      </c>
      <c r="K1621" s="2">
        <v>18712.0</v>
      </c>
    </row>
    <row r="1622">
      <c r="A1622" s="2">
        <v>2022.0</v>
      </c>
      <c r="B1622" s="1" t="s">
        <v>1297</v>
      </c>
      <c r="C1622" s="2"/>
      <c r="D1622" s="2" t="s">
        <v>879</v>
      </c>
      <c r="E1622" s="1" t="s">
        <v>420</v>
      </c>
      <c r="F1622" s="2">
        <v>81026.0</v>
      </c>
      <c r="G1622" s="2">
        <v>0.0</v>
      </c>
      <c r="H1622" s="2">
        <v>3024.0</v>
      </c>
      <c r="I1622" s="2">
        <v>84050.0</v>
      </c>
      <c r="J1622" s="2">
        <v>0.0</v>
      </c>
      <c r="K1622" s="2">
        <v>84050.0</v>
      </c>
    </row>
    <row r="1623">
      <c r="A1623" s="2">
        <v>2022.0</v>
      </c>
      <c r="B1623" s="1" t="s">
        <v>1297</v>
      </c>
      <c r="C1623" s="2"/>
      <c r="D1623" s="2" t="s">
        <v>1282</v>
      </c>
      <c r="E1623" s="1" t="s">
        <v>420</v>
      </c>
      <c r="F1623" s="2">
        <v>299867.0</v>
      </c>
      <c r="G1623" s="2">
        <v>0.0</v>
      </c>
      <c r="H1623" s="2">
        <v>11406.0</v>
      </c>
      <c r="I1623" s="2">
        <v>311273.0</v>
      </c>
      <c r="J1623" s="2">
        <v>9000.0</v>
      </c>
      <c r="K1623" s="2">
        <v>302273.0</v>
      </c>
    </row>
    <row r="1624">
      <c r="A1624" s="2">
        <v>2022.0</v>
      </c>
      <c r="B1624" s="1" t="s">
        <v>1297</v>
      </c>
      <c r="C1624" s="2"/>
      <c r="D1624" s="2" t="s">
        <v>1283</v>
      </c>
      <c r="E1624" s="1" t="s">
        <v>420</v>
      </c>
      <c r="F1624" s="2">
        <v>27246.0</v>
      </c>
      <c r="G1624" s="2">
        <v>0.0</v>
      </c>
      <c r="H1624" s="2">
        <v>1037.0</v>
      </c>
      <c r="I1624" s="2">
        <v>28283.0</v>
      </c>
      <c r="J1624" s="2">
        <v>0.0</v>
      </c>
      <c r="K1624" s="2">
        <v>28283.0</v>
      </c>
    </row>
    <row r="1625">
      <c r="A1625" s="2">
        <v>2022.0</v>
      </c>
      <c r="B1625" s="1" t="s">
        <v>1297</v>
      </c>
      <c r="C1625" s="2"/>
      <c r="D1625" s="2" t="s">
        <v>1284</v>
      </c>
      <c r="E1625" s="1" t="s">
        <v>420</v>
      </c>
      <c r="F1625" s="2">
        <v>0.0</v>
      </c>
      <c r="G1625" s="2">
        <v>0.0</v>
      </c>
      <c r="H1625" s="2">
        <v>0.0</v>
      </c>
      <c r="I1625" s="2">
        <v>0.0</v>
      </c>
      <c r="J1625" s="2">
        <v>0.0</v>
      </c>
      <c r="K1625" s="2">
        <v>0.0</v>
      </c>
    </row>
    <row r="1626">
      <c r="A1626" s="2">
        <v>2022.0</v>
      </c>
      <c r="B1626" s="1" t="s">
        <v>1297</v>
      </c>
      <c r="C1626" s="2"/>
      <c r="D1626" s="2" t="s">
        <v>292</v>
      </c>
      <c r="E1626" s="1" t="s">
        <v>420</v>
      </c>
      <c r="F1626" s="2">
        <v>124194.0</v>
      </c>
      <c r="G1626" s="2">
        <v>0.0</v>
      </c>
      <c r="H1626" s="2">
        <v>4727.0</v>
      </c>
      <c r="I1626" s="2">
        <v>128921.0</v>
      </c>
      <c r="J1626" s="2">
        <v>0.0</v>
      </c>
      <c r="K1626" s="2">
        <v>128921.0</v>
      </c>
    </row>
    <row r="1627">
      <c r="A1627" s="2">
        <v>2022.0</v>
      </c>
      <c r="B1627" s="1" t="s">
        <v>1297</v>
      </c>
      <c r="C1627" s="2"/>
      <c r="D1627" s="2" t="s">
        <v>1285</v>
      </c>
      <c r="E1627" s="1" t="s">
        <v>420</v>
      </c>
      <c r="F1627" s="2">
        <v>389728.0</v>
      </c>
      <c r="G1627" s="2">
        <v>0.0</v>
      </c>
      <c r="H1627" s="2">
        <v>13689.0</v>
      </c>
      <c r="I1627" s="2">
        <v>403417.0</v>
      </c>
      <c r="J1627" s="2">
        <v>112434.0</v>
      </c>
      <c r="K1627" s="2">
        <v>290983.0</v>
      </c>
    </row>
    <row r="1628">
      <c r="A1628" s="2">
        <v>2022.0</v>
      </c>
      <c r="B1628" s="1" t="s">
        <v>1297</v>
      </c>
      <c r="C1628" s="2"/>
      <c r="D1628" s="2" t="s">
        <v>860</v>
      </c>
      <c r="E1628" s="1" t="s">
        <v>420</v>
      </c>
      <c r="F1628" s="2">
        <v>0.0</v>
      </c>
      <c r="G1628" s="2">
        <v>0.0</v>
      </c>
      <c r="H1628" s="2">
        <v>0.0</v>
      </c>
      <c r="I1628" s="2">
        <v>0.0</v>
      </c>
      <c r="J1628" s="2">
        <v>0.0</v>
      </c>
      <c r="K1628" s="2">
        <v>0.0</v>
      </c>
    </row>
    <row r="1629">
      <c r="A1629" s="2">
        <v>2022.0</v>
      </c>
      <c r="B1629" s="1" t="s">
        <v>1297</v>
      </c>
      <c r="C1629" s="2"/>
      <c r="D1629" s="2" t="s">
        <v>875</v>
      </c>
      <c r="E1629" s="1" t="s">
        <v>420</v>
      </c>
      <c r="F1629" s="2">
        <v>2361710.0</v>
      </c>
      <c r="G1629" s="2">
        <v>9643000.0</v>
      </c>
      <c r="H1629" s="2">
        <v>38757.0</v>
      </c>
      <c r="I1629" s="2">
        <v>1.2043467E7</v>
      </c>
      <c r="J1629" s="2">
        <v>1.1978506E7</v>
      </c>
      <c r="K1629" s="2">
        <v>64961.0</v>
      </c>
    </row>
    <row r="1630">
      <c r="A1630" s="2">
        <v>2022.0</v>
      </c>
      <c r="B1630" s="1" t="s">
        <v>1297</v>
      </c>
      <c r="C1630" s="2" t="s">
        <v>1137</v>
      </c>
      <c r="D1630" s="2" t="s">
        <v>1286</v>
      </c>
      <c r="E1630" s="1" t="s">
        <v>420</v>
      </c>
      <c r="F1630" s="2" t="s">
        <v>1300</v>
      </c>
      <c r="G1630" s="2">
        <v>0.0</v>
      </c>
    </row>
    <row r="1631">
      <c r="A1631" s="2">
        <v>2022.0</v>
      </c>
      <c r="B1631" s="1" t="s">
        <v>1297</v>
      </c>
      <c r="C1631" s="2"/>
      <c r="D1631" s="2" t="s">
        <v>1080</v>
      </c>
      <c r="E1631" s="1" t="s">
        <v>420</v>
      </c>
      <c r="F1631" s="2">
        <v>82207.0</v>
      </c>
      <c r="G1631" s="2">
        <v>0.0</v>
      </c>
      <c r="H1631" s="2">
        <v>0.0</v>
      </c>
      <c r="I1631" s="2">
        <v>82207.0</v>
      </c>
      <c r="J1631" s="2">
        <v>236.0</v>
      </c>
      <c r="K1631" s="2">
        <v>81971.0</v>
      </c>
    </row>
    <row r="1632">
      <c r="A1632" s="2">
        <v>2022.0</v>
      </c>
      <c r="B1632" s="1" t="s">
        <v>1297</v>
      </c>
      <c r="C1632" s="2"/>
      <c r="D1632" s="2" t="s">
        <v>1287</v>
      </c>
      <c r="E1632" s="1" t="s">
        <v>420</v>
      </c>
      <c r="F1632" s="2">
        <v>40629.0</v>
      </c>
      <c r="G1632" s="2">
        <v>0.0</v>
      </c>
      <c r="H1632" s="2">
        <v>458.0</v>
      </c>
      <c r="I1632" s="2">
        <v>41087.0</v>
      </c>
      <c r="J1632" s="2">
        <v>35000.0</v>
      </c>
      <c r="K1632" s="2">
        <v>6087.0</v>
      </c>
    </row>
    <row r="1633">
      <c r="A1633" s="2">
        <v>2022.0</v>
      </c>
      <c r="B1633" s="1" t="s">
        <v>1297</v>
      </c>
      <c r="C1633" s="2"/>
      <c r="D1633" s="2" t="s">
        <v>761</v>
      </c>
      <c r="E1633" s="1" t="s">
        <v>420</v>
      </c>
      <c r="F1633" s="2">
        <v>22106.0</v>
      </c>
      <c r="G1633" s="2">
        <v>0.0</v>
      </c>
      <c r="H1633" s="2">
        <v>0.0</v>
      </c>
      <c r="I1633" s="2">
        <v>22106.0</v>
      </c>
      <c r="J1633" s="2">
        <v>236.0</v>
      </c>
      <c r="K1633" s="2">
        <v>21870.0</v>
      </c>
    </row>
    <row r="1634">
      <c r="A1634" s="2">
        <v>2022.0</v>
      </c>
      <c r="B1634" s="1" t="s">
        <v>1297</v>
      </c>
      <c r="C1634" s="2"/>
      <c r="D1634" s="2" t="s">
        <v>757</v>
      </c>
      <c r="E1634" s="1" t="s">
        <v>420</v>
      </c>
      <c r="F1634" s="2">
        <v>41204.0</v>
      </c>
      <c r="G1634" s="2">
        <v>0.0</v>
      </c>
      <c r="H1634" s="2">
        <v>0.0</v>
      </c>
      <c r="I1634" s="2">
        <v>41204.0</v>
      </c>
      <c r="J1634" s="2">
        <v>0.0</v>
      </c>
      <c r="K1634" s="2">
        <v>41204.0</v>
      </c>
    </row>
    <row r="1635">
      <c r="A1635" s="2">
        <v>2022.0</v>
      </c>
      <c r="B1635" s="1" t="s">
        <v>1297</v>
      </c>
      <c r="C1635" s="2" t="s">
        <v>796</v>
      </c>
      <c r="D1635" s="2" t="s">
        <v>1288</v>
      </c>
      <c r="E1635" s="1" t="s">
        <v>420</v>
      </c>
      <c r="F1635" s="2">
        <v>474585.0</v>
      </c>
      <c r="G1635" s="2">
        <v>0.0</v>
      </c>
      <c r="H1635" s="2">
        <v>18063.0</v>
      </c>
      <c r="I1635" s="2">
        <v>492648.0</v>
      </c>
      <c r="J1635" s="2">
        <v>0.0</v>
      </c>
      <c r="K1635" s="2">
        <v>492648.0</v>
      </c>
    </row>
    <row r="1636">
      <c r="A1636" s="2">
        <v>2022.0</v>
      </c>
      <c r="B1636" s="1" t="s">
        <v>1297</v>
      </c>
      <c r="C1636" s="2"/>
      <c r="D1636" s="2" t="s">
        <v>1289</v>
      </c>
      <c r="E1636" s="1" t="s">
        <v>420</v>
      </c>
      <c r="F1636" s="2">
        <v>276792.0</v>
      </c>
      <c r="G1636" s="2">
        <v>0.0</v>
      </c>
      <c r="H1636" s="2">
        <v>10535.0</v>
      </c>
      <c r="I1636" s="2">
        <v>287327.0</v>
      </c>
      <c r="J1636" s="2">
        <v>0.0</v>
      </c>
      <c r="K1636" s="2">
        <v>287327.0</v>
      </c>
    </row>
    <row r="1637">
      <c r="A1637" s="2">
        <v>2022.0</v>
      </c>
      <c r="B1637" s="1" t="s">
        <v>1297</v>
      </c>
      <c r="C1637" s="2"/>
      <c r="D1637" s="2" t="s">
        <v>1290</v>
      </c>
      <c r="E1637" s="1" t="s">
        <v>420</v>
      </c>
      <c r="F1637" s="2">
        <v>13213.0</v>
      </c>
      <c r="G1637" s="2">
        <v>0.0</v>
      </c>
      <c r="H1637" s="2">
        <v>411.0</v>
      </c>
      <c r="I1637" s="2">
        <v>13624.0</v>
      </c>
      <c r="J1637" s="2">
        <v>3300.0</v>
      </c>
      <c r="K1637" s="2">
        <v>10324.0</v>
      </c>
    </row>
    <row r="1638">
      <c r="A1638" s="2">
        <v>2022.0</v>
      </c>
      <c r="B1638" s="1" t="s">
        <v>1297</v>
      </c>
      <c r="C1638" s="2" t="s">
        <v>1291</v>
      </c>
      <c r="D1638" s="2" t="s">
        <v>1292</v>
      </c>
      <c r="E1638" s="1" t="s">
        <v>420</v>
      </c>
      <c r="F1638" s="2">
        <v>51934.0</v>
      </c>
      <c r="G1638" s="2">
        <v>0.0</v>
      </c>
      <c r="H1638" s="2">
        <v>1976.0</v>
      </c>
      <c r="I1638" s="2">
        <v>53910.0</v>
      </c>
      <c r="J1638" s="2">
        <v>0.0</v>
      </c>
      <c r="K1638" s="2">
        <v>53910.0</v>
      </c>
    </row>
    <row r="1639">
      <c r="A1639" s="2">
        <v>2022.0</v>
      </c>
      <c r="B1639" s="1" t="s">
        <v>1297</v>
      </c>
      <c r="C1639" s="2"/>
      <c r="D1639" s="2" t="s">
        <v>790</v>
      </c>
      <c r="E1639" s="1" t="s">
        <v>420</v>
      </c>
      <c r="F1639" s="2">
        <v>20850.0</v>
      </c>
      <c r="G1639" s="2">
        <v>0.0</v>
      </c>
      <c r="H1639" s="2">
        <v>794.0</v>
      </c>
      <c r="I1639" s="2">
        <v>21644.0</v>
      </c>
      <c r="J1639" s="2">
        <v>0.0</v>
      </c>
      <c r="K1639" s="2">
        <v>21644.0</v>
      </c>
    </row>
    <row r="1640">
      <c r="A1640" s="2">
        <v>2022.0</v>
      </c>
      <c r="B1640" s="1" t="s">
        <v>1297</v>
      </c>
      <c r="C1640" s="2"/>
      <c r="D1640" s="2" t="s">
        <v>199</v>
      </c>
      <c r="E1640" s="1" t="s">
        <v>420</v>
      </c>
      <c r="F1640" s="2">
        <v>0.0</v>
      </c>
      <c r="G1640" s="2">
        <v>0.0</v>
      </c>
      <c r="H1640" s="2">
        <v>0.0</v>
      </c>
      <c r="I1640" s="2">
        <v>0.0</v>
      </c>
      <c r="J1640" s="2">
        <v>0.0</v>
      </c>
      <c r="K1640" s="2">
        <v>0.0</v>
      </c>
    </row>
    <row r="1641">
      <c r="A1641" s="2">
        <v>2022.0</v>
      </c>
      <c r="B1641" s="1" t="s">
        <v>1297</v>
      </c>
      <c r="C1641" s="2"/>
      <c r="D1641" s="2" t="s">
        <v>793</v>
      </c>
      <c r="E1641" s="1" t="s">
        <v>420</v>
      </c>
      <c r="F1641" s="2">
        <v>214931.0</v>
      </c>
      <c r="G1641" s="2">
        <v>0.0</v>
      </c>
      <c r="H1641" s="2">
        <v>8180.0</v>
      </c>
      <c r="I1641" s="2">
        <v>223111.0</v>
      </c>
      <c r="J1641" s="2">
        <v>0.0</v>
      </c>
      <c r="K1641" s="2">
        <v>223111.0</v>
      </c>
    </row>
    <row r="1642">
      <c r="A1642" s="2">
        <v>2022.0</v>
      </c>
      <c r="B1642" s="1" t="s">
        <v>1297</v>
      </c>
      <c r="C1642" s="2"/>
      <c r="D1642" s="2" t="s">
        <v>788</v>
      </c>
      <c r="E1642" s="1" t="s">
        <v>420</v>
      </c>
      <c r="F1642" s="2">
        <v>77582.0</v>
      </c>
      <c r="G1642" s="2">
        <v>0.0</v>
      </c>
      <c r="H1642" s="2">
        <v>2952.0</v>
      </c>
      <c r="I1642" s="2">
        <v>80534.0</v>
      </c>
      <c r="J1642" s="2">
        <v>0.0</v>
      </c>
      <c r="K1642" s="2">
        <v>80534.0</v>
      </c>
    </row>
    <row r="1643">
      <c r="A1643" s="2">
        <v>2022.0</v>
      </c>
      <c r="B1643" s="1" t="s">
        <v>1297</v>
      </c>
      <c r="C1643" s="2"/>
      <c r="D1643" s="2" t="s">
        <v>526</v>
      </c>
      <c r="E1643" s="1" t="s">
        <v>420</v>
      </c>
      <c r="F1643" s="2">
        <v>1203040.0</v>
      </c>
      <c r="G1643" s="2">
        <v>0.0</v>
      </c>
      <c r="H1643" s="2">
        <v>45789.0</v>
      </c>
      <c r="I1643" s="2">
        <v>1248829.0</v>
      </c>
      <c r="J1643" s="2">
        <v>0.0</v>
      </c>
      <c r="K1643" s="2">
        <v>1248829.0</v>
      </c>
    </row>
    <row r="1644">
      <c r="A1644" s="2">
        <v>2022.0</v>
      </c>
      <c r="B1644" s="1" t="s">
        <v>1297</v>
      </c>
      <c r="C1644" s="2" t="s">
        <v>941</v>
      </c>
      <c r="D1644" s="2" t="s">
        <v>1187</v>
      </c>
      <c r="E1644" s="1" t="s">
        <v>420</v>
      </c>
      <c r="F1644" s="2">
        <v>162251.0</v>
      </c>
      <c r="G1644" s="2">
        <v>0.0</v>
      </c>
      <c r="H1644" s="2">
        <v>6176.0</v>
      </c>
      <c r="I1644" s="2">
        <v>168427.0</v>
      </c>
      <c r="J1644" s="2">
        <v>0.0</v>
      </c>
      <c r="K1644" s="2">
        <v>168427.0</v>
      </c>
    </row>
    <row r="1645">
      <c r="A1645" s="2">
        <v>2022.0</v>
      </c>
      <c r="B1645" s="1" t="s">
        <v>1297</v>
      </c>
      <c r="C1645" s="2"/>
      <c r="D1645" s="2" t="s">
        <v>1188</v>
      </c>
      <c r="E1645" s="1" t="s">
        <v>420</v>
      </c>
      <c r="F1645" s="2">
        <v>185710.0</v>
      </c>
      <c r="G1645" s="2">
        <v>0.0</v>
      </c>
      <c r="H1645" s="2">
        <v>7069.0</v>
      </c>
      <c r="I1645" s="2">
        <v>192779.0</v>
      </c>
      <c r="J1645" s="2">
        <v>0.0</v>
      </c>
      <c r="K1645" s="2">
        <v>192779.0</v>
      </c>
    </row>
    <row r="1646">
      <c r="A1646" s="2">
        <v>2022.0</v>
      </c>
      <c r="B1646" s="1" t="s">
        <v>1297</v>
      </c>
      <c r="C1646" s="2"/>
      <c r="D1646" s="2" t="s">
        <v>1189</v>
      </c>
      <c r="E1646" s="1" t="s">
        <v>420</v>
      </c>
      <c r="F1646" s="2">
        <v>106997.0</v>
      </c>
      <c r="G1646" s="2">
        <v>0.0</v>
      </c>
      <c r="H1646" s="2">
        <v>4073.0</v>
      </c>
      <c r="I1646" s="2">
        <v>0.0</v>
      </c>
      <c r="J1646" s="2">
        <v>0.0</v>
      </c>
      <c r="K1646" s="2">
        <v>111070.0</v>
      </c>
    </row>
    <row r="1647">
      <c r="A1647" s="2">
        <v>2022.0</v>
      </c>
      <c r="B1647" s="1" t="s">
        <v>1297</v>
      </c>
      <c r="C1647" s="2"/>
      <c r="D1647" s="2" t="s">
        <v>1293</v>
      </c>
      <c r="E1647" s="1" t="s">
        <v>420</v>
      </c>
      <c r="F1647" s="2">
        <v>156411.0</v>
      </c>
      <c r="G1647" s="2">
        <v>0.0</v>
      </c>
      <c r="H1647" s="2">
        <v>5953.0</v>
      </c>
      <c r="I1647" s="2">
        <v>162364.0</v>
      </c>
      <c r="J1647" s="2">
        <v>118.0</v>
      </c>
      <c r="K1647" s="2">
        <v>162246.0</v>
      </c>
    </row>
    <row r="1648">
      <c r="A1648" s="2">
        <v>2022.0</v>
      </c>
      <c r="B1648" s="1" t="s">
        <v>1297</v>
      </c>
      <c r="C1648" s="2"/>
      <c r="D1648" s="2" t="s">
        <v>1294</v>
      </c>
      <c r="E1648" s="1" t="s">
        <v>420</v>
      </c>
      <c r="F1648" s="2">
        <v>157157.0</v>
      </c>
      <c r="G1648" s="2">
        <v>0.0</v>
      </c>
      <c r="H1648" s="2">
        <v>5982.0</v>
      </c>
      <c r="I1648" s="2">
        <v>163139.0</v>
      </c>
      <c r="J1648" s="2">
        <v>0.0</v>
      </c>
      <c r="K1648" s="2">
        <v>163139.0</v>
      </c>
    </row>
    <row r="1649">
      <c r="A1649" s="2">
        <v>2022.0</v>
      </c>
      <c r="B1649" s="1" t="s">
        <v>1297</v>
      </c>
      <c r="C1649" s="2"/>
      <c r="D1649" s="2" t="s">
        <v>1190</v>
      </c>
      <c r="E1649" s="1" t="s">
        <v>420</v>
      </c>
      <c r="F1649" s="2">
        <v>332970.0</v>
      </c>
      <c r="G1649" s="2">
        <v>1131766.0</v>
      </c>
      <c r="H1649" s="2">
        <v>11778.0</v>
      </c>
      <c r="I1649" s="2">
        <v>1476514.0</v>
      </c>
      <c r="J1649" s="2">
        <v>1261227.0</v>
      </c>
      <c r="K1649" s="2">
        <v>215287.0</v>
      </c>
    </row>
    <row r="1650">
      <c r="A1650" s="2">
        <v>2022.0</v>
      </c>
      <c r="B1650" s="1" t="s">
        <v>1297</v>
      </c>
      <c r="C1650" s="2"/>
      <c r="D1650" s="2" t="s">
        <v>1193</v>
      </c>
      <c r="E1650" s="1" t="s">
        <v>420</v>
      </c>
      <c r="F1650" s="2">
        <v>34388.0</v>
      </c>
      <c r="G1650" s="2">
        <v>0.0</v>
      </c>
      <c r="H1650" s="2">
        <v>1309.0</v>
      </c>
      <c r="I1650" s="2">
        <v>35697.0</v>
      </c>
      <c r="J1650" s="2">
        <v>0.0</v>
      </c>
      <c r="K1650" s="2">
        <v>35697.0</v>
      </c>
    </row>
    <row r="1651">
      <c r="A1651" s="2">
        <v>2022.0</v>
      </c>
      <c r="B1651" s="1" t="s">
        <v>1297</v>
      </c>
      <c r="C1651" s="2" t="s">
        <v>887</v>
      </c>
      <c r="D1651" s="2" t="s">
        <v>887</v>
      </c>
      <c r="E1651" s="1" t="s">
        <v>420</v>
      </c>
      <c r="F1651" s="2">
        <v>69581.0</v>
      </c>
      <c r="G1651" s="2">
        <v>7000.0</v>
      </c>
      <c r="H1651" s="2">
        <v>1541.0</v>
      </c>
      <c r="I1651" s="2">
        <v>78122.0</v>
      </c>
      <c r="J1651" s="2">
        <v>70490.0</v>
      </c>
      <c r="K1651" s="2">
        <v>7632.0</v>
      </c>
    </row>
    <row r="1652">
      <c r="A1652" s="2">
        <v>2022.0</v>
      </c>
      <c r="B1652" s="1" t="s">
        <v>1297</v>
      </c>
      <c r="C1652" s="2" t="s">
        <v>641</v>
      </c>
      <c r="D1652" s="2" t="s">
        <v>656</v>
      </c>
      <c r="E1652" s="1" t="s">
        <v>420</v>
      </c>
      <c r="F1652" s="2">
        <v>1212094.0</v>
      </c>
      <c r="G1652" s="2">
        <v>0.0</v>
      </c>
      <c r="H1652" s="2">
        <v>46133.0</v>
      </c>
      <c r="I1652" s="2">
        <v>1258227.0</v>
      </c>
      <c r="J1652" s="2">
        <v>0.0</v>
      </c>
      <c r="K1652" s="2">
        <v>1258227.0</v>
      </c>
    </row>
    <row r="1653">
      <c r="A1653" s="2">
        <v>2022.0</v>
      </c>
      <c r="B1653" s="1" t="s">
        <v>1297</v>
      </c>
      <c r="C1653" s="2"/>
      <c r="D1653" s="2" t="s">
        <v>655</v>
      </c>
      <c r="E1653" s="1" t="s">
        <v>420</v>
      </c>
      <c r="F1653" s="2">
        <v>2358587.0</v>
      </c>
      <c r="G1653" s="2">
        <v>0.0</v>
      </c>
      <c r="H1653" s="2">
        <v>89770.0</v>
      </c>
      <c r="I1653" s="2">
        <v>2448357.0</v>
      </c>
      <c r="J1653" s="2">
        <v>0.0</v>
      </c>
      <c r="K1653" s="2">
        <v>2448357.0</v>
      </c>
    </row>
    <row r="1654">
      <c r="A1654" s="2">
        <v>2022.0</v>
      </c>
      <c r="B1654" s="1" t="s">
        <v>1297</v>
      </c>
      <c r="C1654" s="2"/>
      <c r="D1654" s="2" t="s">
        <v>1017</v>
      </c>
      <c r="E1654" s="1" t="s">
        <v>420</v>
      </c>
      <c r="F1654" s="2">
        <v>500627.0</v>
      </c>
      <c r="G1654" s="2">
        <v>0.0</v>
      </c>
      <c r="H1654" s="2">
        <v>19054.0</v>
      </c>
      <c r="I1654" s="2">
        <v>519681.0</v>
      </c>
      <c r="J1654" s="2">
        <v>0.0</v>
      </c>
      <c r="K1654" s="2">
        <v>519681.0</v>
      </c>
    </row>
    <row r="1655">
      <c r="A1655" s="2">
        <v>2022.0</v>
      </c>
      <c r="B1655" s="1" t="s">
        <v>1297</v>
      </c>
      <c r="C1655" s="2"/>
      <c r="D1655" s="2" t="s">
        <v>1313</v>
      </c>
      <c r="E1655" s="1" t="s">
        <v>420</v>
      </c>
      <c r="F1655" s="2">
        <v>2178529.0</v>
      </c>
      <c r="G1655" s="2">
        <v>0.0</v>
      </c>
      <c r="H1655" s="2">
        <v>82916.0</v>
      </c>
      <c r="I1655" s="2">
        <v>2261445.0</v>
      </c>
      <c r="J1655" s="2">
        <v>0.0</v>
      </c>
      <c r="K1655" s="2">
        <v>2261445.0</v>
      </c>
    </row>
    <row r="1656">
      <c r="A1656" s="2">
        <v>2022.0</v>
      </c>
      <c r="B1656" s="1" t="s">
        <v>1297</v>
      </c>
      <c r="C1656" s="2"/>
      <c r="D1656" s="2" t="s">
        <v>644</v>
      </c>
      <c r="E1656" s="1" t="s">
        <v>420</v>
      </c>
      <c r="F1656" s="2">
        <v>86901.0</v>
      </c>
      <c r="G1656" s="2">
        <v>0.0</v>
      </c>
      <c r="H1656" s="2">
        <v>3530.0</v>
      </c>
      <c r="I1656" s="2">
        <v>90431.0</v>
      </c>
      <c r="J1656" s="2">
        <v>0.0</v>
      </c>
      <c r="K1656" s="2">
        <v>90431.0</v>
      </c>
    </row>
    <row r="1657">
      <c r="A1657" s="2">
        <v>2022.0</v>
      </c>
      <c r="B1657" s="1" t="s">
        <v>1297</v>
      </c>
      <c r="C1657" s="2"/>
      <c r="D1657" s="2" t="s">
        <v>1023</v>
      </c>
      <c r="E1657" s="1" t="s">
        <v>420</v>
      </c>
      <c r="F1657" s="2">
        <v>347046.0</v>
      </c>
      <c r="G1657" s="2">
        <v>0.0</v>
      </c>
      <c r="H1657" s="2">
        <v>13209.0</v>
      </c>
      <c r="I1657" s="2">
        <v>360255.0</v>
      </c>
      <c r="J1657" s="2">
        <v>0.0</v>
      </c>
      <c r="K1657" s="2">
        <v>360255.0</v>
      </c>
    </row>
    <row r="1658">
      <c r="A1658" s="2">
        <v>2022.0</v>
      </c>
      <c r="B1658" s="1" t="s">
        <v>1297</v>
      </c>
      <c r="C1658" s="2"/>
      <c r="D1658" s="2" t="s">
        <v>658</v>
      </c>
      <c r="E1658" s="1" t="s">
        <v>420</v>
      </c>
      <c r="F1658" s="2">
        <v>2001343.0</v>
      </c>
      <c r="G1658" s="2">
        <v>0.0</v>
      </c>
      <c r="H1658" s="2">
        <v>76173.0</v>
      </c>
      <c r="I1658" s="2">
        <v>2077516.0</v>
      </c>
      <c r="J1658" s="2">
        <v>0.0</v>
      </c>
      <c r="K1658" s="2">
        <v>2077516.0</v>
      </c>
    </row>
    <row r="1659">
      <c r="A1659" s="2">
        <v>2022.0</v>
      </c>
      <c r="B1659" s="1" t="s">
        <v>1297</v>
      </c>
      <c r="C1659" s="2"/>
      <c r="D1659" s="2" t="s">
        <v>652</v>
      </c>
      <c r="E1659" s="1" t="s">
        <v>420</v>
      </c>
      <c r="F1659" s="2">
        <v>924627.0</v>
      </c>
      <c r="G1659" s="2">
        <v>0.0</v>
      </c>
      <c r="H1659" s="2">
        <v>35192.0</v>
      </c>
      <c r="I1659" s="2">
        <v>959819.0</v>
      </c>
      <c r="J1659" s="2">
        <v>0.0</v>
      </c>
      <c r="K1659" s="2">
        <v>959819.0</v>
      </c>
    </row>
    <row r="1660">
      <c r="A1660" s="2">
        <v>2022.0</v>
      </c>
      <c r="B1660" s="1" t="s">
        <v>1297</v>
      </c>
      <c r="C1660" s="2" t="s">
        <v>63</v>
      </c>
      <c r="D1660" s="2" t="s">
        <v>1348</v>
      </c>
      <c r="E1660" s="1" t="s">
        <v>420</v>
      </c>
      <c r="F1660" s="2">
        <v>40469.0</v>
      </c>
      <c r="G1660" s="2">
        <v>0.0</v>
      </c>
      <c r="H1660" s="2">
        <v>1540.0</v>
      </c>
      <c r="I1660" s="2">
        <v>42009.0</v>
      </c>
      <c r="J1660" s="2">
        <v>0.0</v>
      </c>
      <c r="K1660" s="2">
        <v>42009.0</v>
      </c>
    </row>
    <row r="1661">
      <c r="A1661" s="2">
        <v>2022.0</v>
      </c>
      <c r="B1661" s="1" t="s">
        <v>1297</v>
      </c>
      <c r="C1661" s="2"/>
      <c r="D1661" s="2" t="s">
        <v>1349</v>
      </c>
      <c r="E1661" s="1" t="s">
        <v>420</v>
      </c>
      <c r="F1661" s="2">
        <v>61247.0</v>
      </c>
      <c r="G1661" s="2">
        <v>0.0</v>
      </c>
      <c r="H1661" s="2">
        <v>2332.0</v>
      </c>
      <c r="I1661" s="2">
        <v>63579.0</v>
      </c>
      <c r="J1661" s="2">
        <v>0.0</v>
      </c>
      <c r="K1661" s="2">
        <v>63579.0</v>
      </c>
    </row>
    <row r="1662">
      <c r="A1662" s="2">
        <v>2022.0</v>
      </c>
      <c r="B1662" s="1" t="s">
        <v>1297</v>
      </c>
      <c r="C1662" s="2"/>
      <c r="D1662" s="2" t="s">
        <v>64</v>
      </c>
      <c r="E1662" s="1" t="s">
        <v>420</v>
      </c>
      <c r="F1662" s="2">
        <v>70015.0</v>
      </c>
      <c r="G1662" s="2">
        <v>0.0</v>
      </c>
      <c r="H1662" s="2">
        <v>2664.0</v>
      </c>
      <c r="I1662" s="2">
        <v>72679.0</v>
      </c>
      <c r="J1662" s="2">
        <v>0.0</v>
      </c>
      <c r="K1662" s="2">
        <v>72679.0</v>
      </c>
    </row>
    <row r="1663">
      <c r="A1663" s="2">
        <v>2022.0</v>
      </c>
      <c r="B1663" s="1" t="s">
        <v>1297</v>
      </c>
      <c r="C1663" s="2"/>
      <c r="D1663" s="2" t="s">
        <v>84</v>
      </c>
      <c r="E1663" s="1" t="s">
        <v>420</v>
      </c>
      <c r="F1663" s="2">
        <v>128127.0</v>
      </c>
      <c r="G1663" s="2">
        <v>0.0</v>
      </c>
      <c r="H1663" s="2">
        <v>1237.0</v>
      </c>
      <c r="I1663" s="2">
        <v>129364.0</v>
      </c>
      <c r="J1663" s="2">
        <v>127100.0</v>
      </c>
      <c r="K1663" s="2">
        <v>2264.0</v>
      </c>
    </row>
    <row r="1664">
      <c r="A1664" s="2">
        <v>2022.0</v>
      </c>
      <c r="B1664" s="1" t="s">
        <v>1297</v>
      </c>
      <c r="C1664" s="2"/>
      <c r="D1664" s="2" t="s">
        <v>101</v>
      </c>
      <c r="E1664" s="1" t="s">
        <v>420</v>
      </c>
      <c r="F1664" s="2">
        <v>198043.0</v>
      </c>
      <c r="G1664" s="2">
        <v>0.0</v>
      </c>
      <c r="H1664" s="2">
        <v>7537.0</v>
      </c>
      <c r="I1664" s="2">
        <v>205580.0</v>
      </c>
      <c r="J1664" s="2">
        <v>0.0</v>
      </c>
      <c r="K1664" s="2">
        <v>205580.0</v>
      </c>
    </row>
    <row r="1665">
      <c r="A1665" s="2">
        <v>2022.0</v>
      </c>
      <c r="B1665" s="1" t="s">
        <v>1297</v>
      </c>
      <c r="C1665" s="2"/>
      <c r="D1665" s="2" t="s">
        <v>77</v>
      </c>
      <c r="E1665" s="1" t="s">
        <v>420</v>
      </c>
      <c r="F1665" s="2">
        <v>165551.0</v>
      </c>
      <c r="G1665" s="2">
        <v>0.0</v>
      </c>
      <c r="H1665" s="2">
        <v>6301.0</v>
      </c>
      <c r="I1665" s="2">
        <v>171852.0</v>
      </c>
      <c r="J1665" s="2">
        <v>0.0</v>
      </c>
      <c r="K1665" s="2">
        <v>171852.0</v>
      </c>
    </row>
    <row r="1666">
      <c r="A1666" s="2">
        <v>2022.0</v>
      </c>
      <c r="B1666" s="1" t="s">
        <v>1297</v>
      </c>
      <c r="C1666" s="2"/>
      <c r="D1666" s="2" t="s">
        <v>89</v>
      </c>
      <c r="E1666" s="1" t="s">
        <v>420</v>
      </c>
      <c r="F1666" s="2">
        <v>73688.0</v>
      </c>
      <c r="G1666" s="2">
        <v>0.0</v>
      </c>
      <c r="H1666" s="2">
        <v>2804.0</v>
      </c>
      <c r="I1666" s="2">
        <v>76492.0</v>
      </c>
      <c r="J1666" s="2">
        <v>0.0</v>
      </c>
      <c r="K1666" s="2">
        <v>76492.0</v>
      </c>
    </row>
    <row r="1667">
      <c r="A1667" s="2">
        <v>2022.0</v>
      </c>
      <c r="B1667" s="1" t="s">
        <v>1297</v>
      </c>
      <c r="C1667" s="2"/>
      <c r="D1667" s="2" t="s">
        <v>63</v>
      </c>
      <c r="E1667" s="1" t="s">
        <v>420</v>
      </c>
      <c r="F1667" s="2">
        <v>623060.0</v>
      </c>
      <c r="G1667" s="2">
        <v>0.0</v>
      </c>
      <c r="H1667" s="2">
        <v>23714.0</v>
      </c>
      <c r="I1667" s="2">
        <v>646774.0</v>
      </c>
      <c r="J1667" s="2">
        <v>0.0</v>
      </c>
      <c r="K1667" s="2">
        <v>646774.0</v>
      </c>
    </row>
    <row r="1668">
      <c r="A1668" s="2">
        <v>2023.0</v>
      </c>
      <c r="B1668" s="1" t="s">
        <v>710</v>
      </c>
      <c r="C1668" s="2" t="s">
        <v>877</v>
      </c>
      <c r="D1668" s="2" t="s">
        <v>84</v>
      </c>
      <c r="E1668" s="2" t="s">
        <v>686</v>
      </c>
      <c r="F1668" s="2">
        <v>767533.0</v>
      </c>
      <c r="I1668" s="2">
        <v>2032398.0</v>
      </c>
      <c r="J1668" s="2">
        <v>307076.0</v>
      </c>
      <c r="K1668" s="2">
        <v>1725322.0</v>
      </c>
    </row>
    <row r="1669">
      <c r="A1669" s="2">
        <v>2023.0</v>
      </c>
      <c r="B1669" s="1" t="s">
        <v>710</v>
      </c>
      <c r="C1669" s="2"/>
      <c r="D1669" s="2"/>
      <c r="E1669" s="2" t="s">
        <v>32</v>
      </c>
      <c r="F1669" s="2">
        <v>111764.0</v>
      </c>
      <c r="I1669" s="2">
        <v>785211.0</v>
      </c>
      <c r="J1669" s="2">
        <v>256654.0</v>
      </c>
      <c r="K1669" s="2">
        <v>528557.0</v>
      </c>
    </row>
    <row r="1670">
      <c r="A1670" s="2">
        <v>2023.0</v>
      </c>
      <c r="B1670" s="1" t="s">
        <v>710</v>
      </c>
      <c r="C1670" s="2"/>
      <c r="D1670" s="2"/>
      <c r="E1670" s="2" t="s">
        <v>1356</v>
      </c>
      <c r="F1670" s="2">
        <v>1995013.0</v>
      </c>
      <c r="I1670" s="2">
        <v>3673028.0</v>
      </c>
      <c r="J1670" s="2">
        <v>2499011.0</v>
      </c>
      <c r="K1670" s="2">
        <v>1174017.0</v>
      </c>
    </row>
    <row r="1671">
      <c r="A1671" s="2">
        <v>2023.0</v>
      </c>
      <c r="B1671" s="1" t="s">
        <v>710</v>
      </c>
      <c r="C1671" s="2"/>
      <c r="D1671" s="2"/>
      <c r="E1671" s="2" t="s">
        <v>1357</v>
      </c>
      <c r="F1671" s="2">
        <v>223111.0</v>
      </c>
      <c r="I1671" s="2">
        <v>1527149.0</v>
      </c>
      <c r="J1671" s="2">
        <v>988700.0</v>
      </c>
      <c r="K1671" s="2">
        <v>538449.0</v>
      </c>
    </row>
    <row r="1672">
      <c r="A1672" s="2">
        <v>2023.0</v>
      </c>
      <c r="B1672" s="1" t="s">
        <v>710</v>
      </c>
      <c r="C1672" s="2"/>
      <c r="D1672" s="2" t="s">
        <v>612</v>
      </c>
      <c r="E1672" s="2" t="s">
        <v>1358</v>
      </c>
      <c r="F1672" s="2">
        <v>1266177.0</v>
      </c>
      <c r="I1672" s="2">
        <v>3720202.0</v>
      </c>
      <c r="J1672" s="2">
        <v>1103242.0</v>
      </c>
      <c r="K1672" s="2">
        <v>2616960.0</v>
      </c>
    </row>
    <row r="1673">
      <c r="A1673" s="2">
        <v>2023.0</v>
      </c>
      <c r="B1673" s="1" t="s">
        <v>710</v>
      </c>
      <c r="C1673" s="2"/>
      <c r="D1673" s="2"/>
      <c r="E1673" s="2" t="s">
        <v>1356</v>
      </c>
      <c r="F1673" s="2">
        <v>291466.0</v>
      </c>
      <c r="I1673" s="2">
        <v>1531134.0</v>
      </c>
      <c r="J1673" s="2">
        <v>1096602.0</v>
      </c>
      <c r="K1673" s="2">
        <v>434532.0</v>
      </c>
    </row>
    <row r="1674">
      <c r="A1674" s="2">
        <v>2023.0</v>
      </c>
      <c r="B1674" s="1" t="s">
        <v>710</v>
      </c>
      <c r="C1674" s="2"/>
      <c r="D1674" s="2"/>
      <c r="E1674" s="2" t="s">
        <v>32</v>
      </c>
      <c r="F1674" s="2">
        <v>184578.0</v>
      </c>
      <c r="I1674" s="2">
        <v>232613.0</v>
      </c>
      <c r="J1674" s="2">
        <v>22745.0</v>
      </c>
      <c r="K1674" s="2">
        <v>209868.0</v>
      </c>
    </row>
    <row r="1675">
      <c r="A1675" s="2">
        <v>2023.0</v>
      </c>
      <c r="B1675" s="1" t="s">
        <v>710</v>
      </c>
      <c r="C1675" s="2"/>
      <c r="D1675" s="2"/>
      <c r="E1675" s="2" t="s">
        <v>686</v>
      </c>
      <c r="F1675" s="2">
        <v>720794.0</v>
      </c>
      <c r="I1675" s="2">
        <v>1684326.0</v>
      </c>
      <c r="J1675" s="2">
        <v>913189.0</v>
      </c>
      <c r="K1675" s="2">
        <v>771137.0</v>
      </c>
    </row>
    <row r="1676">
      <c r="A1676" s="2">
        <v>2023.0</v>
      </c>
      <c r="B1676" s="1" t="s">
        <v>710</v>
      </c>
      <c r="C1676" s="2"/>
      <c r="D1676" s="2" t="s">
        <v>79</v>
      </c>
      <c r="E1676" s="2" t="s">
        <v>686</v>
      </c>
      <c r="F1676" s="2">
        <v>306362.0</v>
      </c>
      <c r="I1676" s="2">
        <v>1314397.0</v>
      </c>
      <c r="J1676" s="2">
        <v>380346.0</v>
      </c>
      <c r="K1676" s="2">
        <v>934051.0</v>
      </c>
    </row>
    <row r="1677">
      <c r="A1677" s="2">
        <v>2023.0</v>
      </c>
      <c r="B1677" s="1" t="s">
        <v>710</v>
      </c>
      <c r="C1677" s="2"/>
      <c r="D1677" s="2"/>
      <c r="E1677" s="2" t="s">
        <v>1359</v>
      </c>
      <c r="F1677" s="2">
        <v>1336374.0</v>
      </c>
      <c r="I1677" s="2">
        <v>4859777.0</v>
      </c>
      <c r="J1677" s="2">
        <v>2434987.0</v>
      </c>
      <c r="K1677" s="2">
        <v>2424790.0</v>
      </c>
    </row>
    <row r="1678">
      <c r="A1678" s="2">
        <v>2023.0</v>
      </c>
      <c r="B1678" s="1" t="s">
        <v>710</v>
      </c>
      <c r="C1678" s="2"/>
      <c r="D1678" s="2"/>
      <c r="E1678" s="2" t="s">
        <v>32</v>
      </c>
      <c r="F1678" s="2">
        <v>68704.0</v>
      </c>
      <c r="I1678" s="2">
        <v>134801.0</v>
      </c>
      <c r="J1678" s="2">
        <v>68019.0</v>
      </c>
      <c r="K1678" s="2">
        <v>66782.0</v>
      </c>
    </row>
    <row r="1679">
      <c r="A1679" s="2">
        <v>2023.0</v>
      </c>
      <c r="B1679" s="1" t="s">
        <v>710</v>
      </c>
      <c r="C1679" s="2"/>
      <c r="D1679" s="2" t="s">
        <v>892</v>
      </c>
      <c r="E1679" s="2" t="s">
        <v>686</v>
      </c>
      <c r="F1679" s="2">
        <v>358000.0</v>
      </c>
      <c r="I1679" s="2">
        <v>1792431.0</v>
      </c>
      <c r="J1679" s="2">
        <v>112934.0</v>
      </c>
      <c r="K1679" s="2">
        <v>1679497.0</v>
      </c>
    </row>
    <row r="1680">
      <c r="A1680" s="2">
        <v>2023.0</v>
      </c>
      <c r="B1680" s="1" t="s">
        <v>710</v>
      </c>
      <c r="C1680" s="2"/>
      <c r="D1680" s="2"/>
      <c r="E1680" s="2" t="s">
        <v>32</v>
      </c>
      <c r="F1680" s="2">
        <v>70801.0</v>
      </c>
      <c r="I1680" s="2">
        <v>95896.0</v>
      </c>
      <c r="J1680" s="2">
        <v>70000.0</v>
      </c>
      <c r="K1680" s="2">
        <v>25896.0</v>
      </c>
    </row>
    <row r="1681">
      <c r="A1681" s="2">
        <v>2023.0</v>
      </c>
      <c r="B1681" s="1" t="s">
        <v>710</v>
      </c>
      <c r="C1681" s="2"/>
      <c r="D1681" s="2"/>
      <c r="E1681" s="2" t="s">
        <v>1359</v>
      </c>
      <c r="F1681" s="2">
        <v>1799165.0</v>
      </c>
      <c r="I1681" s="2">
        <v>3462601.0</v>
      </c>
      <c r="J1681" s="2">
        <v>2631278.0</v>
      </c>
      <c r="K1681" s="2">
        <v>831323.0</v>
      </c>
    </row>
    <row r="1682">
      <c r="A1682" s="2">
        <v>2023.0</v>
      </c>
      <c r="B1682" s="1" t="s">
        <v>710</v>
      </c>
      <c r="C1682" s="2"/>
      <c r="D1682" s="2" t="s">
        <v>847</v>
      </c>
      <c r="E1682" s="2" t="s">
        <v>25</v>
      </c>
      <c r="F1682" s="2">
        <v>590988.0</v>
      </c>
      <c r="I1682" s="2">
        <v>1390705.0</v>
      </c>
      <c r="J1682" s="2">
        <v>200000.0</v>
      </c>
      <c r="K1682" s="2">
        <v>1190705.0</v>
      </c>
    </row>
    <row r="1683">
      <c r="A1683" s="2">
        <v>2023.0</v>
      </c>
      <c r="B1683" s="1" t="s">
        <v>710</v>
      </c>
      <c r="C1683" s="2"/>
      <c r="D1683" s="2"/>
      <c r="E1683" s="2" t="s">
        <v>228</v>
      </c>
      <c r="F1683" s="2">
        <v>1360354.0</v>
      </c>
      <c r="I1683" s="2">
        <v>3615591.0</v>
      </c>
      <c r="J1683" s="2">
        <v>2423102.0</v>
      </c>
      <c r="K1683" s="2">
        <v>1192489.0</v>
      </c>
    </row>
    <row r="1684">
      <c r="A1684" s="2">
        <v>2023.0</v>
      </c>
      <c r="B1684" s="1" t="s">
        <v>710</v>
      </c>
      <c r="C1684" s="2"/>
      <c r="D1684" s="2" t="s">
        <v>670</v>
      </c>
      <c r="E1684" s="2" t="s">
        <v>686</v>
      </c>
      <c r="F1684" s="2">
        <v>1103352.0</v>
      </c>
      <c r="I1684" s="2">
        <v>2594433.0</v>
      </c>
      <c r="J1684" s="2">
        <v>749597.0</v>
      </c>
      <c r="K1684" s="2">
        <v>1844836.0</v>
      </c>
    </row>
    <row r="1685">
      <c r="A1685" s="2">
        <v>2023.0</v>
      </c>
      <c r="B1685" s="1" t="s">
        <v>710</v>
      </c>
      <c r="C1685" s="2"/>
      <c r="D1685" s="2"/>
      <c r="E1685" s="2" t="s">
        <v>1359</v>
      </c>
      <c r="F1685" s="2">
        <v>1861668.0</v>
      </c>
      <c r="I1685" s="2">
        <v>5844075.0</v>
      </c>
      <c r="J1685" s="2">
        <v>2958257.0</v>
      </c>
      <c r="K1685" s="2">
        <v>2885818.0</v>
      </c>
    </row>
    <row r="1686">
      <c r="A1686" s="2">
        <v>2023.0</v>
      </c>
      <c r="B1686" s="1" t="s">
        <v>710</v>
      </c>
      <c r="C1686" s="2"/>
      <c r="D1686" s="2"/>
      <c r="E1686" s="2" t="s">
        <v>32</v>
      </c>
      <c r="F1686" s="2">
        <v>280346.0</v>
      </c>
      <c r="I1686" s="2">
        <v>323007.0</v>
      </c>
      <c r="J1686" s="2">
        <v>22740.0</v>
      </c>
      <c r="K1686" s="2">
        <v>300267.0</v>
      </c>
    </row>
    <row r="1687">
      <c r="A1687" s="2">
        <v>2023.0</v>
      </c>
      <c r="B1687" s="1" t="s">
        <v>710</v>
      </c>
      <c r="C1687" s="2"/>
      <c r="D1687" s="2" t="s">
        <v>604</v>
      </c>
      <c r="E1687" s="2" t="s">
        <v>686</v>
      </c>
      <c r="F1687" s="2">
        <v>621550.0</v>
      </c>
      <c r="I1687" s="2">
        <v>1462738.0</v>
      </c>
      <c r="J1687" s="2">
        <v>90000.0</v>
      </c>
      <c r="K1687" s="2">
        <v>1372738.0</v>
      </c>
    </row>
    <row r="1688">
      <c r="A1688" s="2">
        <v>2023.0</v>
      </c>
      <c r="B1688" s="1" t="s">
        <v>710</v>
      </c>
      <c r="C1688" s="2"/>
      <c r="D1688" s="2"/>
      <c r="E1688" s="2" t="s">
        <v>56</v>
      </c>
      <c r="F1688" s="2">
        <v>103872.0</v>
      </c>
      <c r="I1688" s="2">
        <v>1214195.0</v>
      </c>
      <c r="J1688" s="2">
        <v>656950.0</v>
      </c>
      <c r="K1688" s="2">
        <v>557245.0</v>
      </c>
    </row>
    <row r="1689">
      <c r="A1689" s="2">
        <v>2023.0</v>
      </c>
      <c r="B1689" s="1" t="s">
        <v>710</v>
      </c>
      <c r="C1689" s="2"/>
      <c r="D1689" s="2"/>
      <c r="E1689" s="2" t="s">
        <v>27</v>
      </c>
      <c r="F1689" s="2">
        <v>338849.0</v>
      </c>
      <c r="I1689" s="2">
        <v>1857391.0</v>
      </c>
      <c r="J1689" s="2">
        <v>1490406.0</v>
      </c>
      <c r="K1689" s="2">
        <v>366985.0</v>
      </c>
    </row>
    <row r="1690">
      <c r="A1690" s="2">
        <v>2023.0</v>
      </c>
      <c r="B1690" s="1" t="s">
        <v>710</v>
      </c>
      <c r="C1690" s="2"/>
      <c r="D1690" s="2"/>
      <c r="E1690" s="2" t="s">
        <v>32</v>
      </c>
      <c r="F1690" s="2">
        <v>378791.0</v>
      </c>
      <c r="I1690" s="2">
        <v>504189.0</v>
      </c>
      <c r="J1690" s="2">
        <v>173151.0</v>
      </c>
      <c r="K1690" s="2">
        <v>331038.0</v>
      </c>
    </row>
    <row r="1691">
      <c r="A1691" s="2">
        <v>2023.0</v>
      </c>
      <c r="B1691" s="1" t="s">
        <v>710</v>
      </c>
      <c r="C1691" s="2"/>
      <c r="D1691" s="2" t="s">
        <v>607</v>
      </c>
      <c r="E1691" s="2" t="s">
        <v>1361</v>
      </c>
      <c r="F1691" s="2">
        <v>3883654.0</v>
      </c>
      <c r="I1691" s="2">
        <v>6981460.0</v>
      </c>
      <c r="J1691" s="2">
        <v>3360861.0</v>
      </c>
      <c r="K1691" s="2">
        <v>3620599.0</v>
      </c>
    </row>
    <row r="1692">
      <c r="A1692" s="2">
        <v>2023.0</v>
      </c>
      <c r="B1692" s="1" t="s">
        <v>710</v>
      </c>
      <c r="C1692" s="2"/>
      <c r="D1692" s="2"/>
      <c r="E1692" s="2" t="s">
        <v>686</v>
      </c>
      <c r="F1692" s="2">
        <v>1891798.0</v>
      </c>
      <c r="I1692" s="2">
        <v>4422143.0</v>
      </c>
      <c r="J1692" s="2">
        <v>17.0</v>
      </c>
      <c r="K1692" s="2">
        <v>4422126.0</v>
      </c>
    </row>
    <row r="1693">
      <c r="A1693" s="2">
        <v>2023.0</v>
      </c>
      <c r="B1693" s="1" t="s">
        <v>710</v>
      </c>
      <c r="C1693" s="2" t="s">
        <v>753</v>
      </c>
      <c r="D1693" s="2" t="s">
        <v>1362</v>
      </c>
      <c r="E1693" s="2" t="s">
        <v>686</v>
      </c>
      <c r="F1693" s="2">
        <v>2640716.0</v>
      </c>
      <c r="I1693" s="2">
        <v>6187832.0</v>
      </c>
      <c r="J1693" s="2">
        <v>2452254.0</v>
      </c>
      <c r="K1693" s="2">
        <v>3735578.0</v>
      </c>
    </row>
    <row r="1694">
      <c r="A1694" s="2">
        <v>2023.0</v>
      </c>
      <c r="B1694" s="1" t="s">
        <v>710</v>
      </c>
      <c r="C1694" s="2"/>
      <c r="D1694" s="2"/>
      <c r="E1694" s="2" t="s">
        <v>32</v>
      </c>
      <c r="F1694" s="2">
        <v>0.0</v>
      </c>
      <c r="I1694" s="2">
        <v>2186843.0</v>
      </c>
      <c r="J1694" s="2">
        <v>1948055.0</v>
      </c>
      <c r="K1694" s="2">
        <v>238788.0</v>
      </c>
    </row>
    <row r="1695">
      <c r="A1695" s="2">
        <v>2023.0</v>
      </c>
      <c r="B1695" s="1" t="s">
        <v>710</v>
      </c>
      <c r="C1695" s="2"/>
      <c r="D1695" s="2"/>
      <c r="E1695" s="2" t="s">
        <v>1363</v>
      </c>
      <c r="F1695" s="2">
        <v>36958.0</v>
      </c>
      <c r="I1695" s="2">
        <v>192291.0</v>
      </c>
      <c r="J1695" s="2">
        <v>123000.0</v>
      </c>
      <c r="K1695" s="2">
        <v>69291.0</v>
      </c>
    </row>
    <row r="1696">
      <c r="A1696" s="2">
        <v>2023.0</v>
      </c>
      <c r="B1696" s="1" t="s">
        <v>710</v>
      </c>
      <c r="C1696" s="2"/>
      <c r="D1696" s="2"/>
      <c r="E1696" s="2" t="s">
        <v>1364</v>
      </c>
      <c r="F1696" s="2">
        <v>3304219.0</v>
      </c>
      <c r="I1696" s="2">
        <v>7505982.0</v>
      </c>
      <c r="J1696" s="2">
        <v>5481832.0</v>
      </c>
      <c r="K1696" s="2">
        <v>2024150.0</v>
      </c>
    </row>
    <row r="1697">
      <c r="A1697" s="2">
        <v>2023.0</v>
      </c>
      <c r="B1697" s="1" t="s">
        <v>710</v>
      </c>
      <c r="C1697" s="2"/>
      <c r="D1697" s="2" t="s">
        <v>758</v>
      </c>
      <c r="E1697" s="2" t="s">
        <v>1359</v>
      </c>
      <c r="F1697" s="2">
        <v>709137.0</v>
      </c>
      <c r="I1697" s="2">
        <v>2704137.0</v>
      </c>
      <c r="J1697" s="2">
        <v>1955199.0</v>
      </c>
      <c r="K1697" s="2">
        <v>748938.0</v>
      </c>
    </row>
    <row r="1698">
      <c r="A1698" s="2">
        <v>2023.0</v>
      </c>
      <c r="B1698" s="1" t="s">
        <v>710</v>
      </c>
      <c r="C1698" s="2"/>
      <c r="D1698" s="2"/>
      <c r="E1698" s="2" t="s">
        <v>32</v>
      </c>
      <c r="F1698" s="2">
        <v>43475.0</v>
      </c>
      <c r="I1698" s="2">
        <v>473143.0</v>
      </c>
      <c r="J1698" s="2">
        <v>303604.0</v>
      </c>
      <c r="K1698" s="2">
        <v>169539.0</v>
      </c>
    </row>
    <row r="1699">
      <c r="A1699" s="2">
        <v>2023.0</v>
      </c>
      <c r="B1699" s="1" t="s">
        <v>710</v>
      </c>
      <c r="C1699" s="2"/>
      <c r="D1699" s="2"/>
      <c r="E1699" s="2" t="s">
        <v>686</v>
      </c>
      <c r="F1699" s="2">
        <v>1614559.0</v>
      </c>
      <c r="I1699" s="2">
        <v>3788814.0</v>
      </c>
      <c r="J1699" s="2">
        <v>1653714.0</v>
      </c>
      <c r="K1699" s="2">
        <v>2135100.0</v>
      </c>
    </row>
    <row r="1700">
      <c r="A1700" s="2">
        <v>2023.0</v>
      </c>
      <c r="B1700" s="1" t="s">
        <v>710</v>
      </c>
      <c r="C1700" s="2"/>
      <c r="D1700" s="2"/>
      <c r="E1700" s="2" t="s">
        <v>124</v>
      </c>
      <c r="F1700" s="2">
        <v>176604.0</v>
      </c>
      <c r="I1700" s="2">
        <v>1361312.0</v>
      </c>
      <c r="J1700" s="2">
        <v>1285769.0</v>
      </c>
      <c r="K1700" s="2">
        <v>75543.0</v>
      </c>
    </row>
    <row r="1701">
      <c r="A1701" s="2">
        <v>2023.0</v>
      </c>
      <c r="B1701" s="1" t="s">
        <v>710</v>
      </c>
      <c r="C1701" s="2"/>
      <c r="D1701" s="2" t="s">
        <v>1365</v>
      </c>
      <c r="E1701" s="2" t="s">
        <v>686</v>
      </c>
      <c r="F1701" s="2">
        <v>1521974.0</v>
      </c>
      <c r="I1701" s="2">
        <v>3555562.0</v>
      </c>
      <c r="J1701" s="2">
        <v>1702371.0</v>
      </c>
      <c r="K1701" s="2">
        <v>1853191.0</v>
      </c>
    </row>
    <row r="1702">
      <c r="A1702" s="2">
        <v>2023.0</v>
      </c>
      <c r="B1702" s="1" t="s">
        <v>710</v>
      </c>
      <c r="C1702" s="2"/>
      <c r="D1702" s="2"/>
      <c r="E1702" s="2" t="s">
        <v>1364</v>
      </c>
      <c r="F1702" s="2">
        <v>205831.0</v>
      </c>
      <c r="I1702" s="2">
        <v>2233631.0</v>
      </c>
      <c r="J1702" s="2">
        <v>1987030.0</v>
      </c>
      <c r="K1702" s="2">
        <v>246601.0</v>
      </c>
    </row>
    <row r="1703">
      <c r="A1703" s="2">
        <v>2023.0</v>
      </c>
      <c r="B1703" s="1" t="s">
        <v>710</v>
      </c>
      <c r="C1703" s="2"/>
      <c r="D1703" s="2"/>
      <c r="E1703" s="2" t="s">
        <v>1366</v>
      </c>
      <c r="F1703" s="2">
        <v>33523.0</v>
      </c>
      <c r="I1703" s="2">
        <v>1028660.0</v>
      </c>
      <c r="J1703" s="2">
        <v>769192.0</v>
      </c>
      <c r="K1703" s="2">
        <v>259468.0</v>
      </c>
    </row>
    <row r="1704">
      <c r="A1704" s="2">
        <v>2023.0</v>
      </c>
      <c r="B1704" s="1" t="s">
        <v>710</v>
      </c>
      <c r="C1704" s="2"/>
      <c r="D1704" s="2" t="s">
        <v>984</v>
      </c>
      <c r="E1704" s="2" t="s">
        <v>686</v>
      </c>
      <c r="F1704" s="2">
        <v>2027769.0</v>
      </c>
      <c r="I1704" s="2">
        <v>4752845.0</v>
      </c>
      <c r="J1704" s="2">
        <v>3062824.0</v>
      </c>
      <c r="K1704" s="2">
        <v>1690021.0</v>
      </c>
    </row>
    <row r="1705">
      <c r="A1705" s="2">
        <v>2023.0</v>
      </c>
      <c r="B1705" s="1" t="s">
        <v>710</v>
      </c>
      <c r="C1705" s="2"/>
      <c r="D1705" s="2"/>
      <c r="E1705" s="2" t="s">
        <v>1367</v>
      </c>
      <c r="F1705" s="2">
        <v>706358.0</v>
      </c>
      <c r="I1705" s="2">
        <v>4530099.0</v>
      </c>
      <c r="J1705" s="2">
        <v>2575043.0</v>
      </c>
      <c r="K1705" s="2">
        <v>1955056.0</v>
      </c>
    </row>
    <row r="1706">
      <c r="A1706" s="2">
        <v>2023.0</v>
      </c>
      <c r="B1706" s="1" t="s">
        <v>710</v>
      </c>
      <c r="C1706" s="2"/>
      <c r="D1706" s="2"/>
      <c r="E1706" s="2" t="s">
        <v>32</v>
      </c>
      <c r="F1706" s="2">
        <v>420248.0</v>
      </c>
      <c r="I1706" s="2">
        <v>3931250.0</v>
      </c>
      <c r="J1706" s="2">
        <v>2529335.0</v>
      </c>
      <c r="K1706" s="2">
        <v>1401915.0</v>
      </c>
    </row>
    <row r="1707">
      <c r="A1707" s="2">
        <v>2023.0</v>
      </c>
      <c r="B1707" s="1" t="s">
        <v>710</v>
      </c>
      <c r="C1707" s="2" t="s">
        <v>623</v>
      </c>
      <c r="D1707" s="2" t="s">
        <v>818</v>
      </c>
      <c r="E1707" s="2" t="s">
        <v>686</v>
      </c>
      <c r="F1707" s="2">
        <v>458878.0</v>
      </c>
      <c r="I1707" s="2">
        <v>3217768.0</v>
      </c>
      <c r="J1707" s="2">
        <v>1570621.0</v>
      </c>
      <c r="K1707" s="2">
        <v>1647147.0</v>
      </c>
    </row>
    <row r="1708">
      <c r="A1708" s="2">
        <v>2023.0</v>
      </c>
      <c r="B1708" s="1" t="s">
        <v>710</v>
      </c>
      <c r="C1708" s="2"/>
      <c r="D1708" s="2"/>
      <c r="E1708" s="2" t="s">
        <v>32</v>
      </c>
      <c r="F1708" s="2">
        <v>217897.0</v>
      </c>
      <c r="I1708" s="2">
        <v>822126.0</v>
      </c>
      <c r="J1708" s="2">
        <v>334870.0</v>
      </c>
      <c r="K1708" s="2">
        <v>487256.0</v>
      </c>
    </row>
    <row r="1709">
      <c r="A1709" s="2">
        <v>2023.0</v>
      </c>
      <c r="B1709" s="1" t="s">
        <v>710</v>
      </c>
      <c r="C1709" s="2"/>
      <c r="D1709" s="2"/>
      <c r="E1709" s="2" t="s">
        <v>1367</v>
      </c>
      <c r="F1709" s="2">
        <v>1791874.0</v>
      </c>
      <c r="I1709" s="2">
        <v>6195968.0</v>
      </c>
      <c r="J1709" s="2">
        <v>4122186.0</v>
      </c>
      <c r="K1709" s="2">
        <v>2073782.0</v>
      </c>
    </row>
    <row r="1710">
      <c r="A1710" s="2">
        <v>2023.0</v>
      </c>
      <c r="B1710" s="1" t="s">
        <v>710</v>
      </c>
      <c r="C1710" s="2"/>
      <c r="D1710" s="2" t="s">
        <v>1260</v>
      </c>
      <c r="E1710" s="2" t="s">
        <v>686</v>
      </c>
      <c r="F1710" s="2">
        <v>1258412.0</v>
      </c>
      <c r="I1710" s="2">
        <v>2947201.0</v>
      </c>
      <c r="J1710" s="2">
        <v>510221.0</v>
      </c>
      <c r="K1710" s="2">
        <v>2436980.0</v>
      </c>
    </row>
    <row r="1711">
      <c r="A1711" s="2">
        <v>2023.0</v>
      </c>
      <c r="B1711" s="1" t="s">
        <v>710</v>
      </c>
      <c r="C1711" s="2"/>
      <c r="D1711" s="2"/>
      <c r="E1711" s="2" t="s">
        <v>1368</v>
      </c>
      <c r="F1711" s="2">
        <v>538962.0</v>
      </c>
      <c r="I1711" s="2">
        <v>2503481.0</v>
      </c>
      <c r="J1711" s="2">
        <v>1711702.0</v>
      </c>
      <c r="K1711" s="2">
        <v>791779.0</v>
      </c>
    </row>
    <row r="1712">
      <c r="A1712" s="2">
        <v>2023.0</v>
      </c>
      <c r="B1712" s="1" t="s">
        <v>710</v>
      </c>
      <c r="C1712" s="2"/>
      <c r="D1712" s="2"/>
      <c r="E1712" s="2" t="s">
        <v>32</v>
      </c>
      <c r="F1712" s="2">
        <v>67651.0</v>
      </c>
      <c r="I1712" s="2">
        <v>239213.0</v>
      </c>
      <c r="J1712" s="2">
        <v>40000.0</v>
      </c>
      <c r="K1712" s="2">
        <v>199213.0</v>
      </c>
    </row>
    <row r="1713">
      <c r="A1713" s="2">
        <v>2023.0</v>
      </c>
      <c r="B1713" s="1" t="s">
        <v>710</v>
      </c>
      <c r="C1713" s="2"/>
      <c r="D1713" s="2" t="s">
        <v>953</v>
      </c>
      <c r="E1713" s="2" t="s">
        <v>686</v>
      </c>
      <c r="F1713" s="2">
        <v>240494.0</v>
      </c>
      <c r="I1713" s="2">
        <v>841958.0</v>
      </c>
      <c r="J1713" s="2">
        <v>0.0</v>
      </c>
      <c r="K1713" s="2">
        <v>841958.0</v>
      </c>
    </row>
    <row r="1714">
      <c r="A1714" s="2">
        <v>2023.0</v>
      </c>
      <c r="B1714" s="1" t="s">
        <v>710</v>
      </c>
      <c r="C1714" s="2"/>
      <c r="D1714" s="2"/>
      <c r="E1714" s="2" t="s">
        <v>394</v>
      </c>
      <c r="F1714" s="2">
        <v>440122.0</v>
      </c>
      <c r="I1714" s="2">
        <v>1903661.0</v>
      </c>
      <c r="J1714" s="2">
        <v>1289831.0</v>
      </c>
      <c r="K1714" s="2">
        <v>613830.0</v>
      </c>
    </row>
    <row r="1715">
      <c r="A1715" s="2">
        <v>2023.0</v>
      </c>
      <c r="B1715" s="1" t="s">
        <v>710</v>
      </c>
      <c r="C1715" s="2"/>
      <c r="D1715" s="2" t="s">
        <v>623</v>
      </c>
      <c r="E1715" s="2" t="s">
        <v>686</v>
      </c>
      <c r="F1715" s="2">
        <v>1086996.0</v>
      </c>
      <c r="I1715" s="2">
        <v>3014433.0</v>
      </c>
      <c r="J1715" s="2">
        <v>1179505.0</v>
      </c>
      <c r="K1715" s="2">
        <v>1834928.0</v>
      </c>
    </row>
    <row r="1716">
      <c r="A1716" s="2">
        <v>2023.0</v>
      </c>
      <c r="B1716" s="1" t="s">
        <v>710</v>
      </c>
      <c r="C1716" s="2"/>
      <c r="D1716" s="2"/>
      <c r="E1716" s="2" t="s">
        <v>394</v>
      </c>
      <c r="F1716" s="2">
        <v>167301.0</v>
      </c>
      <c r="I1716" s="2">
        <v>3331390.0</v>
      </c>
      <c r="J1716" s="2">
        <v>2554418.0</v>
      </c>
      <c r="K1716" s="2">
        <v>776972.0</v>
      </c>
    </row>
    <row r="1717">
      <c r="A1717" s="2">
        <v>2023.0</v>
      </c>
      <c r="B1717" s="1" t="s">
        <v>710</v>
      </c>
      <c r="C1717" s="2"/>
      <c r="D1717" s="2" t="s">
        <v>1369</v>
      </c>
      <c r="E1717" s="2" t="s">
        <v>686</v>
      </c>
      <c r="F1717" s="2">
        <v>1109223.0</v>
      </c>
      <c r="I1717" s="2">
        <v>2267122.0</v>
      </c>
      <c r="J1717" s="2">
        <v>883000.0</v>
      </c>
      <c r="K1717" s="2">
        <v>1384122.0</v>
      </c>
    </row>
    <row r="1718">
      <c r="A1718" s="2">
        <v>2023.0</v>
      </c>
      <c r="B1718" s="1" t="s">
        <v>710</v>
      </c>
      <c r="C1718" s="2"/>
      <c r="D1718" s="2"/>
      <c r="E1718" s="2" t="s">
        <v>394</v>
      </c>
      <c r="F1718" s="2">
        <v>288889.0</v>
      </c>
      <c r="I1718" s="2">
        <v>2049808.0</v>
      </c>
      <c r="J1718" s="2">
        <v>1490055.0</v>
      </c>
      <c r="K1718" s="2">
        <v>559753.0</v>
      </c>
    </row>
    <row r="1719">
      <c r="A1719" s="2">
        <v>2023.0</v>
      </c>
      <c r="B1719" s="1" t="s">
        <v>710</v>
      </c>
      <c r="C1719" s="2"/>
      <c r="D1719" s="2" t="s">
        <v>979</v>
      </c>
      <c r="E1719" s="2" t="s">
        <v>686</v>
      </c>
      <c r="F1719" s="2">
        <v>728793.0</v>
      </c>
      <c r="I1719" s="2">
        <v>1784291.0</v>
      </c>
      <c r="J1719" s="2">
        <v>0.0</v>
      </c>
      <c r="K1719" s="2">
        <v>1784291.0</v>
      </c>
    </row>
    <row r="1720">
      <c r="A1720" s="2">
        <v>2023.0</v>
      </c>
      <c r="B1720" s="1" t="s">
        <v>710</v>
      </c>
      <c r="C1720" s="2"/>
      <c r="D1720" s="2"/>
      <c r="E1720" s="2" t="s">
        <v>1370</v>
      </c>
      <c r="F1720" s="2">
        <v>488035.0</v>
      </c>
      <c r="I1720" s="2">
        <v>3180231.0</v>
      </c>
      <c r="J1720" s="2">
        <v>2063194.0</v>
      </c>
      <c r="K1720" s="2">
        <v>1117037.0</v>
      </c>
    </row>
    <row r="1721">
      <c r="A1721" s="2">
        <v>2023.0</v>
      </c>
      <c r="B1721" s="1" t="s">
        <v>710</v>
      </c>
      <c r="C1721" s="2"/>
      <c r="D1721" s="2"/>
      <c r="E1721" s="2" t="s">
        <v>32</v>
      </c>
      <c r="F1721" s="2">
        <v>34409.0</v>
      </c>
      <c r="I1721" s="2">
        <v>75249.0</v>
      </c>
      <c r="J1721" s="2">
        <v>55441.0</v>
      </c>
      <c r="K1721" s="2">
        <v>19808.0</v>
      </c>
    </row>
    <row r="1722">
      <c r="A1722" s="2">
        <v>2023.0</v>
      </c>
      <c r="B1722" s="1" t="s">
        <v>710</v>
      </c>
      <c r="C1722" s="2"/>
      <c r="D1722" s="2" t="s">
        <v>1202</v>
      </c>
      <c r="E1722" s="2" t="s">
        <v>686</v>
      </c>
      <c r="F1722" s="2">
        <v>278138.0</v>
      </c>
      <c r="I1722" s="2">
        <v>1960529.0</v>
      </c>
      <c r="J1722" s="2">
        <v>337664.0</v>
      </c>
      <c r="K1722" s="2">
        <v>1622865.0</v>
      </c>
    </row>
    <row r="1723">
      <c r="A1723" s="2">
        <v>2023.0</v>
      </c>
      <c r="B1723" s="1" t="s">
        <v>710</v>
      </c>
      <c r="C1723" s="2"/>
      <c r="D1723" s="2"/>
      <c r="E1723" s="2" t="s">
        <v>32</v>
      </c>
      <c r="F1723" s="2">
        <v>2800.0</v>
      </c>
      <c r="I1723" s="2">
        <v>163265.0</v>
      </c>
      <c r="J1723" s="2">
        <v>120000.0</v>
      </c>
      <c r="K1723" s="2">
        <v>43265.0</v>
      </c>
    </row>
    <row r="1724">
      <c r="A1724" s="2">
        <v>2023.0</v>
      </c>
      <c r="B1724" s="1" t="s">
        <v>710</v>
      </c>
      <c r="C1724" s="2"/>
      <c r="D1724" s="2"/>
      <c r="E1724" s="2" t="s">
        <v>56</v>
      </c>
      <c r="F1724" s="2">
        <v>1281613.0</v>
      </c>
      <c r="I1724" s="2">
        <v>3618799.0</v>
      </c>
      <c r="J1724" s="2">
        <v>2883349.0</v>
      </c>
      <c r="K1724" s="2">
        <v>735450.0</v>
      </c>
    </row>
    <row r="1725">
      <c r="A1725" s="2">
        <v>2023.0</v>
      </c>
      <c r="B1725" s="1" t="s">
        <v>710</v>
      </c>
      <c r="C1725" s="2"/>
      <c r="D1725" s="2" t="s">
        <v>815</v>
      </c>
      <c r="E1725" s="2" t="s">
        <v>686</v>
      </c>
      <c r="F1725" s="2">
        <v>834461.0</v>
      </c>
      <c r="I1725" s="2">
        <v>1963684.0</v>
      </c>
      <c r="J1725" s="2">
        <v>538925.0</v>
      </c>
      <c r="K1725" s="2">
        <v>1424759.0</v>
      </c>
    </row>
    <row r="1726">
      <c r="A1726" s="2">
        <v>2023.0</v>
      </c>
      <c r="B1726" s="1" t="s">
        <v>710</v>
      </c>
      <c r="C1726" s="2"/>
      <c r="D1726" s="2"/>
      <c r="E1726" s="2" t="s">
        <v>32</v>
      </c>
      <c r="F1726" s="2">
        <v>0.0</v>
      </c>
      <c r="I1726" s="2">
        <v>20233.0</v>
      </c>
      <c r="J1726" s="2">
        <v>0.0</v>
      </c>
      <c r="K1726" s="2">
        <v>20233.0</v>
      </c>
    </row>
    <row r="1727">
      <c r="A1727" s="2">
        <v>2023.0</v>
      </c>
      <c r="B1727" s="1" t="s">
        <v>710</v>
      </c>
      <c r="C1727" s="2"/>
      <c r="D1727" s="2"/>
      <c r="E1727" s="2" t="s">
        <v>394</v>
      </c>
      <c r="F1727" s="2">
        <v>240433.0</v>
      </c>
      <c r="I1727" s="2">
        <v>2365460.0</v>
      </c>
      <c r="J1727" s="2">
        <v>1992177.0</v>
      </c>
      <c r="K1727" s="2">
        <v>373283.0</v>
      </c>
    </row>
    <row r="1728">
      <c r="A1728" s="2">
        <v>2023.0</v>
      </c>
      <c r="B1728" s="1" t="s">
        <v>710</v>
      </c>
      <c r="C1728" s="2" t="s">
        <v>941</v>
      </c>
      <c r="D1728" s="2" t="s">
        <v>1294</v>
      </c>
      <c r="E1728" s="2" t="s">
        <v>686</v>
      </c>
      <c r="F1728" s="2">
        <v>2673374.0</v>
      </c>
      <c r="I1728" s="2">
        <v>6228807.0</v>
      </c>
      <c r="J1728" s="2">
        <v>3097973.0</v>
      </c>
      <c r="K1728" s="2">
        <v>3130834.0</v>
      </c>
    </row>
    <row r="1729">
      <c r="A1729" s="2">
        <v>2023.0</v>
      </c>
      <c r="B1729" s="1" t="s">
        <v>710</v>
      </c>
      <c r="C1729" s="2"/>
      <c r="D1729" s="2"/>
      <c r="E1729" s="2" t="s">
        <v>394</v>
      </c>
      <c r="F1729" s="2">
        <v>3153131.0</v>
      </c>
      <c r="I1729" s="2">
        <v>7955846.0</v>
      </c>
      <c r="J1729" s="2">
        <v>5278685.0</v>
      </c>
      <c r="K1729" s="2">
        <v>2677161.0</v>
      </c>
    </row>
    <row r="1730">
      <c r="A1730" s="2">
        <v>2023.0</v>
      </c>
      <c r="B1730" s="1" t="s">
        <v>710</v>
      </c>
      <c r="C1730" s="2"/>
      <c r="D1730" s="2" t="s">
        <v>1371</v>
      </c>
      <c r="E1730" s="2" t="s">
        <v>686</v>
      </c>
      <c r="F1730" s="2">
        <v>1344769.0</v>
      </c>
      <c r="I1730" s="2">
        <v>3140775.0</v>
      </c>
      <c r="J1730" s="2">
        <v>1273580.0</v>
      </c>
      <c r="K1730" s="2">
        <v>1867195.0</v>
      </c>
    </row>
    <row r="1731">
      <c r="A1731" s="2">
        <v>2023.0</v>
      </c>
      <c r="B1731" s="1" t="s">
        <v>710</v>
      </c>
      <c r="C1731" s="2"/>
      <c r="D1731" s="2"/>
      <c r="E1731" s="2" t="s">
        <v>228</v>
      </c>
      <c r="F1731" s="2">
        <v>1705093.0</v>
      </c>
      <c r="I1731" s="2">
        <v>4827468.0</v>
      </c>
      <c r="J1731" s="2">
        <v>2961214.0</v>
      </c>
      <c r="K1731" s="2">
        <v>1866254.0</v>
      </c>
    </row>
    <row r="1732">
      <c r="A1732" s="2">
        <v>2023.0</v>
      </c>
      <c r="B1732" s="1" t="s">
        <v>710</v>
      </c>
      <c r="C1732" s="2"/>
      <c r="D1732" s="2" t="s">
        <v>1189</v>
      </c>
      <c r="E1732" s="2" t="s">
        <v>32</v>
      </c>
      <c r="F1732" s="2">
        <v>54025.0</v>
      </c>
      <c r="I1732" s="2">
        <v>273240.0</v>
      </c>
      <c r="J1732" s="2">
        <v>232756.0</v>
      </c>
      <c r="K1732" s="2">
        <v>40484.0</v>
      </c>
    </row>
    <row r="1733">
      <c r="A1733" s="2">
        <v>2023.0</v>
      </c>
      <c r="B1733" s="1" t="s">
        <v>710</v>
      </c>
      <c r="C1733" s="2"/>
      <c r="D1733" s="2"/>
      <c r="E1733" s="2" t="s">
        <v>1372</v>
      </c>
      <c r="F1733" s="2">
        <v>4436758.0</v>
      </c>
      <c r="I1733" s="2">
        <v>7416377.0</v>
      </c>
      <c r="J1733" s="2">
        <v>4220314.0</v>
      </c>
      <c r="K1733" s="2">
        <v>3196063.0</v>
      </c>
    </row>
    <row r="1734">
      <c r="A1734" s="2">
        <v>2023.0</v>
      </c>
      <c r="B1734" s="1" t="s">
        <v>710</v>
      </c>
      <c r="C1734" s="2"/>
      <c r="D1734" s="2"/>
      <c r="E1734" s="2" t="s">
        <v>686</v>
      </c>
      <c r="F1734" s="2">
        <v>1641642.0</v>
      </c>
      <c r="I1734" s="2">
        <v>3856249.0</v>
      </c>
      <c r="J1734" s="2">
        <v>1444339.0</v>
      </c>
      <c r="K1734" s="2">
        <v>2411910.0</v>
      </c>
    </row>
    <row r="1735">
      <c r="A1735" s="2">
        <v>2023.0</v>
      </c>
      <c r="B1735" s="1" t="s">
        <v>710</v>
      </c>
      <c r="C1735" s="2"/>
      <c r="D1735" s="2" t="s">
        <v>948</v>
      </c>
      <c r="E1735" s="2" t="s">
        <v>345</v>
      </c>
      <c r="F1735" s="2">
        <v>4589368.0</v>
      </c>
      <c r="I1735" s="2">
        <v>6624774.0</v>
      </c>
      <c r="J1735" s="2">
        <v>2310335.0</v>
      </c>
      <c r="K1735" s="2">
        <v>4314439.0</v>
      </c>
    </row>
    <row r="1736">
      <c r="A1736" s="2">
        <v>2023.0</v>
      </c>
      <c r="B1736" s="1" t="s">
        <v>710</v>
      </c>
      <c r="C1736" s="2"/>
      <c r="D1736" s="2"/>
      <c r="E1736" s="2" t="s">
        <v>27</v>
      </c>
      <c r="F1736" s="2">
        <v>215287.0</v>
      </c>
      <c r="I1736" s="2">
        <v>1689321.0</v>
      </c>
      <c r="J1736" s="2">
        <v>1517210.0</v>
      </c>
      <c r="K1736" s="2">
        <v>172111.0</v>
      </c>
    </row>
    <row r="1737">
      <c r="A1737" s="2">
        <v>2023.0</v>
      </c>
      <c r="B1737" s="1" t="s">
        <v>710</v>
      </c>
      <c r="C1737" s="2"/>
      <c r="D1737" s="2"/>
      <c r="E1737" s="2" t="s">
        <v>686</v>
      </c>
      <c r="F1737" s="2">
        <v>1411599.0</v>
      </c>
      <c r="I1737" s="2">
        <v>3311539.0</v>
      </c>
      <c r="J1737" s="2">
        <v>17.0</v>
      </c>
      <c r="K1737" s="2">
        <v>3311522.0</v>
      </c>
    </row>
    <row r="1738">
      <c r="A1738" s="2">
        <v>2023.0</v>
      </c>
      <c r="B1738" s="1" t="s">
        <v>710</v>
      </c>
      <c r="C1738" s="2"/>
      <c r="D1738" s="2" t="s">
        <v>1193</v>
      </c>
      <c r="E1738" s="2" t="s">
        <v>686</v>
      </c>
      <c r="F1738" s="2">
        <v>871286.0</v>
      </c>
      <c r="I1738" s="2">
        <v>2045356.0</v>
      </c>
      <c r="J1738" s="2">
        <v>72.0</v>
      </c>
      <c r="K1738" s="2">
        <v>2045284.0</v>
      </c>
    </row>
    <row r="1739">
      <c r="A1739" s="2">
        <v>2023.0</v>
      </c>
      <c r="B1739" s="1" t="s">
        <v>710</v>
      </c>
      <c r="C1739" s="2"/>
      <c r="D1739" s="2"/>
      <c r="E1739" s="2" t="s">
        <v>1368</v>
      </c>
      <c r="F1739" s="2">
        <v>1891186.0</v>
      </c>
      <c r="I1739" s="2">
        <v>5056502.0</v>
      </c>
      <c r="J1739" s="2">
        <v>2631720.0</v>
      </c>
      <c r="K1739" s="2">
        <v>2424782.0</v>
      </c>
    </row>
    <row r="1740">
      <c r="A1740" s="2">
        <v>2023.0</v>
      </c>
      <c r="B1740" s="1" t="s">
        <v>710</v>
      </c>
      <c r="C1740" s="2"/>
      <c r="D1740" s="2" t="s">
        <v>1374</v>
      </c>
      <c r="E1740" s="2" t="s">
        <v>32</v>
      </c>
      <c r="F1740" s="2">
        <v>246499.0</v>
      </c>
      <c r="I1740" s="2">
        <v>432279.0</v>
      </c>
      <c r="J1740" s="2">
        <v>334118.0</v>
      </c>
      <c r="K1740" s="2">
        <v>98161.0</v>
      </c>
    </row>
    <row r="1741">
      <c r="A1741" s="2">
        <v>2023.0</v>
      </c>
      <c r="B1741" s="1" t="s">
        <v>710</v>
      </c>
      <c r="C1741" s="2"/>
      <c r="D1741" s="2"/>
      <c r="E1741" s="2" t="s">
        <v>686</v>
      </c>
      <c r="F1741" s="2">
        <v>2242000.0</v>
      </c>
      <c r="I1741" s="2">
        <v>6800630.0</v>
      </c>
      <c r="J1741" s="2">
        <v>1950790.0</v>
      </c>
      <c r="K1741" s="2">
        <v>4849840.0</v>
      </c>
    </row>
    <row r="1742">
      <c r="A1742" s="2">
        <v>2023.0</v>
      </c>
      <c r="B1742" s="1" t="s">
        <v>710</v>
      </c>
      <c r="C1742" s="2"/>
      <c r="D1742" s="2"/>
      <c r="E1742" s="2" t="s">
        <v>1367</v>
      </c>
      <c r="F1742" s="2">
        <v>2280429.0</v>
      </c>
      <c r="I1742" s="2">
        <v>7230617.0</v>
      </c>
      <c r="J1742" s="2">
        <v>2992418.0</v>
      </c>
      <c r="K1742" s="2">
        <v>4238199.0</v>
      </c>
    </row>
    <row r="1743">
      <c r="A1743" s="2">
        <v>2023.0</v>
      </c>
      <c r="B1743" s="1" t="s">
        <v>710</v>
      </c>
      <c r="C1743" s="2"/>
      <c r="D1743" s="2" t="s">
        <v>1188</v>
      </c>
      <c r="E1743" s="2" t="s">
        <v>1364</v>
      </c>
      <c r="F1743" s="2">
        <v>4436758.0</v>
      </c>
      <c r="I1743" s="2">
        <v>7379033.0</v>
      </c>
      <c r="J1743" s="2">
        <v>4182970.0</v>
      </c>
      <c r="K1743" s="2">
        <v>3196063.0</v>
      </c>
    </row>
    <row r="1744">
      <c r="A1744" s="2">
        <v>2023.0</v>
      </c>
      <c r="B1744" s="1" t="s">
        <v>710</v>
      </c>
      <c r="C1744" s="2"/>
      <c r="D1744" s="2"/>
      <c r="E1744" s="2" t="s">
        <v>686</v>
      </c>
      <c r="F1744" s="2">
        <v>1579029.0</v>
      </c>
      <c r="I1744" s="2">
        <v>3677588.0</v>
      </c>
      <c r="J1744" s="2">
        <v>1982444.0</v>
      </c>
      <c r="K1744" s="2">
        <v>1695144.0</v>
      </c>
    </row>
    <row r="1745">
      <c r="A1745" s="2">
        <v>2023.0</v>
      </c>
      <c r="B1745" s="1" t="s">
        <v>710</v>
      </c>
      <c r="C1745" s="2"/>
      <c r="D1745" s="2"/>
      <c r="E1745" s="2" t="s">
        <v>56</v>
      </c>
      <c r="F1745" s="2">
        <v>2176758.0</v>
      </c>
      <c r="I1745" s="2">
        <v>4836837.0</v>
      </c>
      <c r="J1745" s="2">
        <v>2785651.0</v>
      </c>
      <c r="K1745" s="2">
        <v>2051186.0</v>
      </c>
    </row>
    <row r="1746">
      <c r="A1746" s="2">
        <v>2023.0</v>
      </c>
      <c r="B1746" s="1" t="s">
        <v>710</v>
      </c>
      <c r="C1746" s="2" t="s">
        <v>176</v>
      </c>
      <c r="D1746" s="2" t="s">
        <v>1246</v>
      </c>
      <c r="E1746" s="2" t="s">
        <v>1375</v>
      </c>
      <c r="F1746" s="2">
        <v>3616717.0</v>
      </c>
      <c r="I1746" s="2">
        <v>7856404.0</v>
      </c>
      <c r="J1746" s="2">
        <v>4683862.0</v>
      </c>
      <c r="K1746" s="2">
        <v>3172542.0</v>
      </c>
    </row>
    <row r="1747">
      <c r="A1747" s="2">
        <v>2023.0</v>
      </c>
      <c r="B1747" s="1" t="s">
        <v>710</v>
      </c>
      <c r="C1747" s="2"/>
      <c r="D1747" s="2"/>
      <c r="E1747" s="2" t="s">
        <v>25</v>
      </c>
      <c r="F1747" s="2">
        <v>721185.0</v>
      </c>
      <c r="I1747" s="2">
        <v>2537654.0</v>
      </c>
      <c r="J1747" s="2">
        <v>88.0</v>
      </c>
      <c r="K1747" s="2">
        <v>2537566.0</v>
      </c>
    </row>
    <row r="1748">
      <c r="A1748" s="2">
        <v>2023.0</v>
      </c>
      <c r="B1748" s="1" t="s">
        <v>710</v>
      </c>
      <c r="C1748" s="2"/>
      <c r="D1748" s="2"/>
      <c r="E1748" s="2" t="s">
        <v>32</v>
      </c>
      <c r="F1748" s="2">
        <v>243803.0</v>
      </c>
      <c r="I1748" s="2">
        <v>390424.0</v>
      </c>
      <c r="J1748" s="2">
        <v>97150.0</v>
      </c>
      <c r="K1748" s="2">
        <v>293274.0</v>
      </c>
    </row>
    <row r="1749">
      <c r="A1749" s="2">
        <v>2023.0</v>
      </c>
      <c r="B1749" s="1" t="s">
        <v>710</v>
      </c>
      <c r="C1749" s="2"/>
      <c r="D1749" s="2" t="s">
        <v>1310</v>
      </c>
      <c r="E1749" s="2" t="s">
        <v>1376</v>
      </c>
      <c r="F1749" s="2">
        <v>1019810.0</v>
      </c>
      <c r="I1749" s="2">
        <v>3642433.0</v>
      </c>
      <c r="J1749" s="2">
        <v>1572525.0</v>
      </c>
      <c r="K1749" s="2">
        <v>2069908.0</v>
      </c>
    </row>
    <row r="1750">
      <c r="A1750" s="2">
        <v>2023.0</v>
      </c>
      <c r="B1750" s="1" t="s">
        <v>710</v>
      </c>
      <c r="C1750" s="2"/>
      <c r="D1750" s="2"/>
      <c r="E1750" s="2" t="s">
        <v>32</v>
      </c>
      <c r="F1750" s="2">
        <v>65429.0</v>
      </c>
      <c r="I1750" s="2">
        <v>99271.0</v>
      </c>
      <c r="J1750" s="2">
        <v>15000.0</v>
      </c>
      <c r="K1750" s="2">
        <v>84271.0</v>
      </c>
    </row>
    <row r="1751">
      <c r="A1751" s="2">
        <v>2023.0</v>
      </c>
      <c r="B1751" s="1" t="s">
        <v>710</v>
      </c>
      <c r="C1751" s="2"/>
      <c r="D1751" s="2"/>
      <c r="E1751" s="2" t="s">
        <v>25</v>
      </c>
      <c r="F1751" s="2">
        <v>632212.0</v>
      </c>
      <c r="I1751" s="2">
        <v>1618812.0</v>
      </c>
      <c r="J1751" s="2">
        <v>0.0</v>
      </c>
      <c r="K1751" s="2">
        <v>1618812.0</v>
      </c>
    </row>
    <row r="1752">
      <c r="A1752" s="2">
        <v>2023.0</v>
      </c>
      <c r="B1752" s="1" t="s">
        <v>710</v>
      </c>
      <c r="C1752" s="2"/>
      <c r="D1752" s="2" t="s">
        <v>176</v>
      </c>
      <c r="E1752" s="2" t="s">
        <v>1377</v>
      </c>
      <c r="F1752" s="2">
        <v>3026558.0</v>
      </c>
      <c r="I1752" s="2">
        <v>6113629.0</v>
      </c>
      <c r="J1752" s="2">
        <v>3570029.0</v>
      </c>
      <c r="K1752" s="2">
        <v>2543600.0</v>
      </c>
    </row>
    <row r="1753">
      <c r="A1753" s="2">
        <v>2023.0</v>
      </c>
      <c r="B1753" s="1" t="s">
        <v>710</v>
      </c>
      <c r="C1753" s="2"/>
      <c r="D1753" s="2"/>
      <c r="E1753" s="2" t="s">
        <v>32</v>
      </c>
      <c r="F1753" s="2">
        <v>102936.0</v>
      </c>
      <c r="I1753" s="2">
        <v>266709.0</v>
      </c>
      <c r="J1753" s="2">
        <v>102050.0</v>
      </c>
      <c r="K1753" s="2">
        <v>164659.0</v>
      </c>
    </row>
    <row r="1754">
      <c r="A1754" s="2">
        <v>2023.0</v>
      </c>
      <c r="B1754" s="1" t="s">
        <v>710</v>
      </c>
      <c r="C1754" s="2" t="s">
        <v>966</v>
      </c>
      <c r="D1754" s="2" t="s">
        <v>961</v>
      </c>
      <c r="E1754" s="2" t="s">
        <v>1378</v>
      </c>
      <c r="F1754" s="2">
        <v>141726.0</v>
      </c>
      <c r="I1754" s="2">
        <v>3438252.0</v>
      </c>
      <c r="J1754" s="2">
        <v>2592416.0</v>
      </c>
      <c r="K1754" s="2">
        <v>845836.0</v>
      </c>
    </row>
    <row r="1755">
      <c r="A1755" s="2">
        <v>2023.0</v>
      </c>
      <c r="B1755" s="1" t="s">
        <v>710</v>
      </c>
      <c r="C1755" s="2"/>
      <c r="D1755" s="2"/>
      <c r="E1755" s="2" t="s">
        <v>25</v>
      </c>
      <c r="F1755" s="2">
        <v>539517.0</v>
      </c>
      <c r="I1755" s="2">
        <v>1266937.0</v>
      </c>
      <c r="J1755" s="2">
        <v>303411.0</v>
      </c>
      <c r="K1755" s="2">
        <v>963526.0</v>
      </c>
    </row>
    <row r="1756">
      <c r="A1756" s="2">
        <v>2023.0</v>
      </c>
      <c r="B1756" s="1" t="s">
        <v>710</v>
      </c>
      <c r="C1756" s="2"/>
      <c r="D1756" s="2" t="s">
        <v>1309</v>
      </c>
      <c r="E1756" s="2" t="s">
        <v>1379</v>
      </c>
      <c r="F1756" s="2">
        <v>658068.0</v>
      </c>
      <c r="I1756" s="2">
        <v>3400496.0</v>
      </c>
      <c r="J1756" s="2">
        <v>1545421.0</v>
      </c>
      <c r="K1756" s="2">
        <v>1855075.0</v>
      </c>
    </row>
    <row r="1757">
      <c r="A1757" s="2">
        <v>2023.0</v>
      </c>
      <c r="B1757" s="1" t="s">
        <v>710</v>
      </c>
      <c r="C1757" s="2"/>
      <c r="D1757" s="2"/>
      <c r="E1757" s="2" t="s">
        <v>27</v>
      </c>
      <c r="F1757" s="2">
        <v>28898.0</v>
      </c>
      <c r="I1757" s="2">
        <v>594104.0</v>
      </c>
      <c r="J1757" s="2">
        <v>567112.0</v>
      </c>
      <c r="K1757" s="2">
        <v>26992.0</v>
      </c>
    </row>
    <row r="1758">
      <c r="A1758" s="2">
        <v>2023.0</v>
      </c>
      <c r="B1758" s="1" t="s">
        <v>710</v>
      </c>
      <c r="C1758" s="2"/>
      <c r="D1758" s="2" t="s">
        <v>971</v>
      </c>
      <c r="E1758" s="2" t="s">
        <v>25</v>
      </c>
      <c r="F1758" s="2">
        <v>0.0</v>
      </c>
      <c r="I1758" s="2">
        <v>2337561.0</v>
      </c>
      <c r="J1758" s="2">
        <v>72.0</v>
      </c>
      <c r="K1758" s="2">
        <v>2337489.0</v>
      </c>
    </row>
    <row r="1759">
      <c r="A1759" s="2">
        <v>2023.0</v>
      </c>
      <c r="B1759" s="1" t="s">
        <v>710</v>
      </c>
      <c r="C1759" s="2"/>
      <c r="D1759" s="2"/>
      <c r="E1759" s="2" t="s">
        <v>1380</v>
      </c>
      <c r="F1759" s="2">
        <v>1543533.0</v>
      </c>
      <c r="I1759" s="2">
        <v>4483519.0</v>
      </c>
      <c r="J1759" s="2">
        <v>1980852.0</v>
      </c>
      <c r="K1759" s="2">
        <v>2502667.0</v>
      </c>
    </row>
    <row r="1760">
      <c r="A1760" s="2">
        <v>2023.0</v>
      </c>
      <c r="B1760" s="1" t="s">
        <v>710</v>
      </c>
      <c r="C1760" s="2"/>
      <c r="D1760" s="2" t="s">
        <v>975</v>
      </c>
      <c r="E1760" s="2" t="s">
        <v>891</v>
      </c>
      <c r="F1760" s="2">
        <v>1991143.0</v>
      </c>
      <c r="I1760" s="2">
        <v>4465564.0</v>
      </c>
      <c r="J1760" s="2">
        <v>2376177.0</v>
      </c>
      <c r="K1760" s="2">
        <v>2089387.0</v>
      </c>
    </row>
    <row r="1761">
      <c r="A1761" s="2">
        <v>2023.0</v>
      </c>
      <c r="B1761" s="1" t="s">
        <v>710</v>
      </c>
      <c r="C1761" s="2"/>
      <c r="D1761" s="2"/>
      <c r="E1761" s="2" t="s">
        <v>32</v>
      </c>
      <c r="F1761" s="2">
        <v>65516.0</v>
      </c>
      <c r="I1761" s="2">
        <v>459971.0</v>
      </c>
      <c r="J1761" s="2">
        <v>158575.0</v>
      </c>
      <c r="K1761" s="2">
        <v>301396.0</v>
      </c>
    </row>
    <row r="1762">
      <c r="A1762" s="2">
        <v>2023.0</v>
      </c>
      <c r="B1762" s="1" t="s">
        <v>710</v>
      </c>
      <c r="C1762" s="2"/>
      <c r="D1762" s="2"/>
      <c r="E1762" s="2" t="s">
        <v>25</v>
      </c>
      <c r="F1762" s="2">
        <v>352982.0</v>
      </c>
      <c r="I1762" s="2">
        <v>2141905.0</v>
      </c>
      <c r="J1762" s="2">
        <v>72.0</v>
      </c>
      <c r="K1762" s="2">
        <v>2141833.0</v>
      </c>
    </row>
    <row r="1763">
      <c r="A1763" s="2">
        <v>2023.0</v>
      </c>
      <c r="B1763" s="1" t="s">
        <v>710</v>
      </c>
      <c r="C1763" s="2"/>
      <c r="D1763" s="2" t="s">
        <v>1381</v>
      </c>
      <c r="E1763" s="2" t="s">
        <v>25</v>
      </c>
      <c r="F1763" s="2">
        <v>1397982.0</v>
      </c>
      <c r="I1763" s="2">
        <v>3292413.0</v>
      </c>
      <c r="J1763" s="2">
        <v>505128.0</v>
      </c>
      <c r="K1763" s="2">
        <v>2787285.0</v>
      </c>
    </row>
    <row r="1764">
      <c r="A1764" s="2">
        <v>2023.0</v>
      </c>
      <c r="B1764" s="1" t="s">
        <v>710</v>
      </c>
      <c r="C1764" s="2"/>
      <c r="D1764" s="2"/>
      <c r="E1764" s="2" t="s">
        <v>1382</v>
      </c>
      <c r="F1764" s="2">
        <v>2731958.0</v>
      </c>
      <c r="I1764" s="2">
        <v>5004423.0</v>
      </c>
      <c r="J1764" s="2">
        <v>2501184.0</v>
      </c>
      <c r="K1764" s="2">
        <v>2503239.0</v>
      </c>
    </row>
    <row r="1765">
      <c r="A1765" s="2">
        <v>2023.0</v>
      </c>
      <c r="B1765" s="1" t="s">
        <v>710</v>
      </c>
      <c r="C1765" s="2"/>
      <c r="D1765" s="2" t="s">
        <v>1079</v>
      </c>
      <c r="E1765" s="2" t="s">
        <v>25</v>
      </c>
      <c r="F1765" s="2">
        <v>1156312.0</v>
      </c>
      <c r="I1765" s="2">
        <v>4066500.0</v>
      </c>
      <c r="J1765" s="2">
        <v>163442.0</v>
      </c>
      <c r="K1765" s="2">
        <v>3903058.0</v>
      </c>
    </row>
    <row r="1766">
      <c r="A1766" s="2">
        <v>2023.0</v>
      </c>
      <c r="B1766" s="1" t="s">
        <v>710</v>
      </c>
      <c r="C1766" s="2"/>
      <c r="D1766" s="2"/>
      <c r="E1766" s="2" t="s">
        <v>32</v>
      </c>
      <c r="F1766" s="2">
        <v>106961.0</v>
      </c>
      <c r="I1766" s="2">
        <v>433517.0</v>
      </c>
      <c r="J1766" s="2">
        <v>136756.0</v>
      </c>
      <c r="K1766" s="2">
        <v>296761.0</v>
      </c>
    </row>
    <row r="1767">
      <c r="A1767" s="2">
        <v>2023.0</v>
      </c>
      <c r="B1767" s="1" t="s">
        <v>710</v>
      </c>
      <c r="C1767" s="2"/>
      <c r="D1767" s="2"/>
      <c r="E1767" s="2" t="s">
        <v>1384</v>
      </c>
      <c r="F1767" s="2">
        <v>4589515.0</v>
      </c>
      <c r="I1767" s="2">
        <v>6930182.0</v>
      </c>
      <c r="J1767" s="2">
        <v>2931571.0</v>
      </c>
      <c r="K1767" s="2">
        <v>3998611.0</v>
      </c>
    </row>
    <row r="1768">
      <c r="A1768" s="2">
        <v>2023.0</v>
      </c>
      <c r="B1768" s="1" t="s">
        <v>710</v>
      </c>
      <c r="C1768" s="2"/>
      <c r="D1768" s="2" t="s">
        <v>973</v>
      </c>
      <c r="E1768" s="2" t="s">
        <v>1385</v>
      </c>
      <c r="F1768" s="2">
        <v>3400912.0</v>
      </c>
      <c r="I1768" s="2">
        <v>5560207.0</v>
      </c>
      <c r="J1768" s="2">
        <v>1864513.0</v>
      </c>
      <c r="K1768" s="2">
        <v>3695694.0</v>
      </c>
    </row>
    <row r="1769">
      <c r="A1769" s="2">
        <v>2023.0</v>
      </c>
      <c r="B1769" s="1" t="s">
        <v>710</v>
      </c>
      <c r="C1769" s="2"/>
      <c r="D1769" s="2" t="s">
        <v>1333</v>
      </c>
      <c r="E1769" s="2" t="s">
        <v>27</v>
      </c>
      <c r="F1769" s="2">
        <v>100749.0</v>
      </c>
      <c r="I1769" s="2">
        <v>1355594.0</v>
      </c>
      <c r="J1769" s="2">
        <v>1176787.0</v>
      </c>
      <c r="K1769" s="2">
        <v>178807.0</v>
      </c>
    </row>
    <row r="1770">
      <c r="A1770" s="2">
        <v>2023.0</v>
      </c>
      <c r="B1770" s="1" t="s">
        <v>710</v>
      </c>
      <c r="C1770" s="2"/>
      <c r="D1770" s="2"/>
      <c r="E1770" s="2" t="s">
        <v>968</v>
      </c>
      <c r="F1770" s="2">
        <v>562898.0</v>
      </c>
      <c r="I1770" s="2">
        <v>2664057.0</v>
      </c>
      <c r="J1770" s="2">
        <v>1258567.0</v>
      </c>
      <c r="K1770" s="2">
        <v>1405490.0</v>
      </c>
    </row>
    <row r="1771">
      <c r="A1771" s="2">
        <v>2023.0</v>
      </c>
      <c r="B1771" s="1" t="s">
        <v>710</v>
      </c>
      <c r="C1771" s="2"/>
      <c r="D1771" s="2"/>
      <c r="E1771" s="2" t="s">
        <v>25</v>
      </c>
      <c r="F1771" s="2">
        <v>0.0</v>
      </c>
      <c r="I1771" s="2">
        <v>1942424.0</v>
      </c>
      <c r="J1771" s="2">
        <v>554947.0</v>
      </c>
      <c r="K1771" s="2">
        <v>1387477.0</v>
      </c>
    </row>
    <row r="1772">
      <c r="A1772" s="2">
        <v>2023.0</v>
      </c>
      <c r="B1772" s="1" t="s">
        <v>710</v>
      </c>
      <c r="C1772" s="2"/>
      <c r="D1772" s="2" t="s">
        <v>1386</v>
      </c>
      <c r="E1772" s="2" t="s">
        <v>1387</v>
      </c>
      <c r="F1772" s="2">
        <v>1771405.0</v>
      </c>
      <c r="I1772" s="2">
        <v>4427271.0</v>
      </c>
      <c r="J1772" s="2">
        <v>1674090.0</v>
      </c>
      <c r="K1772" s="2">
        <v>2753181.0</v>
      </c>
    </row>
    <row r="1773">
      <c r="A1773" s="2">
        <v>2023.0</v>
      </c>
      <c r="B1773" s="1" t="s">
        <v>710</v>
      </c>
      <c r="C1773" s="2"/>
      <c r="D1773" s="2"/>
      <c r="E1773" s="2" t="s">
        <v>25</v>
      </c>
      <c r="F1773" s="2">
        <v>1152282.0</v>
      </c>
      <c r="I1773" s="2">
        <v>2715351.0</v>
      </c>
      <c r="J1773" s="2">
        <v>54.0</v>
      </c>
      <c r="K1773" s="2">
        <v>2715297.0</v>
      </c>
    </row>
    <row r="1774">
      <c r="A1774" s="2">
        <v>2023.0</v>
      </c>
      <c r="B1774" s="1" t="s">
        <v>710</v>
      </c>
      <c r="C1774" s="2"/>
      <c r="D1774" s="2"/>
      <c r="E1774" s="2" t="s">
        <v>27</v>
      </c>
      <c r="F1774" s="2">
        <v>105069.0</v>
      </c>
      <c r="I1774" s="2">
        <v>1084743.0</v>
      </c>
      <c r="J1774" s="2">
        <v>958449.0</v>
      </c>
      <c r="K1774" s="2">
        <v>126294.0</v>
      </c>
    </row>
    <row r="1775">
      <c r="A1775" s="2">
        <v>2023.0</v>
      </c>
      <c r="B1775" s="1" t="s">
        <v>710</v>
      </c>
      <c r="C1775" s="2" t="s">
        <v>859</v>
      </c>
      <c r="D1775" s="2" t="s">
        <v>879</v>
      </c>
      <c r="E1775" s="2" t="s">
        <v>1388</v>
      </c>
      <c r="F1775" s="2">
        <v>567208.0</v>
      </c>
      <c r="I1775" s="2">
        <v>2052630.0</v>
      </c>
      <c r="J1775" s="2">
        <v>736127.0</v>
      </c>
      <c r="K1775" s="2">
        <v>1316503.0</v>
      </c>
    </row>
    <row r="1776">
      <c r="A1776" s="2">
        <v>2023.0</v>
      </c>
      <c r="B1776" s="1" t="s">
        <v>710</v>
      </c>
      <c r="C1776" s="2"/>
      <c r="D1776" s="2"/>
      <c r="E1776" s="2" t="s">
        <v>124</v>
      </c>
      <c r="F1776" s="2">
        <v>179837.0</v>
      </c>
      <c r="I1776" s="2">
        <v>1710218.0</v>
      </c>
      <c r="J1776" s="2">
        <v>1346261.0</v>
      </c>
      <c r="K1776" s="2">
        <v>363957.0</v>
      </c>
    </row>
    <row r="1777">
      <c r="A1777" s="2">
        <v>2023.0</v>
      </c>
      <c r="B1777" s="1" t="s">
        <v>710</v>
      </c>
      <c r="C1777" s="2"/>
      <c r="D1777" s="2"/>
      <c r="E1777" s="2" t="s">
        <v>32</v>
      </c>
      <c r="F1777" s="2">
        <v>59857.0</v>
      </c>
      <c r="I1777" s="2">
        <v>72154.0</v>
      </c>
      <c r="J1777" s="2">
        <v>59400.0</v>
      </c>
      <c r="K1777" s="2">
        <v>12764.0</v>
      </c>
    </row>
    <row r="1778">
      <c r="A1778" s="2">
        <v>2023.0</v>
      </c>
      <c r="B1778" s="1" t="s">
        <v>710</v>
      </c>
      <c r="C1778" s="2"/>
      <c r="D1778" s="2" t="s">
        <v>1389</v>
      </c>
      <c r="E1778" s="2" t="s">
        <v>1390</v>
      </c>
      <c r="F1778" s="2">
        <v>61884.0</v>
      </c>
      <c r="I1778" s="2">
        <v>3010245.0</v>
      </c>
      <c r="J1778" s="2">
        <v>2431500.0</v>
      </c>
      <c r="K1778" s="2">
        <v>578745.0</v>
      </c>
    </row>
    <row r="1779">
      <c r="A1779" s="2">
        <v>2023.0</v>
      </c>
      <c r="B1779" s="1" t="s">
        <v>710</v>
      </c>
      <c r="C1779" s="2"/>
      <c r="D1779" s="2"/>
      <c r="E1779" s="2" t="s">
        <v>1391</v>
      </c>
      <c r="F1779" s="2">
        <v>1864224.0</v>
      </c>
      <c r="I1779" s="2">
        <v>5736534.0</v>
      </c>
      <c r="J1779" s="2">
        <v>3366964.0</v>
      </c>
      <c r="K1779" s="2">
        <v>2369570.0</v>
      </c>
    </row>
    <row r="1780">
      <c r="A1780" s="2">
        <v>2023.0</v>
      </c>
      <c r="B1780" s="1" t="s">
        <v>710</v>
      </c>
      <c r="C1780" s="2"/>
      <c r="D1780" s="2" t="s">
        <v>1392</v>
      </c>
      <c r="E1780" s="2" t="s">
        <v>32</v>
      </c>
      <c r="F1780" s="2">
        <v>270718.0</v>
      </c>
      <c r="I1780" s="2">
        <v>897666.0</v>
      </c>
      <c r="J1780" s="2">
        <v>758464.0</v>
      </c>
      <c r="K1780" s="2">
        <v>139202.0</v>
      </c>
    </row>
    <row r="1781">
      <c r="A1781" s="2">
        <v>2023.0</v>
      </c>
      <c r="B1781" s="1" t="s">
        <v>710</v>
      </c>
      <c r="C1781" s="2"/>
      <c r="D1781" s="2"/>
      <c r="E1781" s="2" t="s">
        <v>25</v>
      </c>
      <c r="F1781" s="2">
        <v>0.0</v>
      </c>
      <c r="I1781" s="2">
        <v>3668689.0</v>
      </c>
      <c r="J1781" s="2">
        <v>833952.0</v>
      </c>
      <c r="K1781" s="2">
        <v>2834737.0</v>
      </c>
    </row>
    <row r="1782">
      <c r="A1782" s="2">
        <v>2023.0</v>
      </c>
      <c r="B1782" s="1" t="s">
        <v>710</v>
      </c>
      <c r="C1782" s="2"/>
      <c r="D1782" s="2"/>
      <c r="E1782" s="2" t="s">
        <v>1364</v>
      </c>
      <c r="F1782" s="2">
        <v>7524282.0</v>
      </c>
      <c r="I1782" s="2">
        <v>1.1420328E7</v>
      </c>
      <c r="J1782" s="2">
        <v>4811479.0</v>
      </c>
      <c r="K1782" s="2">
        <v>6608849.0</v>
      </c>
    </row>
    <row r="1783">
      <c r="A1783" s="2">
        <v>2023.0</v>
      </c>
      <c r="B1783" s="1" t="s">
        <v>710</v>
      </c>
      <c r="C1783" s="2"/>
      <c r="D1783" s="2"/>
      <c r="E1783" s="2" t="s">
        <v>1393</v>
      </c>
      <c r="F1783" s="2">
        <v>1209.0</v>
      </c>
      <c r="I1783" s="2">
        <v>86362.0</v>
      </c>
      <c r="J1783" s="2">
        <v>0.0</v>
      </c>
      <c r="K1783" s="2">
        <v>86362.0</v>
      </c>
    </row>
    <row r="1784">
      <c r="A1784" s="2">
        <v>2023.0</v>
      </c>
      <c r="B1784" s="1" t="s">
        <v>710</v>
      </c>
      <c r="C1784" s="2"/>
      <c r="D1784" s="2"/>
      <c r="E1784" s="2" t="s">
        <v>1394</v>
      </c>
      <c r="F1784" s="2">
        <v>2500.0</v>
      </c>
      <c r="I1784" s="2">
        <v>305898.0</v>
      </c>
      <c r="J1784" s="2">
        <v>144600.0</v>
      </c>
      <c r="K1784" s="2">
        <v>161298.0</v>
      </c>
    </row>
    <row r="1785">
      <c r="A1785" s="2">
        <v>2023.0</v>
      </c>
      <c r="B1785" s="1" t="s">
        <v>710</v>
      </c>
      <c r="C1785" s="2"/>
      <c r="D1785" s="2" t="s">
        <v>873</v>
      </c>
      <c r="E1785" s="2" t="s">
        <v>760</v>
      </c>
      <c r="F1785" s="2">
        <v>121649.0</v>
      </c>
      <c r="I1785" s="2">
        <v>2147224.0</v>
      </c>
      <c r="J1785" s="2">
        <v>1957154.0</v>
      </c>
      <c r="K1785" s="2">
        <v>190070.0</v>
      </c>
    </row>
    <row r="1786">
      <c r="A1786" s="2">
        <v>2023.0</v>
      </c>
      <c r="B1786" s="1" t="s">
        <v>710</v>
      </c>
      <c r="C1786" s="2"/>
      <c r="D1786" s="2"/>
      <c r="E1786" s="2" t="s">
        <v>78</v>
      </c>
      <c r="F1786" s="2">
        <v>776280.0</v>
      </c>
      <c r="I1786" s="2">
        <v>3090624.0</v>
      </c>
      <c r="J1786" s="2">
        <v>2555360.0</v>
      </c>
      <c r="K1786" s="2">
        <v>535264.0</v>
      </c>
    </row>
    <row r="1787">
      <c r="A1787" s="2">
        <v>2023.0</v>
      </c>
      <c r="B1787" s="1" t="s">
        <v>710</v>
      </c>
      <c r="C1787" s="2"/>
      <c r="D1787" s="2"/>
      <c r="E1787" s="2" t="s">
        <v>25</v>
      </c>
      <c r="F1787" s="2">
        <v>0.0</v>
      </c>
      <c r="I1787" s="2">
        <v>2921764.0</v>
      </c>
      <c r="J1787" s="2">
        <v>1986925.0</v>
      </c>
      <c r="K1787" s="2">
        <v>934839.0</v>
      </c>
    </row>
    <row r="1788">
      <c r="A1788" s="2">
        <v>2023.0</v>
      </c>
      <c r="B1788" s="1" t="s">
        <v>710</v>
      </c>
      <c r="C1788" s="2"/>
      <c r="D1788" s="2" t="s">
        <v>878</v>
      </c>
      <c r="E1788" s="2" t="s">
        <v>32</v>
      </c>
      <c r="F1788" s="2">
        <v>382974.24</v>
      </c>
      <c r="I1788" s="2">
        <v>845424.0</v>
      </c>
      <c r="J1788" s="2">
        <v>563236.0</v>
      </c>
      <c r="K1788" s="2">
        <v>282188.0</v>
      </c>
    </row>
    <row r="1789">
      <c r="A1789" s="2">
        <v>2023.0</v>
      </c>
      <c r="B1789" s="1" t="s">
        <v>710</v>
      </c>
      <c r="C1789" s="2"/>
      <c r="D1789" s="2"/>
      <c r="E1789" s="2" t="s">
        <v>1395</v>
      </c>
      <c r="F1789" s="2">
        <v>2254909.0</v>
      </c>
      <c r="I1789" s="2">
        <v>5713333.0</v>
      </c>
      <c r="J1789" s="2">
        <v>3166876.0</v>
      </c>
      <c r="K1789" s="2">
        <v>2546457.0</v>
      </c>
    </row>
    <row r="1790">
      <c r="A1790" s="2">
        <v>2023.0</v>
      </c>
      <c r="B1790" s="1" t="s">
        <v>710</v>
      </c>
      <c r="C1790" s="2"/>
      <c r="D1790" s="2"/>
      <c r="E1790" s="2" t="s">
        <v>1390</v>
      </c>
      <c r="F1790" s="2">
        <v>0.0</v>
      </c>
      <c r="I1790" s="2">
        <v>2303478.0</v>
      </c>
      <c r="J1790" s="2">
        <v>855396.0</v>
      </c>
      <c r="K1790" s="2">
        <v>1448082.0</v>
      </c>
    </row>
    <row r="1791">
      <c r="A1791" s="2">
        <v>2023.0</v>
      </c>
      <c r="B1791" s="1" t="s">
        <v>710</v>
      </c>
      <c r="C1791" s="2"/>
      <c r="D1791" s="2" t="s">
        <v>292</v>
      </c>
      <c r="E1791" s="2" t="s">
        <v>1396</v>
      </c>
      <c r="F1791" s="2">
        <v>214129.0</v>
      </c>
      <c r="I1791" s="2">
        <v>222257.0</v>
      </c>
      <c r="J1791" s="2">
        <v>0.0</v>
      </c>
      <c r="K1791" s="2">
        <v>222257.0</v>
      </c>
    </row>
    <row r="1792">
      <c r="A1792" s="2">
        <v>2023.0</v>
      </c>
      <c r="B1792" s="1" t="s">
        <v>710</v>
      </c>
      <c r="C1792" s="2"/>
      <c r="D1792" s="2"/>
      <c r="E1792" s="2" t="s">
        <v>114</v>
      </c>
      <c r="F1792" s="2">
        <v>121412.0</v>
      </c>
      <c r="I1792" s="2">
        <v>125983.0</v>
      </c>
      <c r="J1792" s="2">
        <v>236.0</v>
      </c>
      <c r="K1792" s="2">
        <v>125747.0</v>
      </c>
    </row>
    <row r="1793">
      <c r="A1793" s="2">
        <v>2023.0</v>
      </c>
      <c r="B1793" s="1" t="s">
        <v>710</v>
      </c>
      <c r="C1793" s="2"/>
      <c r="D1793" s="2"/>
      <c r="E1793" s="2" t="s">
        <v>56</v>
      </c>
      <c r="F1793" s="2">
        <v>38305.96</v>
      </c>
      <c r="I1793" s="2">
        <v>481279.36</v>
      </c>
      <c r="J1793" s="2">
        <v>372394.0</v>
      </c>
      <c r="K1793" s="2">
        <v>108885.36</v>
      </c>
    </row>
    <row r="1794">
      <c r="A1794" s="2">
        <v>2023.0</v>
      </c>
      <c r="B1794" s="1" t="s">
        <v>710</v>
      </c>
      <c r="C1794" s="2"/>
      <c r="D1794" s="2"/>
      <c r="E1794" s="2" t="s">
        <v>56</v>
      </c>
      <c r="F1794" s="2">
        <v>814187.0</v>
      </c>
      <c r="I1794" s="2">
        <v>1880343.0</v>
      </c>
      <c r="J1794" s="2">
        <v>1210208.0</v>
      </c>
      <c r="K1794" s="2">
        <v>670135.0</v>
      </c>
    </row>
    <row r="1795">
      <c r="A1795" s="2">
        <v>2023.0</v>
      </c>
      <c r="B1795" s="1" t="s">
        <v>710</v>
      </c>
      <c r="C1795" s="2"/>
      <c r="D1795" s="2"/>
      <c r="E1795" s="2" t="s">
        <v>1397</v>
      </c>
      <c r="F1795" s="2">
        <v>89587.0</v>
      </c>
      <c r="I1795" s="2">
        <v>92959.0</v>
      </c>
      <c r="J1795" s="2">
        <v>92959.0</v>
      </c>
      <c r="K1795" s="2">
        <v>0.0</v>
      </c>
    </row>
    <row r="1796">
      <c r="A1796" s="2">
        <v>2023.0</v>
      </c>
      <c r="B1796" s="1" t="s">
        <v>710</v>
      </c>
      <c r="C1796" s="2"/>
      <c r="D1796" s="2"/>
      <c r="E1796" s="2" t="s">
        <v>420</v>
      </c>
      <c r="F1796" s="2">
        <v>128921.0</v>
      </c>
      <c r="I1796" s="2">
        <v>133814.0</v>
      </c>
      <c r="J1796" s="2">
        <v>0.0</v>
      </c>
      <c r="K1796" s="2">
        <v>133814.0</v>
      </c>
    </row>
    <row r="1797">
      <c r="A1797" s="2">
        <v>2023.0</v>
      </c>
      <c r="B1797" s="1" t="s">
        <v>710</v>
      </c>
      <c r="C1797" s="2"/>
      <c r="D1797" s="2"/>
      <c r="E1797" s="2" t="s">
        <v>32</v>
      </c>
      <c r="F1797" s="2">
        <v>513675.0</v>
      </c>
      <c r="I1797" s="2">
        <v>842853.0</v>
      </c>
      <c r="J1797" s="2">
        <v>0.0</v>
      </c>
      <c r="K1797" s="2">
        <v>842853.0</v>
      </c>
    </row>
    <row r="1798">
      <c r="A1798" s="2">
        <v>2023.0</v>
      </c>
      <c r="B1798" s="1" t="s">
        <v>710</v>
      </c>
      <c r="C1798" s="2"/>
      <c r="D1798" s="2"/>
      <c r="E1798" s="2" t="s">
        <v>25</v>
      </c>
      <c r="F1798" s="2">
        <v>0.0</v>
      </c>
      <c r="I1798" s="2">
        <v>1996328.0</v>
      </c>
      <c r="J1798" s="2">
        <v>1466434.0</v>
      </c>
      <c r="K1798" s="2">
        <v>529894.0</v>
      </c>
    </row>
    <row r="1799">
      <c r="A1799" s="2">
        <v>2023.0</v>
      </c>
      <c r="B1799" s="1" t="s">
        <v>710</v>
      </c>
      <c r="C1799" s="2"/>
      <c r="D1799" s="2"/>
      <c r="E1799" s="2" t="s">
        <v>460</v>
      </c>
      <c r="F1799" s="2">
        <v>8653.0</v>
      </c>
      <c r="I1799" s="2">
        <v>8979.0</v>
      </c>
      <c r="J1799" s="2">
        <v>8979.0</v>
      </c>
      <c r="K1799" s="2">
        <v>0.0</v>
      </c>
    </row>
    <row r="1800">
      <c r="A1800" s="2">
        <v>2023.0</v>
      </c>
      <c r="B1800" s="1" t="s">
        <v>710</v>
      </c>
      <c r="C1800" s="2"/>
      <c r="D1800" s="2"/>
      <c r="E1800" s="2" t="s">
        <v>1398</v>
      </c>
      <c r="F1800" s="2">
        <v>2514962.68</v>
      </c>
      <c r="I1800" s="2">
        <v>5759933.68</v>
      </c>
      <c r="J1800" s="2">
        <v>3193311.0</v>
      </c>
      <c r="K1800" s="2">
        <v>2566622.68</v>
      </c>
    </row>
    <row r="1801">
      <c r="A1801" s="2">
        <v>2023.0</v>
      </c>
      <c r="B1801" s="1" t="s">
        <v>710</v>
      </c>
      <c r="C1801" s="2"/>
      <c r="D1801" s="2" t="s">
        <v>874</v>
      </c>
      <c r="E1801" s="2" t="s">
        <v>686</v>
      </c>
      <c r="F1801" s="2">
        <v>0.0</v>
      </c>
      <c r="I1801" s="2">
        <v>2409324.0</v>
      </c>
      <c r="J1801" s="2">
        <v>819883.0</v>
      </c>
      <c r="K1801" s="2">
        <v>1589441.0</v>
      </c>
    </row>
    <row r="1802">
      <c r="A1802" s="2">
        <v>2023.0</v>
      </c>
      <c r="B1802" s="1" t="s">
        <v>710</v>
      </c>
      <c r="C1802" s="2"/>
      <c r="D1802" s="2"/>
      <c r="E1802" s="2" t="s">
        <v>27</v>
      </c>
      <c r="F1802" s="2">
        <v>118754.0</v>
      </c>
      <c r="I1802" s="2">
        <v>1836090.0</v>
      </c>
      <c r="J1802" s="2">
        <v>1575915.0</v>
      </c>
      <c r="K1802" s="2">
        <v>260175.0</v>
      </c>
    </row>
    <row r="1803">
      <c r="A1803" s="2">
        <v>2023.0</v>
      </c>
      <c r="B1803" s="1" t="s">
        <v>710</v>
      </c>
      <c r="C1803" s="2"/>
      <c r="D1803" s="2"/>
      <c r="E1803" s="2" t="s">
        <v>32</v>
      </c>
      <c r="F1803" s="2">
        <v>53568.0</v>
      </c>
      <c r="I1803" s="2">
        <v>156913.0</v>
      </c>
      <c r="J1803" s="2">
        <v>137038.0</v>
      </c>
      <c r="K1803" s="2">
        <v>19875.0</v>
      </c>
    </row>
    <row r="1804">
      <c r="A1804" s="2">
        <v>2023.0</v>
      </c>
      <c r="B1804" s="1" t="s">
        <v>710</v>
      </c>
      <c r="C1804" s="2"/>
      <c r="D1804" s="2"/>
      <c r="E1804" s="2" t="s">
        <v>76</v>
      </c>
      <c r="F1804" s="2">
        <v>2219261.0</v>
      </c>
      <c r="I1804" s="2">
        <v>4694339.0</v>
      </c>
      <c r="J1804" s="2">
        <v>4453586.0</v>
      </c>
      <c r="K1804" s="2">
        <v>240753.0</v>
      </c>
    </row>
    <row r="1805">
      <c r="A1805" s="2">
        <v>2023.0</v>
      </c>
      <c r="B1805" s="1" t="s">
        <v>710</v>
      </c>
      <c r="C1805" s="2"/>
      <c r="D1805" s="2" t="s">
        <v>860</v>
      </c>
      <c r="E1805" s="2" t="s">
        <v>686</v>
      </c>
      <c r="F1805" s="2">
        <v>680224.0</v>
      </c>
      <c r="I1805" s="2">
        <v>2520921.0</v>
      </c>
      <c r="J1805" s="2">
        <v>1239700.0</v>
      </c>
      <c r="K1805" s="2">
        <v>1281221.0</v>
      </c>
    </row>
    <row r="1806">
      <c r="A1806" s="2">
        <v>2023.0</v>
      </c>
      <c r="B1806" s="1" t="s">
        <v>710</v>
      </c>
      <c r="C1806" s="2"/>
      <c r="D1806" s="2"/>
      <c r="E1806" s="2" t="s">
        <v>1399</v>
      </c>
      <c r="F1806" s="2">
        <v>2758275.0</v>
      </c>
      <c r="I1806" s="2">
        <v>6837867.0</v>
      </c>
      <c r="J1806" s="2">
        <v>4625187.0</v>
      </c>
      <c r="K1806" s="2">
        <v>2212680.0</v>
      </c>
    </row>
    <row r="1807">
      <c r="A1807" s="2">
        <v>2023.0</v>
      </c>
      <c r="B1807" s="1" t="s">
        <v>710</v>
      </c>
      <c r="C1807" s="2"/>
      <c r="D1807" s="2" t="s">
        <v>875</v>
      </c>
      <c r="E1807" s="2" t="s">
        <v>32</v>
      </c>
      <c r="F1807" s="2">
        <v>299938.0</v>
      </c>
      <c r="I1807" s="2">
        <v>1554646.0</v>
      </c>
      <c r="J1807" s="2">
        <v>1194580.0</v>
      </c>
      <c r="K1807" s="2">
        <v>388406.0</v>
      </c>
    </row>
    <row r="1808">
      <c r="A1808" s="2">
        <v>2023.0</v>
      </c>
      <c r="B1808" s="1" t="s">
        <v>710</v>
      </c>
      <c r="C1808" s="2"/>
      <c r="D1808" s="2"/>
      <c r="E1808" s="2" t="s">
        <v>794</v>
      </c>
      <c r="F1808" s="2">
        <v>266503.0</v>
      </c>
      <c r="I1808" s="2">
        <v>267618.0</v>
      </c>
      <c r="J1808" s="2">
        <v>246450.0</v>
      </c>
      <c r="K1808" s="2">
        <v>21168.0</v>
      </c>
    </row>
    <row r="1809">
      <c r="A1809" s="2">
        <v>2023.0</v>
      </c>
      <c r="B1809" s="1" t="s">
        <v>710</v>
      </c>
      <c r="C1809" s="2"/>
      <c r="D1809" s="2"/>
      <c r="E1809" s="2" t="s">
        <v>25</v>
      </c>
      <c r="F1809" s="2">
        <v>1106455.0</v>
      </c>
      <c r="I1809" s="2">
        <v>3923479.0</v>
      </c>
      <c r="J1809" s="2">
        <v>1110835.0</v>
      </c>
      <c r="K1809" s="2">
        <v>2812644.0</v>
      </c>
    </row>
    <row r="1810">
      <c r="A1810" s="2">
        <v>2023.0</v>
      </c>
      <c r="B1810" s="1" t="s">
        <v>710</v>
      </c>
      <c r="C1810" s="2"/>
      <c r="D1810" s="2"/>
      <c r="E1810" s="2" t="s">
        <v>92</v>
      </c>
      <c r="F1810" s="2">
        <v>4202573.0</v>
      </c>
      <c r="I1810" s="2">
        <v>7562699.0</v>
      </c>
      <c r="J1810" s="2">
        <v>3980458.5</v>
      </c>
      <c r="K1810" s="2">
        <v>3582240.5</v>
      </c>
    </row>
    <row r="1811">
      <c r="A1811" s="2">
        <v>2023.0</v>
      </c>
      <c r="B1811" s="1" t="s">
        <v>710</v>
      </c>
      <c r="C1811" s="2" t="s">
        <v>120</v>
      </c>
      <c r="D1811" s="2" t="s">
        <v>266</v>
      </c>
      <c r="E1811" s="2" t="s">
        <v>1400</v>
      </c>
      <c r="F1811" s="2">
        <v>3764238.0</v>
      </c>
      <c r="I1811" s="2">
        <v>7179389.0</v>
      </c>
      <c r="J1811" s="2">
        <v>5162377.0</v>
      </c>
      <c r="K1811" s="2">
        <v>2017012.0</v>
      </c>
    </row>
    <row r="1812">
      <c r="A1812" s="2">
        <v>2023.0</v>
      </c>
      <c r="B1812" s="1" t="s">
        <v>710</v>
      </c>
      <c r="C1812" s="2"/>
      <c r="D1812" s="2"/>
      <c r="E1812" s="2" t="s">
        <v>25</v>
      </c>
      <c r="F1812" s="2">
        <v>1896639.0</v>
      </c>
      <c r="I1812" s="2">
        <v>6603738.0</v>
      </c>
      <c r="J1812" s="2">
        <v>2168270.0</v>
      </c>
      <c r="K1812" s="2">
        <v>4435468.0</v>
      </c>
    </row>
    <row r="1813">
      <c r="A1813" s="2">
        <v>2023.0</v>
      </c>
      <c r="B1813" s="1" t="s">
        <v>710</v>
      </c>
      <c r="C1813" s="2"/>
      <c r="D1813" s="2" t="s">
        <v>121</v>
      </c>
      <c r="E1813" s="2" t="s">
        <v>1401</v>
      </c>
      <c r="F1813" s="2">
        <v>3109278.0</v>
      </c>
      <c r="I1813" s="2">
        <v>7898245.0</v>
      </c>
      <c r="J1813" s="2">
        <v>5409463.0</v>
      </c>
      <c r="K1813" s="2">
        <v>2488782.0</v>
      </c>
    </row>
    <row r="1814">
      <c r="A1814" s="2">
        <v>2023.0</v>
      </c>
      <c r="B1814" s="1" t="s">
        <v>710</v>
      </c>
      <c r="C1814" s="2"/>
      <c r="D1814" s="2"/>
      <c r="E1814" s="2" t="s">
        <v>25</v>
      </c>
      <c r="F1814" s="2">
        <v>2443665.0</v>
      </c>
      <c r="I1814" s="2">
        <v>5734336.0</v>
      </c>
      <c r="J1814" s="2">
        <v>1968515.0</v>
      </c>
      <c r="K1814" s="2">
        <v>3765821.0</v>
      </c>
    </row>
    <row r="1815">
      <c r="A1815" s="2">
        <v>2023.0</v>
      </c>
      <c r="B1815" s="1" t="s">
        <v>710</v>
      </c>
      <c r="C1815" s="2"/>
      <c r="D1815" s="2"/>
      <c r="E1815" s="2" t="s">
        <v>76</v>
      </c>
      <c r="F1815" s="2">
        <v>0.0</v>
      </c>
      <c r="I1815" s="2">
        <v>981423.0</v>
      </c>
      <c r="J1815" s="2">
        <v>647360.0</v>
      </c>
      <c r="K1815" s="2">
        <v>334063.0</v>
      </c>
    </row>
    <row r="1816">
      <c r="A1816" s="2">
        <v>2023.0</v>
      </c>
      <c r="B1816" s="1" t="s">
        <v>710</v>
      </c>
      <c r="C1816" s="2"/>
      <c r="D1816" s="2" t="s">
        <v>125</v>
      </c>
      <c r="E1816" s="2" t="s">
        <v>1402</v>
      </c>
      <c r="F1816" s="2">
        <v>3178479.0</v>
      </c>
      <c r="I1816" s="2">
        <v>6043433.0</v>
      </c>
      <c r="J1816" s="2">
        <v>2758656.0</v>
      </c>
      <c r="K1816" s="2">
        <v>3284777.0</v>
      </c>
    </row>
    <row r="1817">
      <c r="A1817" s="2">
        <v>2023.0</v>
      </c>
      <c r="B1817" s="1" t="s">
        <v>710</v>
      </c>
      <c r="C1817" s="2"/>
      <c r="D1817" s="2"/>
      <c r="E1817" s="2" t="s">
        <v>32</v>
      </c>
      <c r="F1817" s="2">
        <v>57159.0</v>
      </c>
      <c r="I1817" s="2">
        <v>72099.0</v>
      </c>
      <c r="J1817" s="2">
        <v>47000.0</v>
      </c>
      <c r="K1817" s="2">
        <v>25099.0</v>
      </c>
    </row>
    <row r="1818">
      <c r="A1818" s="2">
        <v>2023.0</v>
      </c>
      <c r="B1818" s="1" t="s">
        <v>710</v>
      </c>
      <c r="C1818" s="2"/>
      <c r="D1818" s="2"/>
      <c r="E1818" s="2" t="s">
        <v>25</v>
      </c>
      <c r="F1818" s="2">
        <v>0.0</v>
      </c>
      <c r="I1818" s="2">
        <v>2864624.0</v>
      </c>
      <c r="J1818" s="2">
        <v>643760.0</v>
      </c>
      <c r="K1818" s="2">
        <v>2220864.0</v>
      </c>
    </row>
    <row r="1819">
      <c r="A1819" s="2">
        <v>2023.0</v>
      </c>
      <c r="B1819" s="1" t="s">
        <v>710</v>
      </c>
      <c r="C1819" s="2"/>
      <c r="D1819" s="2" t="s">
        <v>120</v>
      </c>
      <c r="E1819" s="2" t="s">
        <v>124</v>
      </c>
      <c r="F1819" s="2">
        <v>65957.0</v>
      </c>
      <c r="I1819" s="2">
        <v>1186090.0</v>
      </c>
      <c r="J1819" s="2">
        <v>1076336.0</v>
      </c>
      <c r="K1819" s="2">
        <v>109754.0</v>
      </c>
    </row>
    <row r="1820">
      <c r="A1820" s="2">
        <v>2023.0</v>
      </c>
      <c r="B1820" s="1" t="s">
        <v>710</v>
      </c>
      <c r="C1820" s="2"/>
      <c r="D1820" s="2"/>
      <c r="E1820" s="2" t="s">
        <v>1404</v>
      </c>
      <c r="F1820" s="2">
        <v>4464526.0</v>
      </c>
      <c r="I1820" s="2">
        <v>8451482.0</v>
      </c>
      <c r="J1820" s="2">
        <v>4258123.0</v>
      </c>
      <c r="K1820" s="2">
        <v>4193359.0</v>
      </c>
    </row>
    <row r="1821">
      <c r="A1821" s="2">
        <v>2023.0</v>
      </c>
      <c r="B1821" s="1" t="s">
        <v>710</v>
      </c>
      <c r="C1821" s="2"/>
      <c r="D1821" s="2"/>
      <c r="E1821" s="2" t="s">
        <v>32</v>
      </c>
      <c r="F1821" s="2">
        <v>213049.0</v>
      </c>
      <c r="I1821" s="2">
        <v>421068.0</v>
      </c>
      <c r="J1821" s="2">
        <v>401167.0</v>
      </c>
      <c r="K1821" s="2">
        <v>19901.0</v>
      </c>
    </row>
    <row r="1822">
      <c r="A1822" s="2">
        <v>2023.0</v>
      </c>
      <c r="B1822" s="1" t="s">
        <v>710</v>
      </c>
      <c r="C1822" s="2"/>
      <c r="D1822" s="2"/>
      <c r="E1822" s="2" t="s">
        <v>25</v>
      </c>
      <c r="F1822" s="2">
        <v>2419632.0</v>
      </c>
      <c r="I1822" s="2">
        <v>5687905.0</v>
      </c>
      <c r="J1822" s="2">
        <v>2606337.0</v>
      </c>
      <c r="K1822" s="2">
        <v>3081568.0</v>
      </c>
    </row>
    <row r="1823">
      <c r="A1823" s="2">
        <v>2023.0</v>
      </c>
      <c r="B1823" s="1" t="s">
        <v>710</v>
      </c>
      <c r="C1823" s="2" t="s">
        <v>618</v>
      </c>
      <c r="D1823" s="2" t="s">
        <v>618</v>
      </c>
      <c r="E1823" s="2" t="s">
        <v>1405</v>
      </c>
      <c r="F1823" s="2">
        <v>1.5560285E7</v>
      </c>
      <c r="I1823" s="2">
        <v>2.1899831E7</v>
      </c>
      <c r="J1823" s="2">
        <v>1.1656854E7</v>
      </c>
      <c r="K1823" s="2">
        <v>1.0242977E7</v>
      </c>
    </row>
    <row r="1824">
      <c r="A1824" s="2">
        <v>2023.0</v>
      </c>
      <c r="B1824" s="1" t="s">
        <v>710</v>
      </c>
      <c r="C1824" s="2"/>
      <c r="D1824" s="2"/>
      <c r="E1824" s="2" t="s">
        <v>25</v>
      </c>
      <c r="F1824" s="2">
        <v>1130000.0</v>
      </c>
      <c r="I1824" s="2">
        <v>7966843.0</v>
      </c>
      <c r="J1824" s="2">
        <v>517394.0</v>
      </c>
      <c r="K1824" s="2">
        <v>7449449.0</v>
      </c>
    </row>
    <row r="1825">
      <c r="A1825" s="2">
        <v>2023.0</v>
      </c>
      <c r="B1825" s="1" t="s">
        <v>710</v>
      </c>
      <c r="C1825" s="2"/>
      <c r="D1825" s="2"/>
      <c r="E1825" s="2" t="s">
        <v>32</v>
      </c>
      <c r="F1825" s="2">
        <v>271128.0</v>
      </c>
      <c r="I1825" s="2">
        <v>2260400.0</v>
      </c>
      <c r="J1825" s="2">
        <v>1492146.0</v>
      </c>
      <c r="K1825" s="2">
        <v>768254.0</v>
      </c>
    </row>
    <row r="1826">
      <c r="A1826" s="2">
        <v>2023.0</v>
      </c>
      <c r="B1826" s="1" t="s">
        <v>710</v>
      </c>
      <c r="C1826" s="2"/>
      <c r="D1826" s="2" t="s">
        <v>1029</v>
      </c>
      <c r="E1826" s="2" t="s">
        <v>56</v>
      </c>
      <c r="F1826" s="2">
        <v>4621565.0</v>
      </c>
      <c r="I1826" s="2">
        <v>9538755.0</v>
      </c>
      <c r="J1826" s="2">
        <v>6522047.0</v>
      </c>
      <c r="K1826" s="2">
        <v>3016708.0</v>
      </c>
    </row>
    <row r="1827">
      <c r="A1827" s="2">
        <v>2023.0</v>
      </c>
      <c r="B1827" s="1" t="s">
        <v>710</v>
      </c>
      <c r="C1827" s="2"/>
      <c r="D1827" s="2"/>
      <c r="E1827" s="2" t="s">
        <v>25</v>
      </c>
      <c r="F1827" s="2">
        <v>4322528.0</v>
      </c>
      <c r="I1827" s="2">
        <v>6884477.0</v>
      </c>
      <c r="J1827" s="2">
        <v>3577065.0</v>
      </c>
      <c r="K1827" s="2">
        <v>3307412.0</v>
      </c>
    </row>
    <row r="1828">
      <c r="A1828" s="2">
        <v>2023.0</v>
      </c>
      <c r="B1828" s="1" t="s">
        <v>710</v>
      </c>
      <c r="C1828" s="2"/>
      <c r="D1828" s="2"/>
      <c r="E1828" s="2" t="s">
        <v>32</v>
      </c>
      <c r="F1828" s="2">
        <v>0.0</v>
      </c>
      <c r="I1828" s="2">
        <v>2456832.0</v>
      </c>
      <c r="J1828" s="2">
        <v>1067658.0</v>
      </c>
      <c r="K1828" s="2">
        <v>1389174.0</v>
      </c>
    </row>
    <row r="1829">
      <c r="A1829" s="2">
        <v>2023.0</v>
      </c>
      <c r="B1829" s="1" t="s">
        <v>710</v>
      </c>
      <c r="C1829" s="2"/>
      <c r="D1829" s="2"/>
      <c r="E1829" s="2" t="s">
        <v>1213</v>
      </c>
      <c r="F1829" s="2">
        <v>311917.0</v>
      </c>
      <c r="I1829" s="2">
        <v>1446986.0</v>
      </c>
      <c r="J1829" s="2">
        <v>1265652.0</v>
      </c>
      <c r="K1829" s="2">
        <v>181334.0</v>
      </c>
    </row>
    <row r="1830">
      <c r="A1830" s="2">
        <v>2023.0</v>
      </c>
      <c r="B1830" s="1" t="s">
        <v>710</v>
      </c>
      <c r="C1830" s="2"/>
      <c r="D1830" s="2" t="s">
        <v>619</v>
      </c>
      <c r="E1830" s="2" t="s">
        <v>1406</v>
      </c>
      <c r="F1830" s="2">
        <v>3188395.0</v>
      </c>
      <c r="I1830" s="2">
        <v>5748889.0</v>
      </c>
      <c r="J1830" s="2">
        <v>2383082.0</v>
      </c>
      <c r="K1830" s="2">
        <v>3365807.0</v>
      </c>
    </row>
    <row r="1831">
      <c r="A1831" s="2">
        <v>2023.0</v>
      </c>
      <c r="B1831" s="1" t="s">
        <v>710</v>
      </c>
      <c r="C1831" s="2"/>
      <c r="D1831" s="2"/>
      <c r="E1831" s="2" t="s">
        <v>25</v>
      </c>
      <c r="F1831" s="2">
        <v>696000.0</v>
      </c>
      <c r="I1831" s="2">
        <v>2462707.0</v>
      </c>
      <c r="J1831" s="2">
        <v>472960.0</v>
      </c>
      <c r="K1831" s="2">
        <v>1989747.0</v>
      </c>
    </row>
    <row r="1832">
      <c r="A1832" s="2">
        <v>2023.0</v>
      </c>
      <c r="B1832" s="1" t="s">
        <v>710</v>
      </c>
      <c r="C1832" s="2"/>
      <c r="D1832" s="2"/>
      <c r="E1832" s="2" t="s">
        <v>56</v>
      </c>
      <c r="F1832" s="2">
        <v>175400.0</v>
      </c>
      <c r="I1832" s="2">
        <v>1203265.0</v>
      </c>
      <c r="J1832" s="2">
        <v>994595.0</v>
      </c>
      <c r="K1832" s="2">
        <v>208670.0</v>
      </c>
    </row>
    <row r="1833">
      <c r="A1833" s="2">
        <v>2023.0</v>
      </c>
      <c r="B1833" s="1" t="s">
        <v>710</v>
      </c>
      <c r="C1833" s="2"/>
      <c r="D1833" s="2" t="s">
        <v>621</v>
      </c>
      <c r="E1833" s="2" t="s">
        <v>1407</v>
      </c>
      <c r="F1833" s="2">
        <v>1.2345457E7</v>
      </c>
      <c r="I1833" s="2">
        <v>1.4492965E7</v>
      </c>
      <c r="J1833" s="2">
        <v>4693831.0</v>
      </c>
      <c r="K1833" s="2">
        <v>9799134.0</v>
      </c>
    </row>
    <row r="1834">
      <c r="A1834" s="2">
        <v>2023.0</v>
      </c>
      <c r="B1834" s="1" t="s">
        <v>710</v>
      </c>
      <c r="C1834" s="2"/>
      <c r="D1834" s="2"/>
      <c r="E1834" s="2" t="s">
        <v>25</v>
      </c>
      <c r="F1834" s="2">
        <v>1070964.0</v>
      </c>
      <c r="I1834" s="2">
        <v>2527150.0</v>
      </c>
      <c r="J1834" s="2">
        <v>299700.0</v>
      </c>
      <c r="K1834" s="2">
        <v>2227450.0</v>
      </c>
    </row>
    <row r="1835">
      <c r="A1835" s="2">
        <v>2023.0</v>
      </c>
      <c r="B1835" s="1" t="s">
        <v>710</v>
      </c>
      <c r="C1835" s="2"/>
      <c r="D1835" s="2"/>
      <c r="E1835" s="2" t="s">
        <v>32</v>
      </c>
      <c r="F1835" s="2">
        <v>306215.0</v>
      </c>
      <c r="I1835" s="2">
        <v>470834.0</v>
      </c>
      <c r="J1835" s="2">
        <v>216349.0</v>
      </c>
      <c r="K1835" s="2">
        <v>254485.0</v>
      </c>
    </row>
    <row r="1836">
      <c r="A1836" s="2">
        <v>2023.0</v>
      </c>
      <c r="B1836" s="1" t="s">
        <v>710</v>
      </c>
      <c r="C1836" s="2" t="s">
        <v>106</v>
      </c>
      <c r="D1836" s="2" t="s">
        <v>833</v>
      </c>
      <c r="E1836" s="2" t="s">
        <v>25</v>
      </c>
      <c r="F1836" s="2">
        <v>0.0</v>
      </c>
      <c r="I1836" s="2">
        <v>3774983.0</v>
      </c>
      <c r="J1836" s="2">
        <v>0.0</v>
      </c>
      <c r="K1836" s="2">
        <v>3774983.0</v>
      </c>
    </row>
    <row r="1837">
      <c r="A1837" s="2">
        <v>2023.0</v>
      </c>
      <c r="B1837" s="1" t="s">
        <v>710</v>
      </c>
      <c r="C1837" s="2"/>
      <c r="D1837" s="2"/>
      <c r="E1837" s="2" t="s">
        <v>32</v>
      </c>
      <c r="F1837" s="2">
        <v>116950.0</v>
      </c>
      <c r="I1837" s="2">
        <v>160946.0</v>
      </c>
      <c r="J1837" s="2">
        <v>109915.0</v>
      </c>
      <c r="K1837" s="2">
        <v>51031.0</v>
      </c>
    </row>
    <row r="1838">
      <c r="A1838" s="2">
        <v>2023.0</v>
      </c>
      <c r="B1838" s="1" t="s">
        <v>710</v>
      </c>
      <c r="C1838" s="2"/>
      <c r="D1838" s="2"/>
      <c r="E1838" s="2" t="s">
        <v>1408</v>
      </c>
      <c r="F1838" s="2">
        <v>2879264.0</v>
      </c>
      <c r="I1838" s="2">
        <v>5870308.0</v>
      </c>
      <c r="J1838" s="2">
        <v>3286442.0</v>
      </c>
      <c r="K1838" s="2">
        <v>2583866.0</v>
      </c>
    </row>
    <row r="1839">
      <c r="A1839" s="2">
        <v>2023.0</v>
      </c>
      <c r="B1839" s="1" t="s">
        <v>710</v>
      </c>
      <c r="C1839" s="2"/>
      <c r="D1839" s="2"/>
      <c r="E1839" s="2" t="s">
        <v>76</v>
      </c>
      <c r="F1839" s="2">
        <v>88763.0</v>
      </c>
      <c r="I1839" s="2">
        <v>90681.0</v>
      </c>
      <c r="J1839" s="2">
        <v>50053.0</v>
      </c>
      <c r="K1839" s="2">
        <v>40628.0</v>
      </c>
    </row>
    <row r="1840">
      <c r="A1840" s="2">
        <v>2023.0</v>
      </c>
      <c r="B1840" s="1" t="s">
        <v>710</v>
      </c>
      <c r="C1840" s="2"/>
      <c r="D1840" s="2"/>
      <c r="E1840" s="2" t="s">
        <v>1409</v>
      </c>
      <c r="F1840" s="2">
        <v>181867.0</v>
      </c>
      <c r="I1840" s="2">
        <v>1143014.0</v>
      </c>
      <c r="J1840" s="2">
        <v>1006035.0</v>
      </c>
      <c r="K1840" s="2">
        <v>136979.0</v>
      </c>
    </row>
    <row r="1841">
      <c r="A1841" s="2">
        <v>2023.0</v>
      </c>
      <c r="B1841" s="1" t="s">
        <v>710</v>
      </c>
      <c r="C1841" s="2"/>
      <c r="D1841" s="2" t="s">
        <v>111</v>
      </c>
      <c r="E1841" s="2" t="s">
        <v>25</v>
      </c>
      <c r="F1841" s="2">
        <v>0.0</v>
      </c>
      <c r="I1841" s="2">
        <v>8629443.0</v>
      </c>
      <c r="J1841" s="2">
        <v>1856098.0</v>
      </c>
      <c r="K1841" s="2">
        <v>6773345.0</v>
      </c>
    </row>
    <row r="1842">
      <c r="A1842" s="2">
        <v>2023.0</v>
      </c>
      <c r="B1842" s="1" t="s">
        <v>710</v>
      </c>
      <c r="C1842" s="2"/>
      <c r="D1842" s="2"/>
      <c r="E1842" s="2" t="s">
        <v>968</v>
      </c>
      <c r="F1842" s="2">
        <v>84018.0</v>
      </c>
      <c r="I1842" s="2">
        <v>1254718.0</v>
      </c>
      <c r="J1842" s="2">
        <v>1094555.0</v>
      </c>
      <c r="K1842" s="2">
        <v>160163.0</v>
      </c>
    </row>
    <row r="1843">
      <c r="A1843" s="2">
        <v>2023.0</v>
      </c>
      <c r="B1843" s="1" t="s">
        <v>710</v>
      </c>
      <c r="C1843" s="2"/>
      <c r="D1843" s="2" t="s">
        <v>1090</v>
      </c>
      <c r="E1843" s="2" t="s">
        <v>32</v>
      </c>
      <c r="F1843" s="2">
        <v>159895.0</v>
      </c>
      <c r="I1843" s="2">
        <v>660121.0</v>
      </c>
      <c r="J1843" s="2">
        <v>586920.0</v>
      </c>
      <c r="K1843" s="2">
        <v>73201.0</v>
      </c>
    </row>
    <row r="1844">
      <c r="A1844" s="2">
        <v>2023.0</v>
      </c>
      <c r="B1844" s="1" t="s">
        <v>710</v>
      </c>
      <c r="C1844" s="2"/>
      <c r="D1844" s="2"/>
      <c r="E1844" s="2" t="s">
        <v>56</v>
      </c>
      <c r="F1844" s="2">
        <v>3097277.0</v>
      </c>
      <c r="I1844" s="2">
        <v>8164201.0</v>
      </c>
      <c r="J1844" s="2">
        <v>6843409.0</v>
      </c>
      <c r="K1844" s="2">
        <v>1320792.0</v>
      </c>
    </row>
    <row r="1845">
      <c r="A1845" s="2">
        <v>2023.0</v>
      </c>
      <c r="B1845" s="1" t="s">
        <v>710</v>
      </c>
      <c r="C1845" s="2"/>
      <c r="D1845" s="2"/>
      <c r="E1845" s="2" t="s">
        <v>25</v>
      </c>
      <c r="F1845" s="2">
        <v>3981856.0</v>
      </c>
      <c r="I1845" s="2">
        <v>9376327.0</v>
      </c>
      <c r="J1845" s="2">
        <v>1955534.0</v>
      </c>
      <c r="K1845" s="2">
        <v>7420793.0</v>
      </c>
    </row>
    <row r="1846">
      <c r="A1846" s="2">
        <v>2023.0</v>
      </c>
      <c r="B1846" s="1" t="s">
        <v>710</v>
      </c>
      <c r="C1846" s="2"/>
      <c r="D1846" s="2" t="s">
        <v>116</v>
      </c>
      <c r="E1846" s="2" t="s">
        <v>25</v>
      </c>
      <c r="F1846" s="2">
        <v>1656414.0</v>
      </c>
      <c r="I1846" s="2">
        <v>4348768.0</v>
      </c>
      <c r="J1846" s="2">
        <v>633000.0</v>
      </c>
      <c r="K1846" s="2">
        <v>3715768.0</v>
      </c>
    </row>
    <row r="1847">
      <c r="A1847" s="2">
        <v>2023.0</v>
      </c>
      <c r="B1847" s="1" t="s">
        <v>710</v>
      </c>
      <c r="C1847" s="2"/>
      <c r="D1847" s="2"/>
      <c r="E1847" s="2" t="s">
        <v>76</v>
      </c>
      <c r="F1847" s="2">
        <v>1659000.0</v>
      </c>
      <c r="I1847" s="2">
        <v>1682430.0</v>
      </c>
      <c r="J1847" s="2">
        <v>680356.0</v>
      </c>
      <c r="K1847" s="2">
        <v>1002074.0</v>
      </c>
    </row>
    <row r="1848">
      <c r="A1848" s="2">
        <v>2023.0</v>
      </c>
      <c r="B1848" s="1" t="s">
        <v>710</v>
      </c>
      <c r="C1848" s="2"/>
      <c r="D1848" s="2"/>
      <c r="E1848" s="2" t="s">
        <v>56</v>
      </c>
      <c r="F1848" s="2">
        <v>3348501.0</v>
      </c>
      <c r="I1848" s="2">
        <v>6080277.0</v>
      </c>
      <c r="J1848" s="2">
        <v>5021984.0</v>
      </c>
      <c r="K1848" s="2">
        <v>1058293.0</v>
      </c>
    </row>
    <row r="1849">
      <c r="A1849" s="2">
        <v>2023.0</v>
      </c>
      <c r="B1849" s="1" t="s">
        <v>710</v>
      </c>
      <c r="C1849" s="2"/>
      <c r="D1849" s="2"/>
      <c r="E1849" s="2" t="s">
        <v>32</v>
      </c>
      <c r="F1849" s="2">
        <v>34223.0</v>
      </c>
      <c r="I1849" s="2">
        <v>191856.0</v>
      </c>
      <c r="J1849" s="2">
        <v>52880.0</v>
      </c>
      <c r="K1849" s="2">
        <v>138976.0</v>
      </c>
    </row>
    <row r="1850">
      <c r="A1850" s="2">
        <v>2023.0</v>
      </c>
      <c r="B1850" s="1" t="s">
        <v>710</v>
      </c>
      <c r="C1850" s="2" t="s">
        <v>28</v>
      </c>
      <c r="D1850" s="2" t="s">
        <v>993</v>
      </c>
      <c r="E1850" s="2" t="s">
        <v>25</v>
      </c>
      <c r="F1850" s="2">
        <v>1598031.0</v>
      </c>
      <c r="I1850" s="2">
        <v>3756946.0</v>
      </c>
      <c r="J1850" s="2">
        <v>0.0</v>
      </c>
      <c r="K1850" s="2">
        <v>3756946.0</v>
      </c>
    </row>
    <row r="1851">
      <c r="A1851" s="2">
        <v>2023.0</v>
      </c>
      <c r="B1851" s="1" t="s">
        <v>710</v>
      </c>
      <c r="C1851" s="2"/>
      <c r="D1851" s="2"/>
      <c r="E1851" s="2" t="s">
        <v>32</v>
      </c>
      <c r="F1851" s="2">
        <v>255261.0</v>
      </c>
      <c r="I1851" s="2">
        <v>382330.0</v>
      </c>
      <c r="J1851" s="2">
        <v>0.0</v>
      </c>
      <c r="K1851" s="2">
        <v>382330.0</v>
      </c>
    </row>
    <row r="1852">
      <c r="A1852" s="2">
        <v>2023.0</v>
      </c>
      <c r="B1852" s="1" t="s">
        <v>710</v>
      </c>
      <c r="C1852" s="2"/>
      <c r="D1852" s="2"/>
      <c r="E1852" s="2" t="s">
        <v>1410</v>
      </c>
      <c r="F1852" s="2">
        <v>1610823.0</v>
      </c>
      <c r="I1852" s="2">
        <v>4742547.0</v>
      </c>
      <c r="J1852" s="2">
        <v>3283989.0</v>
      </c>
      <c r="K1852" s="2">
        <v>1458558.0</v>
      </c>
    </row>
    <row r="1853">
      <c r="A1853" s="2">
        <v>2023.0</v>
      </c>
      <c r="B1853" s="1" t="s">
        <v>710</v>
      </c>
      <c r="C1853" s="2"/>
      <c r="D1853" s="2" t="s">
        <v>1411</v>
      </c>
      <c r="E1853" s="2" t="s">
        <v>25</v>
      </c>
      <c r="F1853" s="2">
        <v>852071.0</v>
      </c>
      <c r="I1853" s="2">
        <v>2994211.0</v>
      </c>
      <c r="J1853" s="2">
        <v>554160.0</v>
      </c>
      <c r="K1853" s="2">
        <v>2440051.0</v>
      </c>
    </row>
    <row r="1854">
      <c r="A1854" s="2">
        <v>2023.0</v>
      </c>
      <c r="B1854" s="1" t="s">
        <v>710</v>
      </c>
      <c r="C1854" s="2"/>
      <c r="D1854" s="2"/>
      <c r="E1854" s="2" t="s">
        <v>76</v>
      </c>
      <c r="F1854" s="2">
        <v>0.0</v>
      </c>
      <c r="I1854" s="2">
        <v>889571.0</v>
      </c>
      <c r="J1854" s="2">
        <v>543851.0</v>
      </c>
      <c r="K1854" s="2">
        <v>345720.0</v>
      </c>
    </row>
    <row r="1855">
      <c r="A1855" s="2">
        <v>2023.0</v>
      </c>
      <c r="B1855" s="1" t="s">
        <v>710</v>
      </c>
      <c r="C1855" s="2"/>
      <c r="D1855" s="2"/>
      <c r="E1855" s="2" t="s">
        <v>32</v>
      </c>
      <c r="F1855" s="2">
        <v>47176.0</v>
      </c>
      <c r="I1855" s="2">
        <v>260023.0</v>
      </c>
      <c r="J1855" s="2">
        <v>136360.0</v>
      </c>
      <c r="K1855" s="2">
        <v>123663.0</v>
      </c>
    </row>
    <row r="1856">
      <c r="A1856" s="2">
        <v>2023.0</v>
      </c>
      <c r="B1856" s="1" t="s">
        <v>710</v>
      </c>
      <c r="C1856" s="2"/>
      <c r="D1856" s="2"/>
      <c r="E1856" s="2" t="s">
        <v>1140</v>
      </c>
      <c r="F1856" s="2">
        <v>2553170.0</v>
      </c>
      <c r="I1856" s="2">
        <v>4556017.0</v>
      </c>
      <c r="J1856" s="2">
        <v>4078881.0</v>
      </c>
      <c r="K1856" s="2">
        <v>477136.0</v>
      </c>
    </row>
    <row r="1857">
      <c r="A1857" s="2">
        <v>2023.0</v>
      </c>
      <c r="B1857" s="1" t="s">
        <v>710</v>
      </c>
      <c r="C1857" s="2"/>
      <c r="D1857" s="2" t="s">
        <v>998</v>
      </c>
      <c r="E1857" s="2" t="s">
        <v>25</v>
      </c>
      <c r="F1857" s="2">
        <v>1598208.0</v>
      </c>
      <c r="I1857" s="2">
        <v>3944157.0</v>
      </c>
      <c r="J1857" s="2">
        <v>1695594.0</v>
      </c>
      <c r="K1857" s="2">
        <v>2248563.0</v>
      </c>
    </row>
    <row r="1858">
      <c r="A1858" s="2">
        <v>2023.0</v>
      </c>
      <c r="B1858" s="1" t="s">
        <v>710</v>
      </c>
      <c r="C1858" s="2"/>
      <c r="D1858" s="2"/>
      <c r="E1858" s="2" t="s">
        <v>32</v>
      </c>
      <c r="F1858" s="2">
        <v>2308.0</v>
      </c>
      <c r="I1858" s="2">
        <v>114244.0</v>
      </c>
      <c r="J1858" s="2">
        <v>110671.0</v>
      </c>
      <c r="K1858" s="2">
        <v>3573.0</v>
      </c>
    </row>
    <row r="1859">
      <c r="A1859" s="2">
        <v>2023.0</v>
      </c>
      <c r="B1859" s="1" t="s">
        <v>710</v>
      </c>
      <c r="C1859" s="2"/>
      <c r="D1859" s="2"/>
      <c r="E1859" s="2" t="s">
        <v>1140</v>
      </c>
      <c r="F1859" s="2">
        <v>465460.0</v>
      </c>
      <c r="I1859" s="2">
        <v>3705435.0</v>
      </c>
      <c r="J1859" s="2">
        <v>2733476.0</v>
      </c>
      <c r="K1859" s="2">
        <v>971959.0</v>
      </c>
    </row>
    <row r="1860">
      <c r="A1860" s="2">
        <v>2023.0</v>
      </c>
      <c r="B1860" s="1" t="s">
        <v>710</v>
      </c>
      <c r="C1860" s="2"/>
      <c r="D1860" s="2" t="s">
        <v>28</v>
      </c>
      <c r="E1860" s="2" t="s">
        <v>25</v>
      </c>
      <c r="F1860" s="2">
        <v>1679078.0</v>
      </c>
      <c r="I1860" s="2">
        <v>3928963.0</v>
      </c>
      <c r="J1860" s="2">
        <v>0.0</v>
      </c>
      <c r="K1860" s="2">
        <v>3928963.0</v>
      </c>
    </row>
    <row r="1861">
      <c r="A1861" s="2">
        <v>2023.0</v>
      </c>
      <c r="B1861" s="1" t="s">
        <v>710</v>
      </c>
      <c r="C1861" s="2"/>
      <c r="D1861" s="2"/>
      <c r="E1861" s="2" t="s">
        <v>1412</v>
      </c>
      <c r="F1861" s="2">
        <v>4219992.0</v>
      </c>
      <c r="I1861" s="2">
        <v>6399118.0</v>
      </c>
      <c r="J1861" s="2">
        <v>4584757.0</v>
      </c>
      <c r="K1861" s="2">
        <v>1814361.0</v>
      </c>
    </row>
    <row r="1862">
      <c r="A1862" s="2">
        <v>2023.0</v>
      </c>
      <c r="B1862" s="1" t="s">
        <v>710</v>
      </c>
      <c r="C1862" s="2"/>
      <c r="D1862" s="2"/>
      <c r="E1862" s="2" t="s">
        <v>32</v>
      </c>
      <c r="F1862" s="2">
        <v>269344.0</v>
      </c>
      <c r="I1862" s="2">
        <v>1302678.0</v>
      </c>
      <c r="J1862" s="2">
        <v>596931.0</v>
      </c>
      <c r="K1862" s="2">
        <v>705747.0</v>
      </c>
    </row>
    <row r="1863">
      <c r="A1863" s="2">
        <v>2023.0</v>
      </c>
      <c r="B1863" s="1" t="s">
        <v>710</v>
      </c>
      <c r="C1863" s="2"/>
      <c r="D1863" s="2"/>
      <c r="E1863" s="2" t="s">
        <v>56</v>
      </c>
      <c r="F1863" s="2">
        <v>25130.0</v>
      </c>
      <c r="I1863" s="2">
        <v>25676.0</v>
      </c>
      <c r="J1863" s="2">
        <v>20000.0</v>
      </c>
      <c r="K1863" s="2">
        <v>5676.0</v>
      </c>
    </row>
    <row r="1864">
      <c r="A1864" s="2">
        <v>2023.0</v>
      </c>
      <c r="B1864" s="1" t="s">
        <v>710</v>
      </c>
      <c r="C1864" s="2"/>
      <c r="D1864" s="2"/>
      <c r="E1864" s="2" t="s">
        <v>1413</v>
      </c>
      <c r="F1864" s="2">
        <v>128807.0</v>
      </c>
      <c r="I1864" s="2">
        <v>147281.0</v>
      </c>
      <c r="J1864" s="2">
        <v>0.0</v>
      </c>
      <c r="K1864" s="2">
        <v>147281.0</v>
      </c>
    </row>
    <row r="1865">
      <c r="A1865" s="2">
        <v>2023.0</v>
      </c>
      <c r="B1865" s="1" t="s">
        <v>710</v>
      </c>
      <c r="C1865" s="2" t="s">
        <v>641</v>
      </c>
      <c r="D1865" s="2" t="s">
        <v>649</v>
      </c>
      <c r="E1865" s="2" t="s">
        <v>1414</v>
      </c>
      <c r="F1865" s="2">
        <v>3919459.0</v>
      </c>
      <c r="I1865" s="2">
        <v>8868927.0</v>
      </c>
      <c r="J1865" s="2">
        <v>4893371.0</v>
      </c>
      <c r="K1865" s="2">
        <v>3975556.0</v>
      </c>
    </row>
    <row r="1866">
      <c r="A1866" s="2">
        <v>2023.0</v>
      </c>
      <c r="B1866" s="1" t="s">
        <v>710</v>
      </c>
      <c r="C1866" s="2"/>
      <c r="D1866" s="2"/>
      <c r="E1866" s="2" t="s">
        <v>686</v>
      </c>
      <c r="F1866" s="2">
        <v>2982591.0</v>
      </c>
      <c r="I1866" s="2">
        <v>6964540.0</v>
      </c>
      <c r="J1866" s="2">
        <v>3825000.0</v>
      </c>
      <c r="K1866" s="2">
        <v>3139540.0</v>
      </c>
    </row>
    <row r="1867">
      <c r="A1867" s="2">
        <v>2023.0</v>
      </c>
      <c r="B1867" s="1" t="s">
        <v>710</v>
      </c>
      <c r="C1867" s="2"/>
      <c r="D1867" s="2"/>
      <c r="E1867" s="2" t="s">
        <v>32</v>
      </c>
      <c r="F1867" s="2">
        <v>1533058.0</v>
      </c>
      <c r="I1867" s="2">
        <v>2775511.0</v>
      </c>
      <c r="J1867" s="2">
        <v>1694661.0</v>
      </c>
      <c r="K1867" s="2">
        <v>1080850.0</v>
      </c>
    </row>
    <row r="1868">
      <c r="A1868" s="2">
        <v>2023.0</v>
      </c>
      <c r="B1868" s="1" t="s">
        <v>710</v>
      </c>
      <c r="C1868" s="2"/>
      <c r="D1868" s="2" t="s">
        <v>644</v>
      </c>
      <c r="E1868" s="2" t="s">
        <v>56</v>
      </c>
      <c r="F1868" s="2">
        <v>608644.0</v>
      </c>
      <c r="I1868" s="2">
        <v>2895611.0</v>
      </c>
      <c r="J1868" s="2">
        <v>2271896.0</v>
      </c>
      <c r="K1868" s="2">
        <v>623715.0</v>
      </c>
    </row>
    <row r="1869">
      <c r="A1869" s="2">
        <v>2023.0</v>
      </c>
      <c r="B1869" s="1" t="s">
        <v>710</v>
      </c>
      <c r="C1869" s="2"/>
      <c r="D1869" s="2"/>
      <c r="E1869" s="2" t="s">
        <v>25</v>
      </c>
      <c r="F1869" s="2">
        <v>1289184.0</v>
      </c>
      <c r="I1869" s="2">
        <v>3015585.0</v>
      </c>
      <c r="J1869" s="2">
        <v>9000.0</v>
      </c>
      <c r="K1869" s="2">
        <v>3006585.0</v>
      </c>
    </row>
    <row r="1870">
      <c r="A1870" s="2">
        <v>2023.0</v>
      </c>
      <c r="B1870" s="1" t="s">
        <v>710</v>
      </c>
      <c r="C1870" s="2"/>
      <c r="D1870" s="2"/>
      <c r="E1870" s="2" t="s">
        <v>1415</v>
      </c>
      <c r="F1870" s="2">
        <v>4929138.0</v>
      </c>
      <c r="I1870" s="2">
        <v>6417047.0</v>
      </c>
      <c r="J1870" s="2">
        <v>4474164.0</v>
      </c>
      <c r="K1870" s="2">
        <v>1942883.0</v>
      </c>
    </row>
    <row r="1871">
      <c r="A1871" s="2">
        <v>2023.0</v>
      </c>
      <c r="B1871" s="1" t="s">
        <v>710</v>
      </c>
      <c r="C1871" s="2"/>
      <c r="D1871" s="2"/>
      <c r="E1871" s="2" t="s">
        <v>32</v>
      </c>
      <c r="F1871" s="2">
        <v>208253.0</v>
      </c>
      <c r="I1871" s="2">
        <v>2623995.0</v>
      </c>
      <c r="J1871" s="2">
        <v>412443.0</v>
      </c>
      <c r="K1871" s="2">
        <v>2211552.0</v>
      </c>
    </row>
    <row r="1872">
      <c r="A1872" s="2">
        <v>2023.0</v>
      </c>
      <c r="B1872" s="1" t="s">
        <v>710</v>
      </c>
      <c r="C1872" s="2"/>
      <c r="D1872" s="2" t="s">
        <v>1416</v>
      </c>
      <c r="E1872" s="2" t="s">
        <v>686</v>
      </c>
      <c r="F1872" s="2">
        <v>1200376.0</v>
      </c>
      <c r="I1872" s="2">
        <v>2813874.0</v>
      </c>
      <c r="J1872" s="2">
        <v>0.0</v>
      </c>
      <c r="K1872" s="2">
        <v>2813874.0</v>
      </c>
    </row>
    <row r="1873">
      <c r="A1873" s="2">
        <v>2023.0</v>
      </c>
      <c r="B1873" s="1" t="s">
        <v>710</v>
      </c>
      <c r="C1873" s="2"/>
      <c r="D1873" s="2"/>
      <c r="E1873" s="2" t="s">
        <v>32</v>
      </c>
      <c r="F1873" s="2">
        <v>381874.0</v>
      </c>
      <c r="I1873" s="2">
        <v>1247589.0</v>
      </c>
      <c r="J1873" s="2">
        <v>424035.0</v>
      </c>
      <c r="K1873" s="2">
        <v>823554.0</v>
      </c>
    </row>
    <row r="1874">
      <c r="A1874" s="2">
        <v>2023.0</v>
      </c>
      <c r="B1874" s="1" t="s">
        <v>710</v>
      </c>
      <c r="C1874" s="2"/>
      <c r="D1874" s="2"/>
      <c r="E1874" s="2" t="s">
        <v>1417</v>
      </c>
      <c r="F1874" s="2">
        <v>3292817.0</v>
      </c>
      <c r="I1874" s="2">
        <v>6900587.0</v>
      </c>
      <c r="J1874" s="2">
        <v>3757938.0</v>
      </c>
      <c r="K1874" s="2">
        <v>3142649.0</v>
      </c>
    </row>
    <row r="1875">
      <c r="A1875" s="2">
        <v>2023.0</v>
      </c>
      <c r="B1875" s="1" t="s">
        <v>710</v>
      </c>
      <c r="C1875" s="2"/>
      <c r="D1875" s="2" t="s">
        <v>1418</v>
      </c>
      <c r="E1875" s="2" t="s">
        <v>25</v>
      </c>
      <c r="F1875" s="2">
        <v>1369126.0</v>
      </c>
      <c r="I1875" s="2">
        <v>3677489.0</v>
      </c>
      <c r="J1875" s="2">
        <v>961344.0</v>
      </c>
      <c r="K1875" s="2">
        <v>2716145.0</v>
      </c>
    </row>
    <row r="1876">
      <c r="A1876" s="2">
        <v>2023.0</v>
      </c>
      <c r="B1876" s="1" t="s">
        <v>710</v>
      </c>
      <c r="C1876" s="2"/>
      <c r="D1876" s="2"/>
      <c r="E1876" s="2" t="s">
        <v>1419</v>
      </c>
      <c r="F1876" s="2">
        <v>3192705.0</v>
      </c>
      <c r="I1876" s="2">
        <v>6508179.0</v>
      </c>
      <c r="J1876" s="2">
        <v>3126037.0</v>
      </c>
      <c r="K1876" s="2">
        <v>3382142.0</v>
      </c>
    </row>
    <row r="1877">
      <c r="A1877" s="2">
        <v>2023.0</v>
      </c>
      <c r="B1877" s="1" t="s">
        <v>710</v>
      </c>
      <c r="C1877" s="2"/>
      <c r="D1877" s="2" t="s">
        <v>656</v>
      </c>
      <c r="E1877" s="2" t="s">
        <v>25</v>
      </c>
      <c r="F1877" s="2">
        <v>1105908.0</v>
      </c>
      <c r="I1877" s="2">
        <v>2609888.0</v>
      </c>
      <c r="J1877" s="2">
        <v>0.0</v>
      </c>
      <c r="K1877" s="2">
        <v>2609888.0</v>
      </c>
    </row>
    <row r="1878">
      <c r="A1878" s="2">
        <v>2023.0</v>
      </c>
      <c r="B1878" s="1" t="s">
        <v>710</v>
      </c>
      <c r="C1878" s="2"/>
      <c r="D1878" s="2"/>
      <c r="E1878" s="2" t="s">
        <v>92</v>
      </c>
      <c r="F1878" s="2">
        <v>5405273.0</v>
      </c>
      <c r="I1878" s="2">
        <v>5850567.0</v>
      </c>
      <c r="J1878" s="2">
        <v>1863143.0</v>
      </c>
      <c r="K1878" s="2">
        <v>3987424.0</v>
      </c>
    </row>
    <row r="1879">
      <c r="A1879" s="2">
        <v>2023.0</v>
      </c>
      <c r="B1879" s="1" t="s">
        <v>710</v>
      </c>
      <c r="C1879" s="2"/>
      <c r="D1879" s="2"/>
      <c r="E1879" s="2" t="s">
        <v>32</v>
      </c>
      <c r="F1879" s="2">
        <v>139752.0</v>
      </c>
      <c r="I1879" s="2">
        <v>172638.0</v>
      </c>
      <c r="J1879" s="2">
        <v>104955.0</v>
      </c>
      <c r="K1879" s="2">
        <v>67683.0</v>
      </c>
    </row>
    <row r="1880">
      <c r="A1880" s="2">
        <v>2023.0</v>
      </c>
      <c r="B1880" s="1" t="s">
        <v>710</v>
      </c>
      <c r="C1880" s="2"/>
      <c r="D1880" s="2" t="s">
        <v>1023</v>
      </c>
      <c r="E1880" s="2" t="s">
        <v>968</v>
      </c>
      <c r="F1880" s="2">
        <v>5555512.0</v>
      </c>
      <c r="I1880" s="2">
        <v>6257261.0</v>
      </c>
      <c r="J1880" s="2">
        <v>4334403.0</v>
      </c>
      <c r="K1880" s="2">
        <v>1922858.0</v>
      </c>
    </row>
    <row r="1881">
      <c r="A1881" s="2">
        <v>2023.0</v>
      </c>
      <c r="B1881" s="1" t="s">
        <v>710</v>
      </c>
      <c r="C1881" s="2"/>
      <c r="D1881" s="2"/>
      <c r="E1881" s="2" t="s">
        <v>1420</v>
      </c>
      <c r="F1881" s="2">
        <v>380097.0</v>
      </c>
      <c r="I1881" s="2">
        <v>3925595.0</v>
      </c>
      <c r="J1881" s="2">
        <v>513464.0</v>
      </c>
      <c r="K1881" s="2">
        <v>3412131.0</v>
      </c>
    </row>
    <row r="1882">
      <c r="A1882" s="2">
        <v>2023.0</v>
      </c>
      <c r="B1882" s="1" t="s">
        <v>710</v>
      </c>
      <c r="C1882" s="2"/>
      <c r="D1882" s="2"/>
      <c r="E1882" s="2" t="s">
        <v>25</v>
      </c>
      <c r="F1882" s="2">
        <v>1623729.0</v>
      </c>
      <c r="I1882" s="2">
        <v>8097185.0</v>
      </c>
      <c r="J1882" s="2">
        <v>4765000.0</v>
      </c>
      <c r="K1882" s="2">
        <v>3332185.0</v>
      </c>
    </row>
    <row r="1883">
      <c r="A1883" s="2">
        <v>2023.0</v>
      </c>
      <c r="B1883" s="1" t="s">
        <v>710</v>
      </c>
      <c r="C1883" s="2"/>
      <c r="D1883" s="2"/>
      <c r="E1883" s="2" t="s">
        <v>1421</v>
      </c>
      <c r="F1883" s="2">
        <v>2344407.0</v>
      </c>
      <c r="I1883" s="2">
        <v>3247086.0</v>
      </c>
      <c r="J1883" s="2">
        <v>2580137.0</v>
      </c>
      <c r="K1883" s="2">
        <v>666949.0</v>
      </c>
    </row>
    <row r="1884">
      <c r="A1884" s="2">
        <v>2023.0</v>
      </c>
      <c r="B1884" s="1" t="s">
        <v>710</v>
      </c>
      <c r="C1884" s="2"/>
      <c r="D1884" s="2" t="s">
        <v>1422</v>
      </c>
      <c r="E1884" s="2" t="s">
        <v>25</v>
      </c>
      <c r="F1884" s="2">
        <v>1736100.0</v>
      </c>
      <c r="I1884" s="2">
        <v>4064220.0</v>
      </c>
      <c r="J1884" s="2">
        <v>1580000.0</v>
      </c>
      <c r="K1884" s="2">
        <v>2484220.0</v>
      </c>
    </row>
    <row r="1885">
      <c r="A1885" s="2">
        <v>2023.0</v>
      </c>
      <c r="B1885" s="1" t="s">
        <v>710</v>
      </c>
      <c r="C1885" s="2"/>
      <c r="D1885" s="2"/>
      <c r="E1885" s="2" t="s">
        <v>972</v>
      </c>
      <c r="F1885" s="2">
        <v>7084220.0</v>
      </c>
      <c r="I1885" s="2">
        <v>1.2887685E7</v>
      </c>
      <c r="J1885" s="2">
        <v>9491429.0</v>
      </c>
      <c r="K1885" s="2">
        <v>3396256.0</v>
      </c>
    </row>
    <row r="1886">
      <c r="A1886" s="2">
        <v>2023.0</v>
      </c>
      <c r="B1886" s="1" t="s">
        <v>710</v>
      </c>
      <c r="C1886" s="2"/>
      <c r="D1886" s="2"/>
      <c r="E1886" s="2" t="s">
        <v>76</v>
      </c>
      <c r="F1886" s="2">
        <v>0.0</v>
      </c>
      <c r="I1886" s="2">
        <v>3305258.0</v>
      </c>
      <c r="J1886" s="2">
        <v>1140029.0</v>
      </c>
      <c r="K1886" s="2">
        <v>2165229.0</v>
      </c>
    </row>
    <row r="1887">
      <c r="A1887" s="2">
        <v>2023.0</v>
      </c>
      <c r="B1887" s="1" t="s">
        <v>710</v>
      </c>
      <c r="C1887" s="2"/>
      <c r="D1887" s="2"/>
      <c r="E1887" s="2" t="s">
        <v>279</v>
      </c>
      <c r="F1887" s="2">
        <v>98706.0</v>
      </c>
      <c r="I1887" s="2">
        <v>104284.0</v>
      </c>
      <c r="J1887" s="2">
        <v>0.0</v>
      </c>
      <c r="K1887" s="2">
        <v>104284.0</v>
      </c>
    </row>
    <row r="1888">
      <c r="A1888" s="2">
        <v>2023.0</v>
      </c>
      <c r="B1888" s="1" t="s">
        <v>710</v>
      </c>
      <c r="C1888" s="2"/>
      <c r="D1888" s="2" t="s">
        <v>1175</v>
      </c>
      <c r="E1888" s="2" t="s">
        <v>25</v>
      </c>
      <c r="F1888" s="2">
        <v>1777812.0</v>
      </c>
      <c r="I1888" s="2">
        <v>4175212.0</v>
      </c>
      <c r="J1888" s="2">
        <v>2068400.0</v>
      </c>
      <c r="K1888" s="2">
        <v>2106812.0</v>
      </c>
    </row>
    <row r="1889">
      <c r="A1889" s="2">
        <v>2023.0</v>
      </c>
      <c r="B1889" s="1" t="s">
        <v>710</v>
      </c>
      <c r="C1889" s="2"/>
      <c r="D1889" s="2"/>
      <c r="E1889" s="2" t="s">
        <v>76</v>
      </c>
      <c r="F1889" s="2">
        <v>513350.0</v>
      </c>
      <c r="I1889" s="2">
        <v>516694.0</v>
      </c>
      <c r="J1889" s="2">
        <v>512786.0</v>
      </c>
      <c r="K1889" s="2">
        <v>3908.0</v>
      </c>
    </row>
    <row r="1890">
      <c r="A1890" s="2">
        <v>2023.0</v>
      </c>
      <c r="B1890" s="1" t="s">
        <v>710</v>
      </c>
      <c r="C1890" s="2"/>
      <c r="D1890" s="2"/>
      <c r="E1890" s="2" t="s">
        <v>56</v>
      </c>
      <c r="F1890" s="2">
        <v>3649118.0</v>
      </c>
      <c r="I1890" s="2">
        <v>7272249.0</v>
      </c>
      <c r="J1890" s="2">
        <v>3008950.0</v>
      </c>
      <c r="K1890" s="2">
        <v>4263299.0</v>
      </c>
    </row>
    <row r="1891">
      <c r="A1891" s="2">
        <v>2023.0</v>
      </c>
      <c r="B1891" s="1" t="s">
        <v>710</v>
      </c>
      <c r="C1891" s="2"/>
      <c r="D1891" s="2"/>
      <c r="E1891" s="2" t="s">
        <v>69</v>
      </c>
      <c r="F1891" s="2">
        <v>338588.0</v>
      </c>
      <c r="I1891" s="2">
        <v>493599.0</v>
      </c>
      <c r="J1891" s="2">
        <v>97397.0</v>
      </c>
      <c r="K1891" s="2">
        <v>396202.0</v>
      </c>
    </row>
    <row r="1892">
      <c r="A1892" s="2">
        <v>2023.0</v>
      </c>
      <c r="B1892" s="1" t="s">
        <v>710</v>
      </c>
      <c r="C1892" s="2"/>
      <c r="D1892" s="2"/>
      <c r="E1892" s="2" t="s">
        <v>32</v>
      </c>
      <c r="F1892" s="2">
        <v>419238.0</v>
      </c>
      <c r="I1892" s="2">
        <v>823994.0</v>
      </c>
      <c r="J1892" s="2">
        <v>491129.0</v>
      </c>
      <c r="K1892" s="2">
        <v>332865.0</v>
      </c>
    </row>
    <row r="1893">
      <c r="A1893" s="2">
        <v>2023.0</v>
      </c>
      <c r="B1893" s="1" t="s">
        <v>710</v>
      </c>
      <c r="C1893" s="2" t="s">
        <v>128</v>
      </c>
      <c r="D1893" s="2" t="s">
        <v>1423</v>
      </c>
      <c r="E1893" s="2" t="s">
        <v>32</v>
      </c>
      <c r="F1893" s="2">
        <v>297017.0</v>
      </c>
      <c r="I1893" s="2">
        <v>376439.0</v>
      </c>
      <c r="J1893" s="2">
        <v>44136.0</v>
      </c>
      <c r="K1893" s="2">
        <v>332303.0</v>
      </c>
    </row>
    <row r="1894">
      <c r="A1894" s="2">
        <v>2023.0</v>
      </c>
      <c r="B1894" s="1" t="s">
        <v>710</v>
      </c>
      <c r="C1894" s="2"/>
      <c r="D1894" s="2"/>
      <c r="E1894" s="2" t="s">
        <v>56</v>
      </c>
      <c r="F1894" s="2">
        <v>1540076.0</v>
      </c>
      <c r="I1894" s="2">
        <v>3952295.0</v>
      </c>
      <c r="J1894" s="2">
        <v>2272906.0</v>
      </c>
      <c r="K1894" s="2">
        <v>1679389.0</v>
      </c>
    </row>
    <row r="1895">
      <c r="A1895" s="2">
        <v>2023.0</v>
      </c>
      <c r="B1895" s="1" t="s">
        <v>710</v>
      </c>
      <c r="C1895" s="2"/>
      <c r="D1895" s="2"/>
      <c r="E1895" s="2" t="s">
        <v>25</v>
      </c>
      <c r="F1895" s="2">
        <v>1183748.0</v>
      </c>
      <c r="I1895" s="2">
        <v>3230397.0</v>
      </c>
      <c r="J1895" s="2">
        <v>963387.0</v>
      </c>
      <c r="K1895" s="2">
        <v>2267010.0</v>
      </c>
    </row>
    <row r="1896">
      <c r="A1896" s="2">
        <v>2023.0</v>
      </c>
      <c r="B1896" s="1" t="s">
        <v>710</v>
      </c>
      <c r="C1896" s="2"/>
      <c r="D1896" s="2" t="s">
        <v>131</v>
      </c>
      <c r="E1896" s="2" t="s">
        <v>25</v>
      </c>
      <c r="F1896" s="2">
        <v>274122.0</v>
      </c>
      <c r="I1896" s="2">
        <v>1925627.0</v>
      </c>
      <c r="J1896" s="2">
        <v>18.0</v>
      </c>
      <c r="K1896" s="2">
        <v>1925609.0</v>
      </c>
    </row>
    <row r="1897">
      <c r="A1897" s="2">
        <v>2023.0</v>
      </c>
      <c r="B1897" s="1" t="s">
        <v>710</v>
      </c>
      <c r="C1897" s="2"/>
      <c r="D1897" s="2"/>
      <c r="E1897" s="2" t="s">
        <v>56</v>
      </c>
      <c r="F1897" s="2">
        <v>1955859.0</v>
      </c>
      <c r="I1897" s="2">
        <v>3626541.0</v>
      </c>
      <c r="J1897" s="2">
        <v>2469600.0</v>
      </c>
      <c r="K1897" s="2">
        <v>1156941.0</v>
      </c>
    </row>
    <row r="1898">
      <c r="A1898" s="2">
        <v>2023.0</v>
      </c>
      <c r="B1898" s="1" t="s">
        <v>710</v>
      </c>
      <c r="C1898" s="2"/>
      <c r="D1898" s="2"/>
      <c r="E1898" s="2" t="s">
        <v>32</v>
      </c>
      <c r="F1898" s="2">
        <v>155737.0</v>
      </c>
      <c r="I1898" s="2">
        <v>173560.0</v>
      </c>
      <c r="J1898" s="2">
        <v>0.0</v>
      </c>
      <c r="K1898" s="2">
        <v>173560.0</v>
      </c>
    </row>
    <row r="1899">
      <c r="A1899" s="2">
        <v>2023.0</v>
      </c>
      <c r="B1899" s="1" t="s">
        <v>710</v>
      </c>
      <c r="C1899" s="2" t="s">
        <v>1006</v>
      </c>
      <c r="D1899" s="2" t="s">
        <v>1424</v>
      </c>
      <c r="E1899" s="2" t="s">
        <v>56</v>
      </c>
      <c r="F1899" s="2">
        <v>868157.0</v>
      </c>
      <c r="I1899" s="2">
        <v>3079705.0</v>
      </c>
      <c r="J1899" s="2">
        <v>2148155.0</v>
      </c>
      <c r="K1899" s="2">
        <v>931550.0</v>
      </c>
    </row>
    <row r="1900">
      <c r="A1900" s="2">
        <v>2023.0</v>
      </c>
      <c r="B1900" s="1" t="s">
        <v>710</v>
      </c>
      <c r="C1900" s="2"/>
      <c r="D1900" s="2"/>
      <c r="E1900" s="2" t="s">
        <v>25</v>
      </c>
      <c r="F1900" s="2">
        <v>1046225.0</v>
      </c>
      <c r="I1900" s="2">
        <v>3034218.0</v>
      </c>
      <c r="J1900" s="2">
        <v>198254.0</v>
      </c>
      <c r="K1900" s="2">
        <v>2835964.0</v>
      </c>
    </row>
    <row r="1901">
      <c r="A1901" s="2">
        <v>2023.0</v>
      </c>
      <c r="B1901" s="1" t="s">
        <v>710</v>
      </c>
      <c r="C1901" s="2"/>
      <c r="D1901" s="2"/>
      <c r="E1901" s="2" t="s">
        <v>32</v>
      </c>
      <c r="F1901" s="2">
        <v>28823.0</v>
      </c>
      <c r="I1901" s="2">
        <v>447191.0</v>
      </c>
      <c r="J1901" s="2">
        <v>357060.0</v>
      </c>
      <c r="K1901" s="2">
        <v>90131.0</v>
      </c>
    </row>
    <row r="1902">
      <c r="A1902" s="2">
        <v>2023.0</v>
      </c>
      <c r="B1902" s="1" t="s">
        <v>710</v>
      </c>
      <c r="C1902" s="2"/>
      <c r="D1902" s="2"/>
      <c r="E1902" s="2" t="s">
        <v>1425</v>
      </c>
      <c r="F1902" s="2">
        <v>100846.0</v>
      </c>
      <c r="I1902" s="2">
        <v>1683976.0</v>
      </c>
      <c r="J1902" s="2">
        <v>1566037.0</v>
      </c>
      <c r="K1902" s="2">
        <v>117939.0</v>
      </c>
    </row>
    <row r="1903">
      <c r="A1903" s="2">
        <v>2023.0</v>
      </c>
      <c r="B1903" s="1" t="s">
        <v>710</v>
      </c>
      <c r="C1903" s="2"/>
      <c r="D1903" s="2" t="s">
        <v>1012</v>
      </c>
      <c r="E1903" s="2" t="s">
        <v>56</v>
      </c>
      <c r="F1903" s="2">
        <v>2371005.0</v>
      </c>
      <c r="I1903" s="2">
        <v>4165020.0</v>
      </c>
      <c r="J1903" s="2">
        <v>1830085.0</v>
      </c>
      <c r="K1903" s="2">
        <v>2334935.0</v>
      </c>
    </row>
    <row r="1904">
      <c r="A1904" s="2">
        <v>2023.0</v>
      </c>
      <c r="B1904" s="1" t="s">
        <v>710</v>
      </c>
      <c r="C1904" s="2"/>
      <c r="D1904" s="2"/>
      <c r="E1904" s="2" t="s">
        <v>25</v>
      </c>
      <c r="F1904" s="2">
        <v>827766.0</v>
      </c>
      <c r="I1904" s="2">
        <v>1941387.0</v>
      </c>
      <c r="J1904" s="2">
        <v>254.0</v>
      </c>
      <c r="K1904" s="2">
        <v>1941133.0</v>
      </c>
    </row>
    <row r="1905">
      <c r="A1905" s="2">
        <v>2023.0</v>
      </c>
      <c r="B1905" s="1" t="s">
        <v>710</v>
      </c>
      <c r="C1905" s="2"/>
      <c r="D1905" s="2"/>
      <c r="E1905" s="2" t="s">
        <v>32</v>
      </c>
      <c r="F1905" s="2">
        <v>376000.0</v>
      </c>
      <c r="I1905" s="2">
        <v>475405.0</v>
      </c>
      <c r="J1905" s="2">
        <v>119864.0</v>
      </c>
      <c r="K1905" s="2">
        <v>355541.0</v>
      </c>
    </row>
    <row r="1906">
      <c r="A1906" s="2">
        <v>2023.0</v>
      </c>
      <c r="B1906" s="1" t="s">
        <v>710</v>
      </c>
      <c r="C1906" s="2"/>
      <c r="D1906" s="2"/>
      <c r="E1906" s="2" t="s">
        <v>1425</v>
      </c>
      <c r="F1906" s="2">
        <v>262024.0</v>
      </c>
      <c r="I1906" s="2">
        <v>1727992.0</v>
      </c>
      <c r="J1906" s="2">
        <v>1421056.0</v>
      </c>
      <c r="K1906" s="2">
        <v>306936.0</v>
      </c>
    </row>
    <row r="1907">
      <c r="A1907" s="2">
        <v>2023.0</v>
      </c>
      <c r="B1907" s="1" t="s">
        <v>710</v>
      </c>
      <c r="C1907" s="2"/>
      <c r="D1907" s="2" t="s">
        <v>1426</v>
      </c>
      <c r="E1907" s="2" t="s">
        <v>56</v>
      </c>
      <c r="F1907" s="2">
        <v>669924.0</v>
      </c>
      <c r="I1907" s="2">
        <v>3030765.0</v>
      </c>
      <c r="J1907" s="2">
        <v>1373217.0</v>
      </c>
      <c r="K1907" s="2">
        <v>1657548.0</v>
      </c>
    </row>
    <row r="1908">
      <c r="A1908" s="2">
        <v>2023.0</v>
      </c>
      <c r="B1908" s="1" t="s">
        <v>710</v>
      </c>
      <c r="C1908" s="2"/>
      <c r="D1908" s="2"/>
      <c r="E1908" s="2" t="s">
        <v>25</v>
      </c>
      <c r="F1908" s="2">
        <v>1081000.0</v>
      </c>
      <c r="I1908" s="2">
        <v>2531076.0</v>
      </c>
      <c r="J1908" s="2">
        <v>799754.0</v>
      </c>
      <c r="K1908" s="2">
        <v>1731322.0</v>
      </c>
    </row>
    <row r="1909">
      <c r="A1909" s="2">
        <v>2023.0</v>
      </c>
      <c r="B1909" s="1" t="s">
        <v>710</v>
      </c>
      <c r="C1909" s="2"/>
      <c r="D1909" s="2"/>
      <c r="E1909" s="2" t="s">
        <v>32</v>
      </c>
      <c r="F1909" s="2">
        <v>156199.0</v>
      </c>
      <c r="I1909" s="2">
        <v>750460.0</v>
      </c>
      <c r="J1909" s="2">
        <v>681778.0</v>
      </c>
      <c r="K1909" s="2">
        <v>68682.0</v>
      </c>
    </row>
    <row r="1910">
      <c r="A1910" s="2">
        <v>2023.0</v>
      </c>
      <c r="B1910" s="1" t="s">
        <v>710</v>
      </c>
      <c r="C1910" s="2"/>
      <c r="D1910" s="2" t="s">
        <v>1008</v>
      </c>
      <c r="E1910" s="2" t="s">
        <v>56</v>
      </c>
      <c r="F1910" s="2">
        <v>2713099.0</v>
      </c>
      <c r="I1910" s="2">
        <v>5782538.0</v>
      </c>
      <c r="J1910" s="2">
        <v>2906710.0</v>
      </c>
      <c r="K1910" s="2">
        <v>2875828.0</v>
      </c>
    </row>
    <row r="1911">
      <c r="A1911" s="2">
        <v>2023.0</v>
      </c>
      <c r="B1911" s="1" t="s">
        <v>710</v>
      </c>
      <c r="C1911" s="2"/>
      <c r="D1911" s="2"/>
      <c r="E1911" s="2" t="s">
        <v>25</v>
      </c>
      <c r="F1911" s="2">
        <v>2693744.0</v>
      </c>
      <c r="I1911" s="2">
        <v>6416550.0</v>
      </c>
      <c r="J1911" s="2">
        <v>1185129.0</v>
      </c>
      <c r="K1911" s="2">
        <v>5231421.0</v>
      </c>
    </row>
    <row r="1912">
      <c r="A1912" s="2">
        <v>2023.0</v>
      </c>
      <c r="B1912" s="1" t="s">
        <v>710</v>
      </c>
      <c r="C1912" s="2"/>
      <c r="D1912" s="2"/>
      <c r="E1912" s="2" t="s">
        <v>76</v>
      </c>
      <c r="F1912" s="2">
        <v>3266.0</v>
      </c>
      <c r="I1912" s="2">
        <v>1010164.0</v>
      </c>
      <c r="J1912" s="2">
        <v>799158.0</v>
      </c>
      <c r="K1912" s="2">
        <v>211006.0</v>
      </c>
    </row>
    <row r="1913">
      <c r="A1913" s="2">
        <v>2023.0</v>
      </c>
      <c r="B1913" s="1" t="s">
        <v>710</v>
      </c>
      <c r="C1913" s="2"/>
      <c r="D1913" s="2"/>
      <c r="E1913" s="2" t="s">
        <v>32</v>
      </c>
      <c r="F1913" s="2">
        <v>124755.0</v>
      </c>
      <c r="I1913" s="2">
        <v>263290.0</v>
      </c>
      <c r="J1913" s="2">
        <v>143552.0</v>
      </c>
      <c r="K1913" s="2">
        <v>119738.0</v>
      </c>
    </row>
    <row r="1914">
      <c r="A1914" s="2">
        <v>2023.0</v>
      </c>
      <c r="B1914" s="1" t="s">
        <v>710</v>
      </c>
      <c r="C1914" s="2"/>
      <c r="D1914" s="2" t="s">
        <v>1427</v>
      </c>
      <c r="E1914" s="2" t="s">
        <v>56</v>
      </c>
      <c r="F1914" s="2">
        <v>960616.0</v>
      </c>
      <c r="I1914" s="2">
        <v>2980374.0</v>
      </c>
      <c r="J1914" s="2">
        <v>1662244.0</v>
      </c>
      <c r="K1914" s="2">
        <v>1318130.0</v>
      </c>
    </row>
    <row r="1915">
      <c r="A1915" s="2">
        <v>2023.0</v>
      </c>
      <c r="B1915" s="1" t="s">
        <v>710</v>
      </c>
      <c r="C1915" s="2"/>
      <c r="D1915" s="2"/>
      <c r="E1915" s="2" t="s">
        <v>25</v>
      </c>
      <c r="F1915" s="2">
        <v>813231.0</v>
      </c>
      <c r="I1915" s="2">
        <v>2163668.0</v>
      </c>
      <c r="J1915" s="2">
        <v>1145487.0</v>
      </c>
      <c r="K1915" s="2">
        <v>1018181.0</v>
      </c>
    </row>
    <row r="1916">
      <c r="A1916" s="2">
        <v>2023.0</v>
      </c>
      <c r="B1916" s="1" t="s">
        <v>710</v>
      </c>
      <c r="C1916" s="2"/>
      <c r="D1916" s="2"/>
      <c r="E1916" s="2" t="s">
        <v>32</v>
      </c>
      <c r="F1916" s="2">
        <v>102055.0</v>
      </c>
      <c r="I1916" s="2">
        <v>282800.0</v>
      </c>
      <c r="J1916" s="2">
        <v>189310.0</v>
      </c>
      <c r="K1916" s="2">
        <v>93490.0</v>
      </c>
    </row>
    <row r="1917">
      <c r="A1917" s="2">
        <v>2023.0</v>
      </c>
      <c r="B1917" s="1" t="s">
        <v>710</v>
      </c>
      <c r="C1917" s="2" t="s">
        <v>746</v>
      </c>
      <c r="D1917" s="2" t="s">
        <v>752</v>
      </c>
      <c r="E1917" s="2" t="s">
        <v>1428</v>
      </c>
      <c r="F1917" s="2">
        <v>703387.0</v>
      </c>
      <c r="I1917" s="2">
        <v>2287435.0</v>
      </c>
      <c r="J1917" s="2">
        <v>1574953.0</v>
      </c>
      <c r="K1917" s="2">
        <v>712482.0</v>
      </c>
    </row>
    <row r="1918">
      <c r="A1918" s="2">
        <v>2023.0</v>
      </c>
      <c r="B1918" s="1" t="s">
        <v>710</v>
      </c>
      <c r="C1918" s="2"/>
      <c r="D1918" s="2"/>
      <c r="E1918" s="2" t="s">
        <v>32</v>
      </c>
      <c r="F1918" s="2">
        <v>19340.0</v>
      </c>
      <c r="I1918" s="2">
        <v>77547.0</v>
      </c>
      <c r="J1918" s="2">
        <v>34370.0</v>
      </c>
      <c r="K1918" s="2">
        <v>43177.0</v>
      </c>
    </row>
    <row r="1919">
      <c r="A1919" s="2">
        <v>2023.0</v>
      </c>
      <c r="B1919" s="1" t="s">
        <v>710</v>
      </c>
      <c r="C1919" s="2"/>
      <c r="D1919" s="2"/>
      <c r="E1919" s="2" t="s">
        <v>1430</v>
      </c>
      <c r="F1919" s="2">
        <v>526553.0</v>
      </c>
      <c r="I1919" s="2">
        <v>2364301.0</v>
      </c>
      <c r="J1919" s="2">
        <v>300000.0</v>
      </c>
      <c r="K1919" s="2">
        <v>2064301.0</v>
      </c>
    </row>
    <row r="1920">
      <c r="A1920" s="2">
        <v>2023.0</v>
      </c>
      <c r="B1920" s="1" t="s">
        <v>710</v>
      </c>
      <c r="C1920" s="2"/>
      <c r="D1920" s="2" t="s">
        <v>751</v>
      </c>
      <c r="E1920" s="2" t="s">
        <v>1431</v>
      </c>
      <c r="F1920" s="2">
        <v>5747652.0</v>
      </c>
      <c r="I1920" s="2">
        <v>7912582.0</v>
      </c>
      <c r="J1920" s="2">
        <v>3899187.0</v>
      </c>
      <c r="K1920" s="2">
        <v>4013395.0</v>
      </c>
    </row>
    <row r="1921">
      <c r="A1921" s="2">
        <v>2023.0</v>
      </c>
      <c r="B1921" s="1" t="s">
        <v>710</v>
      </c>
      <c r="C1921" s="2"/>
      <c r="D1921" s="2"/>
      <c r="E1921" s="2" t="s">
        <v>760</v>
      </c>
      <c r="F1921" s="2">
        <v>284193.0</v>
      </c>
      <c r="I1921" s="2">
        <v>1265598.0</v>
      </c>
      <c r="J1921" s="2">
        <v>1023563.0</v>
      </c>
      <c r="K1921" s="2">
        <v>242035.0</v>
      </c>
    </row>
    <row r="1922">
      <c r="A1922" s="2">
        <v>2023.0</v>
      </c>
      <c r="B1922" s="1" t="s">
        <v>710</v>
      </c>
      <c r="C1922" s="2"/>
      <c r="D1922" s="2"/>
      <c r="E1922" s="2" t="s">
        <v>1430</v>
      </c>
      <c r="F1922" s="2">
        <v>376982.0</v>
      </c>
      <c r="I1922" s="2">
        <v>2265072.0</v>
      </c>
      <c r="J1922" s="2">
        <v>377072.0</v>
      </c>
      <c r="K1922" s="2">
        <v>1888000.0</v>
      </c>
    </row>
    <row r="1923">
      <c r="A1923" s="2">
        <v>2023.0</v>
      </c>
      <c r="B1923" s="1" t="s">
        <v>710</v>
      </c>
      <c r="C1923" s="2"/>
      <c r="D1923" s="2" t="s">
        <v>193</v>
      </c>
      <c r="E1923" s="2" t="s">
        <v>1432</v>
      </c>
      <c r="F1923" s="2">
        <v>3081776.0</v>
      </c>
      <c r="I1923" s="2">
        <v>4213709.0</v>
      </c>
      <c r="J1923" s="2">
        <v>2203355.0</v>
      </c>
      <c r="K1923" s="2">
        <v>2010354.0</v>
      </c>
    </row>
    <row r="1924">
      <c r="A1924" s="2">
        <v>2023.0</v>
      </c>
      <c r="B1924" s="1" t="s">
        <v>710</v>
      </c>
      <c r="C1924" s="2"/>
      <c r="D1924" s="2"/>
      <c r="E1924" s="2" t="s">
        <v>56</v>
      </c>
      <c r="F1924" s="2">
        <v>1209698.0</v>
      </c>
      <c r="I1924" s="2">
        <v>3255040.0</v>
      </c>
      <c r="J1924" s="2">
        <v>2113240.0</v>
      </c>
      <c r="K1924" s="2">
        <v>1141800.0</v>
      </c>
    </row>
    <row r="1925">
      <c r="A1925" s="2">
        <v>2023.0</v>
      </c>
      <c r="B1925" s="1" t="s">
        <v>710</v>
      </c>
      <c r="C1925" s="2"/>
      <c r="D1925" s="2"/>
      <c r="E1925" s="2" t="s">
        <v>1430</v>
      </c>
      <c r="F1925" s="2">
        <v>0.0</v>
      </c>
      <c r="I1925" s="2">
        <v>2224304.0</v>
      </c>
      <c r="J1925" s="2">
        <v>343316.0</v>
      </c>
      <c r="K1925" s="2">
        <v>1880988.0</v>
      </c>
    </row>
    <row r="1926">
      <c r="A1926" s="2">
        <v>2023.0</v>
      </c>
      <c r="B1926" s="1" t="s">
        <v>710</v>
      </c>
      <c r="C1926" s="2" t="s">
        <v>280</v>
      </c>
      <c r="D1926" s="2" t="s">
        <v>288</v>
      </c>
      <c r="E1926" s="2" t="s">
        <v>32</v>
      </c>
      <c r="F1926" s="2">
        <v>1271214.0</v>
      </c>
      <c r="I1926" s="2">
        <v>2588303.0</v>
      </c>
      <c r="J1926" s="2">
        <v>1862196.0</v>
      </c>
      <c r="K1926" s="2">
        <v>726107.0</v>
      </c>
    </row>
    <row r="1927">
      <c r="A1927" s="2">
        <v>2023.0</v>
      </c>
      <c r="B1927" s="1" t="s">
        <v>710</v>
      </c>
      <c r="C1927" s="2"/>
      <c r="D1927" s="2"/>
      <c r="E1927" s="2" t="s">
        <v>1430</v>
      </c>
      <c r="F1927" s="2">
        <v>3548392.0</v>
      </c>
      <c r="I1927" s="2">
        <v>8366983.0</v>
      </c>
      <c r="J1927" s="2">
        <v>1862196.0</v>
      </c>
      <c r="K1927" s="2">
        <v>6492688.0</v>
      </c>
    </row>
    <row r="1928">
      <c r="A1928" s="2">
        <v>2023.0</v>
      </c>
      <c r="B1928" s="1" t="s">
        <v>710</v>
      </c>
      <c r="C1928" s="2"/>
      <c r="D1928" s="2"/>
      <c r="E1928" s="2" t="s">
        <v>1431</v>
      </c>
      <c r="F1928" s="2">
        <v>8482876.0</v>
      </c>
      <c r="I1928" s="2">
        <v>1.4272426E7</v>
      </c>
      <c r="J1928" s="2">
        <v>1.4242926E7</v>
      </c>
      <c r="K1928" s="2">
        <v>29500.0</v>
      </c>
    </row>
    <row r="1929">
      <c r="A1929" s="2">
        <v>2023.0</v>
      </c>
      <c r="B1929" s="1" t="s">
        <v>710</v>
      </c>
      <c r="C1929" s="2"/>
      <c r="D1929" s="2" t="s">
        <v>1433</v>
      </c>
      <c r="E1929" s="2" t="s">
        <v>32</v>
      </c>
      <c r="F1929" s="2">
        <v>976600.0</v>
      </c>
      <c r="I1929" s="2">
        <v>1050784.0</v>
      </c>
      <c r="J1929" s="2">
        <v>418765.0</v>
      </c>
      <c r="K1929" s="2">
        <v>632019.0</v>
      </c>
    </row>
    <row r="1930">
      <c r="A1930" s="2">
        <v>2023.0</v>
      </c>
      <c r="B1930" s="1" t="s">
        <v>710</v>
      </c>
      <c r="C1930" s="2"/>
      <c r="D1930" s="2"/>
      <c r="E1930" s="2" t="s">
        <v>1434</v>
      </c>
      <c r="F1930" s="2">
        <v>9194810.0</v>
      </c>
      <c r="I1930" s="2">
        <v>1.3554353E7</v>
      </c>
      <c r="J1930" s="2">
        <v>5452635.0</v>
      </c>
      <c r="K1930" s="2">
        <v>8101718.0</v>
      </c>
    </row>
    <row r="1931">
      <c r="A1931" s="2">
        <v>2023.0</v>
      </c>
      <c r="B1931" s="1" t="s">
        <v>710</v>
      </c>
      <c r="C1931" s="2"/>
      <c r="D1931" s="2"/>
      <c r="E1931" s="2" t="s">
        <v>1435</v>
      </c>
      <c r="F1931" s="2">
        <v>3492073.0</v>
      </c>
      <c r="I1931" s="2">
        <v>3596948.0</v>
      </c>
      <c r="J1931" s="2">
        <v>1282342.0</v>
      </c>
      <c r="K1931" s="2">
        <v>2314606.0</v>
      </c>
    </row>
    <row r="1932">
      <c r="A1932" s="2">
        <v>2023.0</v>
      </c>
      <c r="B1932" s="1" t="s">
        <v>710</v>
      </c>
      <c r="C1932" s="2"/>
      <c r="D1932" s="2"/>
      <c r="E1932" s="2" t="s">
        <v>1430</v>
      </c>
      <c r="F1932" s="2">
        <v>737982.0</v>
      </c>
      <c r="I1932" s="2">
        <v>4111594.0</v>
      </c>
      <c r="J1932" s="2">
        <v>54.0</v>
      </c>
      <c r="K1932" s="2">
        <v>4111540.0</v>
      </c>
    </row>
    <row r="1933">
      <c r="A1933" s="2">
        <v>2023.0</v>
      </c>
      <c r="B1933" s="1" t="s">
        <v>710</v>
      </c>
      <c r="C1933" s="2"/>
      <c r="D1933" s="2" t="s">
        <v>924</v>
      </c>
      <c r="E1933" s="2" t="s">
        <v>54</v>
      </c>
      <c r="F1933" s="2">
        <v>3971033.0</v>
      </c>
      <c r="I1933" s="2">
        <v>6538536.0</v>
      </c>
      <c r="J1933" s="2">
        <v>1480336.0</v>
      </c>
      <c r="K1933" s="2">
        <v>5058200.0</v>
      </c>
    </row>
    <row r="1934">
      <c r="A1934" s="2">
        <v>2023.0</v>
      </c>
      <c r="B1934" s="1" t="s">
        <v>710</v>
      </c>
      <c r="C1934" s="2"/>
      <c r="D1934" s="2"/>
      <c r="E1934" s="2" t="s">
        <v>32</v>
      </c>
      <c r="F1934" s="2">
        <v>24299.0</v>
      </c>
      <c r="I1934" s="2">
        <v>796724.0</v>
      </c>
      <c r="J1934" s="2">
        <v>48800.0</v>
      </c>
      <c r="K1934" s="2">
        <v>747924.0</v>
      </c>
    </row>
    <row r="1935">
      <c r="A1935" s="2">
        <v>2023.0</v>
      </c>
      <c r="B1935" s="1" t="s">
        <v>710</v>
      </c>
      <c r="C1935" s="2"/>
      <c r="D1935" s="2"/>
      <c r="E1935" s="2" t="s">
        <v>686</v>
      </c>
      <c r="F1935" s="2">
        <v>1571990.0</v>
      </c>
      <c r="I1935" s="2">
        <v>3692892.0</v>
      </c>
      <c r="J1935" s="2">
        <v>72.0</v>
      </c>
      <c r="K1935" s="2">
        <v>3692820.0</v>
      </c>
    </row>
    <row r="1936">
      <c r="A1936" s="2">
        <v>2023.0</v>
      </c>
      <c r="B1936" s="1" t="s">
        <v>710</v>
      </c>
      <c r="C1936" s="2"/>
      <c r="D1936" s="2" t="s">
        <v>1436</v>
      </c>
      <c r="E1936" s="2" t="s">
        <v>54</v>
      </c>
      <c r="F1936" s="2">
        <v>3746164.0</v>
      </c>
      <c r="I1936" s="2">
        <v>6999061.0</v>
      </c>
      <c r="J1936" s="2">
        <v>3115305.0</v>
      </c>
      <c r="K1936" s="2">
        <v>3883756.0</v>
      </c>
    </row>
    <row r="1937">
      <c r="A1937" s="2">
        <v>2023.0</v>
      </c>
      <c r="B1937" s="1" t="s">
        <v>710</v>
      </c>
      <c r="C1937" s="2"/>
      <c r="D1937" s="2"/>
      <c r="E1937" s="2" t="s">
        <v>1430</v>
      </c>
      <c r="F1937" s="2">
        <v>1453605.0</v>
      </c>
      <c r="I1937" s="2">
        <v>3373231.0</v>
      </c>
      <c r="J1937" s="2">
        <v>590764.0</v>
      </c>
      <c r="K1937" s="2">
        <v>2782467.0</v>
      </c>
    </row>
    <row r="1938">
      <c r="A1938" s="2">
        <v>2023.0</v>
      </c>
      <c r="B1938" s="1" t="s">
        <v>710</v>
      </c>
      <c r="C1938" s="2" t="s">
        <v>143</v>
      </c>
      <c r="D1938" s="2" t="s">
        <v>144</v>
      </c>
      <c r="E1938" s="2" t="s">
        <v>32</v>
      </c>
      <c r="F1938" s="2">
        <v>28737.0</v>
      </c>
      <c r="I1938" s="2">
        <v>176455.0</v>
      </c>
      <c r="J1938" s="2">
        <v>130750.0</v>
      </c>
      <c r="K1938" s="2">
        <v>45705.0</v>
      </c>
    </row>
    <row r="1939">
      <c r="A1939" s="2">
        <v>2023.0</v>
      </c>
      <c r="B1939" s="1" t="s">
        <v>710</v>
      </c>
      <c r="C1939" s="2"/>
      <c r="D1939" s="2"/>
      <c r="E1939" s="2" t="s">
        <v>686</v>
      </c>
      <c r="F1939" s="2">
        <v>310000.0</v>
      </c>
      <c r="I1939" s="2">
        <v>1559435.0</v>
      </c>
      <c r="J1939" s="2">
        <v>120000.0</v>
      </c>
      <c r="K1939" s="2">
        <v>1439435.0</v>
      </c>
    </row>
    <row r="1940">
      <c r="A1940" s="2">
        <v>2023.0</v>
      </c>
      <c r="B1940" s="1" t="s">
        <v>710</v>
      </c>
      <c r="C1940" s="2"/>
      <c r="D1940" s="2"/>
      <c r="E1940" s="2" t="s">
        <v>56</v>
      </c>
      <c r="F1940" s="2">
        <v>412013.0</v>
      </c>
      <c r="I1940" s="2">
        <v>2972315.0</v>
      </c>
      <c r="J1940" s="2">
        <v>2847887.0</v>
      </c>
      <c r="K1940" s="2">
        <v>124428.0</v>
      </c>
    </row>
    <row r="1941">
      <c r="A1941" s="2">
        <v>2023.0</v>
      </c>
      <c r="B1941" s="1" t="s">
        <v>710</v>
      </c>
      <c r="C1941" s="2"/>
      <c r="D1941" s="2" t="s">
        <v>832</v>
      </c>
      <c r="E1941" s="2" t="s">
        <v>25</v>
      </c>
      <c r="F1941" s="2">
        <v>1187043.0</v>
      </c>
      <c r="I1941" s="2">
        <v>2859560.0</v>
      </c>
      <c r="J1941" s="2">
        <v>18.0</v>
      </c>
      <c r="K1941" s="2">
        <v>2859542.0</v>
      </c>
    </row>
    <row r="1942">
      <c r="A1942" s="2">
        <v>2023.0</v>
      </c>
      <c r="B1942" s="1" t="s">
        <v>710</v>
      </c>
      <c r="C1942" s="2"/>
      <c r="D1942" s="2"/>
      <c r="E1942" s="2" t="s">
        <v>1437</v>
      </c>
      <c r="F1942" s="2">
        <v>2124785.0</v>
      </c>
      <c r="I1942" s="2">
        <v>4832102.0</v>
      </c>
      <c r="J1942" s="2">
        <v>2716566.0</v>
      </c>
      <c r="K1942" s="2">
        <v>2115536.0</v>
      </c>
    </row>
    <row r="1943">
      <c r="A1943" s="2">
        <v>2023.0</v>
      </c>
      <c r="B1943" s="1" t="s">
        <v>710</v>
      </c>
      <c r="C1943" s="2"/>
      <c r="D1943" s="2" t="s">
        <v>1220</v>
      </c>
      <c r="E1943" s="2" t="s">
        <v>606</v>
      </c>
      <c r="F1943" s="2">
        <v>1094709.0</v>
      </c>
      <c r="I1943" s="2">
        <v>6669219.0</v>
      </c>
      <c r="J1943" s="2">
        <v>4449580.0</v>
      </c>
      <c r="K1943" s="2">
        <v>2219639.0</v>
      </c>
    </row>
    <row r="1944">
      <c r="A1944" s="2">
        <v>2023.0</v>
      </c>
      <c r="B1944" s="1" t="s">
        <v>710</v>
      </c>
      <c r="C1944" s="2"/>
      <c r="D1944" s="2"/>
      <c r="E1944" s="2" t="s">
        <v>25</v>
      </c>
      <c r="F1944" s="2">
        <v>2604000.0</v>
      </c>
      <c r="I1944" s="2">
        <v>5948238.0</v>
      </c>
      <c r="J1944" s="2">
        <v>2206685.0</v>
      </c>
      <c r="K1944" s="2">
        <v>3741553.0</v>
      </c>
    </row>
    <row r="1945">
      <c r="A1945" s="2">
        <v>2023.0</v>
      </c>
      <c r="B1945" s="1" t="s">
        <v>710</v>
      </c>
      <c r="C1945" s="2"/>
      <c r="D1945" s="2"/>
      <c r="E1945" s="2" t="s">
        <v>32</v>
      </c>
      <c r="F1945" s="2">
        <v>4860.0</v>
      </c>
      <c r="I1945" s="2">
        <v>162311.0</v>
      </c>
      <c r="J1945" s="2">
        <v>150150.0</v>
      </c>
      <c r="K1945" s="2">
        <v>12161.0</v>
      </c>
    </row>
    <row r="1946">
      <c r="A1946" s="2">
        <v>2023.0</v>
      </c>
      <c r="B1946" s="1" t="s">
        <v>710</v>
      </c>
      <c r="C1946" s="2"/>
      <c r="D1946" s="2" t="s">
        <v>1438</v>
      </c>
      <c r="E1946" s="2" t="s">
        <v>1439</v>
      </c>
      <c r="F1946" s="2">
        <v>273796.0</v>
      </c>
      <c r="I1946" s="2">
        <v>4610607.0</v>
      </c>
      <c r="J1946" s="2">
        <v>2828287.0</v>
      </c>
      <c r="K1946" s="2">
        <v>1782320.0</v>
      </c>
    </row>
    <row r="1947">
      <c r="A1947" s="2">
        <v>2023.0</v>
      </c>
      <c r="B1947" s="1" t="s">
        <v>710</v>
      </c>
      <c r="C1947" s="2"/>
      <c r="D1947" s="2"/>
      <c r="E1947" s="2" t="s">
        <v>25</v>
      </c>
      <c r="F1947" s="2">
        <v>863332.0</v>
      </c>
      <c r="I1947" s="2">
        <v>2298850.0</v>
      </c>
      <c r="J1947" s="2">
        <v>331018.0</v>
      </c>
      <c r="K1947" s="2">
        <v>1967832.0</v>
      </c>
    </row>
    <row r="1948">
      <c r="A1948" s="2">
        <v>2023.0</v>
      </c>
      <c r="B1948" s="1" t="s">
        <v>710</v>
      </c>
      <c r="C1948" s="2"/>
      <c r="D1948" s="2" t="s">
        <v>829</v>
      </c>
      <c r="E1948" s="2" t="s">
        <v>25</v>
      </c>
      <c r="F1948" s="2">
        <v>1206593.0</v>
      </c>
      <c r="I1948" s="2">
        <v>2843978.0</v>
      </c>
      <c r="J1948" s="2">
        <v>605608.0</v>
      </c>
      <c r="K1948" s="2">
        <v>2238370.0</v>
      </c>
    </row>
    <row r="1949">
      <c r="A1949" s="2">
        <v>2023.0</v>
      </c>
      <c r="B1949" s="1" t="s">
        <v>710</v>
      </c>
      <c r="C1949" s="2"/>
      <c r="D1949" s="2"/>
      <c r="E1949" s="2" t="s">
        <v>1440</v>
      </c>
      <c r="F1949" s="2">
        <v>781561.0</v>
      </c>
      <c r="I1949" s="2">
        <v>1.1813005E7</v>
      </c>
      <c r="J1949" s="2">
        <v>1.070655E7</v>
      </c>
      <c r="K1949" s="2">
        <v>1106455.0</v>
      </c>
    </row>
    <row r="1950">
      <c r="A1950" s="2">
        <v>2023.0</v>
      </c>
      <c r="B1950" s="1" t="s">
        <v>710</v>
      </c>
      <c r="C1950" s="2"/>
      <c r="D1950" s="2" t="s">
        <v>1209</v>
      </c>
      <c r="E1950" s="2" t="s">
        <v>1441</v>
      </c>
      <c r="F1950" s="2">
        <v>1491275.0</v>
      </c>
      <c r="I1950" s="2">
        <v>3984356.0</v>
      </c>
      <c r="J1950" s="2">
        <v>2116362.0</v>
      </c>
      <c r="K1950" s="2">
        <v>1867994.0</v>
      </c>
    </row>
    <row r="1951">
      <c r="A1951" s="2">
        <v>2023.0</v>
      </c>
      <c r="B1951" s="1" t="s">
        <v>710</v>
      </c>
      <c r="C1951" s="2"/>
      <c r="D1951" s="2"/>
      <c r="E1951" s="2" t="s">
        <v>25</v>
      </c>
      <c r="F1951" s="2">
        <v>1151580.0</v>
      </c>
      <c r="I1951" s="2">
        <v>2702714.0</v>
      </c>
      <c r="J1951" s="2">
        <v>762235.0</v>
      </c>
      <c r="K1951" s="2">
        <v>1940479.0</v>
      </c>
    </row>
    <row r="1952">
      <c r="A1952" s="2">
        <v>2023.0</v>
      </c>
      <c r="B1952" s="1" t="s">
        <v>710</v>
      </c>
      <c r="C1952" s="2"/>
      <c r="D1952" s="2" t="s">
        <v>1211</v>
      </c>
      <c r="E1952" s="2" t="s">
        <v>25</v>
      </c>
      <c r="F1952" s="2">
        <v>2196103.0</v>
      </c>
      <c r="I1952" s="2">
        <v>5175725.0</v>
      </c>
      <c r="J1952" s="2">
        <v>952930.0</v>
      </c>
      <c r="K1952" s="2">
        <v>4222795.0</v>
      </c>
    </row>
    <row r="1953">
      <c r="A1953" s="2">
        <v>2023.0</v>
      </c>
      <c r="B1953" s="1" t="s">
        <v>710</v>
      </c>
      <c r="C1953" s="2"/>
      <c r="D1953" s="2"/>
      <c r="E1953" s="2" t="s">
        <v>1442</v>
      </c>
      <c r="F1953" s="2">
        <v>2840651.0</v>
      </c>
      <c r="I1953" s="2">
        <v>7590591.0</v>
      </c>
      <c r="J1953" s="2">
        <v>6556800.0</v>
      </c>
      <c r="K1953" s="2">
        <v>1033791.0</v>
      </c>
    </row>
    <row r="1954">
      <c r="A1954" s="2">
        <v>2023.0</v>
      </c>
      <c r="B1954" s="1" t="s">
        <v>710</v>
      </c>
      <c r="C1954" s="2"/>
      <c r="D1954" s="2" t="s">
        <v>143</v>
      </c>
      <c r="E1954" s="2" t="s">
        <v>1443</v>
      </c>
      <c r="F1954" s="2">
        <v>2717885.0</v>
      </c>
      <c r="I1954" s="2">
        <v>6266551.0</v>
      </c>
      <c r="J1954" s="2">
        <v>3473332.0</v>
      </c>
      <c r="K1954" s="2">
        <v>2793219.0</v>
      </c>
    </row>
    <row r="1955">
      <c r="A1955" s="2">
        <v>2023.0</v>
      </c>
      <c r="B1955" s="1" t="s">
        <v>710</v>
      </c>
      <c r="C1955" s="2"/>
      <c r="D1955" s="2"/>
      <c r="E1955" s="2" t="s">
        <v>25</v>
      </c>
      <c r="F1955" s="2">
        <v>1955561.0</v>
      </c>
      <c r="I1955" s="2">
        <v>4572197.0</v>
      </c>
      <c r="J1955" s="2">
        <v>18.0</v>
      </c>
      <c r="K1955" s="2">
        <v>4572179.0</v>
      </c>
    </row>
    <row r="1956">
      <c r="A1956" s="2">
        <v>2023.0</v>
      </c>
      <c r="B1956" s="1" t="s">
        <v>710</v>
      </c>
      <c r="C1956" s="2" t="s">
        <v>146</v>
      </c>
      <c r="D1956" s="2" t="s">
        <v>753</v>
      </c>
      <c r="E1956" s="2" t="s">
        <v>56</v>
      </c>
      <c r="F1956" s="2">
        <v>722740.0</v>
      </c>
      <c r="I1956" s="2">
        <v>3549529.0</v>
      </c>
      <c r="J1956" s="2">
        <v>2708453.0</v>
      </c>
      <c r="K1956" s="2">
        <v>841076.0</v>
      </c>
    </row>
    <row r="1957">
      <c r="A1957" s="2">
        <v>2023.0</v>
      </c>
      <c r="B1957" s="1" t="s">
        <v>710</v>
      </c>
      <c r="C1957" s="2"/>
      <c r="D1957" s="2"/>
      <c r="E1957" s="2" t="s">
        <v>674</v>
      </c>
      <c r="F1957" s="2">
        <v>5737.0</v>
      </c>
      <c r="I1957" s="2">
        <v>15687.0</v>
      </c>
      <c r="J1957" s="2">
        <v>4547.0</v>
      </c>
      <c r="K1957" s="2">
        <v>11140.0</v>
      </c>
    </row>
    <row r="1958">
      <c r="A1958" s="2">
        <v>2023.0</v>
      </c>
      <c r="B1958" s="1" t="s">
        <v>710</v>
      </c>
      <c r="C1958" s="2"/>
      <c r="D1958" s="2"/>
      <c r="E1958" s="2" t="s">
        <v>32</v>
      </c>
      <c r="F1958" s="2">
        <v>45660.0</v>
      </c>
      <c r="I1958" s="2">
        <v>348418.0</v>
      </c>
      <c r="J1958" s="2">
        <v>163011.0</v>
      </c>
      <c r="K1958" s="2">
        <v>185407.0</v>
      </c>
    </row>
    <row r="1959">
      <c r="A1959" s="2">
        <v>2023.0</v>
      </c>
      <c r="B1959" s="1" t="s">
        <v>710</v>
      </c>
      <c r="C1959" s="2" t="s">
        <v>133</v>
      </c>
      <c r="D1959" s="2" t="s">
        <v>820</v>
      </c>
      <c r="E1959" s="2" t="s">
        <v>25</v>
      </c>
      <c r="F1959" s="2">
        <v>2031821.0</v>
      </c>
      <c r="I1959" s="2">
        <v>3120327.0</v>
      </c>
      <c r="J1959" s="2">
        <v>0.0</v>
      </c>
      <c r="K1959" s="2">
        <v>3120327.0</v>
      </c>
    </row>
    <row r="1960">
      <c r="A1960" s="2">
        <v>2023.0</v>
      </c>
      <c r="B1960" s="1" t="s">
        <v>710</v>
      </c>
      <c r="C1960" s="2"/>
      <c r="D1960" s="2"/>
      <c r="E1960" s="2" t="s">
        <v>56</v>
      </c>
      <c r="F1960" s="2">
        <v>90865.0</v>
      </c>
      <c r="I1960" s="2">
        <v>92464.0</v>
      </c>
      <c r="J1960" s="2">
        <v>86500.0</v>
      </c>
      <c r="K1960" s="2">
        <v>5964.0</v>
      </c>
    </row>
    <row r="1961">
      <c r="A1961" s="2">
        <v>2023.0</v>
      </c>
      <c r="B1961" s="1" t="s">
        <v>710</v>
      </c>
      <c r="C1961" s="2"/>
      <c r="D1961" s="2"/>
      <c r="E1961" s="2" t="s">
        <v>32</v>
      </c>
      <c r="F1961" s="2">
        <v>858247.0</v>
      </c>
      <c r="I1961" s="2">
        <v>5052152.0</v>
      </c>
      <c r="J1961" s="2">
        <v>2793006.0</v>
      </c>
      <c r="K1961" s="2">
        <v>2259146.0</v>
      </c>
    </row>
    <row r="1962">
      <c r="A1962" s="2">
        <v>2023.0</v>
      </c>
      <c r="B1962" s="1" t="s">
        <v>710</v>
      </c>
      <c r="C1962" s="2"/>
      <c r="D1962" s="2" t="s">
        <v>1444</v>
      </c>
      <c r="E1962" s="2" t="s">
        <v>76</v>
      </c>
      <c r="F1962" s="2">
        <v>3035400.0</v>
      </c>
      <c r="I1962" s="2">
        <v>6454180.0</v>
      </c>
      <c r="J1962" s="2">
        <v>3765793.0</v>
      </c>
      <c r="K1962" s="2">
        <v>2688387.0</v>
      </c>
    </row>
    <row r="1963">
      <c r="A1963" s="2">
        <v>2023.0</v>
      </c>
      <c r="B1963" s="1" t="s">
        <v>710</v>
      </c>
      <c r="C1963" s="2"/>
      <c r="D1963" s="2"/>
      <c r="E1963" s="2" t="s">
        <v>32</v>
      </c>
      <c r="F1963" s="2">
        <v>39109.0</v>
      </c>
      <c r="I1963" s="2">
        <v>441693.0</v>
      </c>
      <c r="J1963" s="2">
        <v>427668.0</v>
      </c>
      <c r="K1963" s="2">
        <v>14025.0</v>
      </c>
    </row>
    <row r="1964">
      <c r="A1964" s="2">
        <v>2023.0</v>
      </c>
      <c r="B1964" s="1" t="s">
        <v>710</v>
      </c>
      <c r="C1964" s="2"/>
      <c r="D1964" s="2"/>
      <c r="E1964" s="2" t="s">
        <v>25</v>
      </c>
      <c r="F1964" s="2">
        <v>1974906.0</v>
      </c>
      <c r="I1964" s="2">
        <v>3035877.0</v>
      </c>
      <c r="J1964" s="2">
        <v>0.0</v>
      </c>
      <c r="K1964" s="2">
        <v>3035877.0</v>
      </c>
    </row>
    <row r="1965">
      <c r="A1965" s="2">
        <v>2023.0</v>
      </c>
      <c r="B1965" s="1" t="s">
        <v>710</v>
      </c>
      <c r="C1965" s="2"/>
      <c r="D1965" s="2" t="s">
        <v>139</v>
      </c>
      <c r="E1965" s="2" t="s">
        <v>299</v>
      </c>
      <c r="F1965" s="2">
        <v>116950.0</v>
      </c>
      <c r="I1965" s="2">
        <v>314531.0</v>
      </c>
      <c r="J1965" s="2">
        <v>133915.0</v>
      </c>
      <c r="K1965" s="2">
        <v>180616.0</v>
      </c>
    </row>
    <row r="1966">
      <c r="A1966" s="2">
        <v>2023.0</v>
      </c>
      <c r="B1966" s="1" t="s">
        <v>710</v>
      </c>
      <c r="C1966" s="2"/>
      <c r="D1966" s="2"/>
      <c r="E1966" s="2" t="s">
        <v>1445</v>
      </c>
      <c r="F1966" s="2">
        <v>6436842.0</v>
      </c>
      <c r="I1966" s="2">
        <v>9960269.0</v>
      </c>
      <c r="J1966" s="2">
        <v>3468391.0</v>
      </c>
      <c r="K1966" s="2">
        <v>6491878.0</v>
      </c>
    </row>
    <row r="1967">
      <c r="A1967" s="2">
        <v>2023.0</v>
      </c>
      <c r="B1967" s="1" t="s">
        <v>710</v>
      </c>
      <c r="C1967" s="2"/>
      <c r="D1967" s="2"/>
      <c r="E1967" s="2" t="s">
        <v>1445</v>
      </c>
      <c r="F1967" s="2">
        <v>2874663.0</v>
      </c>
      <c r="I1967" s="2">
        <v>3448676.0</v>
      </c>
      <c r="J1967" s="2">
        <v>197426.0</v>
      </c>
      <c r="K1967" s="2">
        <v>3251250.0</v>
      </c>
    </row>
    <row r="1968">
      <c r="A1968" s="2">
        <v>2023.0</v>
      </c>
      <c r="B1968" s="1" t="s">
        <v>710</v>
      </c>
      <c r="C1968" s="2"/>
      <c r="D1968" s="2"/>
      <c r="E1968" s="2" t="s">
        <v>1446</v>
      </c>
      <c r="F1968" s="2">
        <v>1260799.0</v>
      </c>
      <c r="I1968" s="2">
        <v>4402506.0</v>
      </c>
      <c r="J1968" s="2">
        <v>3476872.0</v>
      </c>
      <c r="K1968" s="2">
        <v>925634.0</v>
      </c>
    </row>
    <row r="1969">
      <c r="A1969" s="2">
        <v>2023.0</v>
      </c>
      <c r="B1969" s="1" t="s">
        <v>710</v>
      </c>
      <c r="C1969" s="2"/>
      <c r="D1969" s="2"/>
      <c r="E1969" s="2" t="s">
        <v>299</v>
      </c>
      <c r="F1969" s="2">
        <v>92368.0</v>
      </c>
      <c r="I1969" s="2">
        <v>555443.0</v>
      </c>
      <c r="J1969" s="2">
        <v>428665.0</v>
      </c>
      <c r="K1969" s="2">
        <v>126778.0</v>
      </c>
    </row>
    <row r="1970">
      <c r="A1970" s="2">
        <v>2023.0</v>
      </c>
      <c r="B1970" s="1" t="s">
        <v>710</v>
      </c>
      <c r="C1970" s="2"/>
      <c r="D1970" s="2" t="s">
        <v>1447</v>
      </c>
      <c r="E1970" s="2" t="s">
        <v>1448</v>
      </c>
      <c r="F1970" s="2">
        <v>409018.0</v>
      </c>
      <c r="I1970" s="2">
        <v>1202369.0</v>
      </c>
      <c r="J1970" s="2">
        <v>1050519.0</v>
      </c>
      <c r="K1970" s="2">
        <v>151850.0</v>
      </c>
    </row>
    <row r="1971">
      <c r="A1971" s="2">
        <v>2023.0</v>
      </c>
      <c r="B1971" s="1" t="s">
        <v>710</v>
      </c>
      <c r="C1971" s="2"/>
      <c r="D1971" s="2"/>
      <c r="E1971" s="2" t="s">
        <v>32</v>
      </c>
      <c r="F1971" s="2">
        <v>277726.0</v>
      </c>
      <c r="I1971" s="2">
        <v>1086632.0</v>
      </c>
      <c r="J1971" s="2">
        <v>674059.0</v>
      </c>
      <c r="K1971" s="2">
        <v>412573.0</v>
      </c>
    </row>
    <row r="1972">
      <c r="A1972" s="2">
        <v>2023.0</v>
      </c>
      <c r="B1972" s="1" t="s">
        <v>710</v>
      </c>
      <c r="C1972" s="2"/>
      <c r="D1972" s="2"/>
      <c r="E1972" s="2" t="s">
        <v>1449</v>
      </c>
      <c r="F1972" s="2">
        <v>1278655.0</v>
      </c>
      <c r="I1972" s="2">
        <v>3483246.0</v>
      </c>
      <c r="J1972" s="2">
        <v>1404558.0</v>
      </c>
      <c r="K1972" s="2">
        <v>2078688.0</v>
      </c>
    </row>
    <row r="1973">
      <c r="A1973" s="2">
        <v>2023.0</v>
      </c>
      <c r="B1973" s="1" t="s">
        <v>710</v>
      </c>
      <c r="C1973" s="2"/>
      <c r="D1973" s="2"/>
      <c r="E1973" s="2" t="s">
        <v>25</v>
      </c>
      <c r="F1973" s="2">
        <v>0.0</v>
      </c>
      <c r="I1973" s="2">
        <v>2779513.0</v>
      </c>
      <c r="J1973" s="2">
        <v>1864051.0</v>
      </c>
      <c r="K1973" s="2">
        <v>915462.0</v>
      </c>
    </row>
    <row r="1974">
      <c r="A1974" s="2">
        <v>2023.0</v>
      </c>
      <c r="B1974" s="1" t="s">
        <v>710</v>
      </c>
      <c r="C1974" s="2"/>
      <c r="D1974" s="2" t="s">
        <v>176</v>
      </c>
      <c r="E1974" s="2" t="s">
        <v>1450</v>
      </c>
      <c r="F1974" s="2">
        <v>649641.0</v>
      </c>
      <c r="I1974" s="2">
        <v>2137076.0</v>
      </c>
      <c r="J1974" s="2">
        <v>1759550.0</v>
      </c>
      <c r="K1974" s="2">
        <v>377526.0</v>
      </c>
    </row>
    <row r="1975">
      <c r="A1975" s="2">
        <v>2023.0</v>
      </c>
      <c r="B1975" s="1" t="s">
        <v>710</v>
      </c>
      <c r="C1975" s="2"/>
      <c r="D1975" s="2"/>
      <c r="E1975" s="2" t="s">
        <v>1451</v>
      </c>
      <c r="F1975" s="2">
        <v>437431.0</v>
      </c>
      <c r="I1975" s="2">
        <v>3411232.0</v>
      </c>
      <c r="J1975" s="2">
        <v>1771586.0</v>
      </c>
      <c r="K1975" s="2">
        <v>1639646.0</v>
      </c>
    </row>
    <row r="1976">
      <c r="A1976" s="2">
        <v>2023.0</v>
      </c>
      <c r="B1976" s="1" t="s">
        <v>710</v>
      </c>
      <c r="C1976" s="2"/>
      <c r="D1976" s="2"/>
      <c r="E1976" s="2" t="s">
        <v>1452</v>
      </c>
      <c r="F1976" s="2">
        <v>671720.0</v>
      </c>
      <c r="I1976" s="2">
        <v>1943293.0</v>
      </c>
      <c r="J1976" s="2">
        <v>1384015.0</v>
      </c>
      <c r="K1976" s="2">
        <v>559278.0</v>
      </c>
    </row>
    <row r="1977">
      <c r="A1977" s="2">
        <v>2023.0</v>
      </c>
      <c r="B1977" s="1" t="s">
        <v>710</v>
      </c>
      <c r="C1977" s="2"/>
      <c r="D1977" s="2"/>
      <c r="E1977" s="2" t="s">
        <v>32</v>
      </c>
      <c r="F1977" s="2">
        <v>131592.0</v>
      </c>
      <c r="I1977" s="2">
        <v>757908.0</v>
      </c>
      <c r="J1977" s="2">
        <v>226323.0</v>
      </c>
      <c r="K1977" s="2">
        <v>531585.0</v>
      </c>
    </row>
    <row r="1978">
      <c r="A1978" s="2">
        <v>2023.0</v>
      </c>
      <c r="B1978" s="1" t="s">
        <v>710</v>
      </c>
      <c r="C1978" s="2"/>
      <c r="D1978" s="2"/>
      <c r="E1978" s="2" t="s">
        <v>759</v>
      </c>
      <c r="F1978" s="2">
        <v>3186166.0</v>
      </c>
      <c r="I1978" s="2">
        <v>3208949.0</v>
      </c>
      <c r="J1978" s="2">
        <v>542465.0</v>
      </c>
      <c r="K1978" s="2">
        <v>2666484.0</v>
      </c>
    </row>
    <row r="1979">
      <c r="A1979" s="2">
        <v>2023.0</v>
      </c>
      <c r="B1979" s="1" t="s">
        <v>710</v>
      </c>
      <c r="C1979" s="2"/>
      <c r="D1979" s="2" t="s">
        <v>1336</v>
      </c>
      <c r="E1979" s="2" t="s">
        <v>1448</v>
      </c>
      <c r="F1979" s="2">
        <v>2634659.0</v>
      </c>
      <c r="I1979" s="2">
        <v>5645671.0</v>
      </c>
      <c r="J1979" s="2">
        <v>4002579.0</v>
      </c>
      <c r="K1979" s="2">
        <v>1643092.0</v>
      </c>
    </row>
    <row r="1980">
      <c r="A1980" s="2">
        <v>2023.0</v>
      </c>
      <c r="B1980" s="1" t="s">
        <v>710</v>
      </c>
      <c r="C1980" s="2"/>
      <c r="D1980" s="2"/>
      <c r="E1980" s="2" t="s">
        <v>1453</v>
      </c>
      <c r="F1980" s="2">
        <v>148832.0</v>
      </c>
      <c r="I1980" s="2">
        <v>167303.0</v>
      </c>
      <c r="J1980" s="2">
        <v>133836.0</v>
      </c>
      <c r="K1980" s="2">
        <v>33467.0</v>
      </c>
    </row>
    <row r="1981">
      <c r="A1981" s="2">
        <v>2023.0</v>
      </c>
      <c r="B1981" s="1" t="s">
        <v>710</v>
      </c>
      <c r="C1981" s="2"/>
      <c r="D1981" s="2"/>
      <c r="E1981" s="2" t="s">
        <v>1454</v>
      </c>
      <c r="F1981" s="2">
        <v>149691.0</v>
      </c>
      <c r="I1981" s="2">
        <v>155172.0</v>
      </c>
      <c r="J1981" s="2">
        <v>22550.0</v>
      </c>
      <c r="K1981" s="2">
        <v>132622.0</v>
      </c>
    </row>
    <row r="1982">
      <c r="A1982" s="2">
        <v>2023.0</v>
      </c>
      <c r="B1982" s="1" t="s">
        <v>710</v>
      </c>
      <c r="C1982" s="2"/>
      <c r="D1982" s="2"/>
      <c r="E1982" s="2" t="s">
        <v>25</v>
      </c>
      <c r="F1982" s="2">
        <v>1838614.0</v>
      </c>
      <c r="I1982" s="2">
        <v>4333015.0</v>
      </c>
      <c r="J1982" s="2">
        <v>0.0</v>
      </c>
      <c r="K1982" s="2">
        <v>4333015.0</v>
      </c>
    </row>
    <row r="1983">
      <c r="A1983" s="2">
        <v>2023.0</v>
      </c>
      <c r="B1983" s="1" t="s">
        <v>710</v>
      </c>
      <c r="C1983" s="2" t="s">
        <v>165</v>
      </c>
      <c r="D1983" s="2" t="s">
        <v>1455</v>
      </c>
      <c r="E1983" s="2" t="s">
        <v>32</v>
      </c>
      <c r="F1983" s="2">
        <v>45485.0</v>
      </c>
      <c r="I1983" s="2">
        <v>119197.0</v>
      </c>
      <c r="J1983" s="2">
        <v>73950.0</v>
      </c>
      <c r="K1983" s="2">
        <v>45247.0</v>
      </c>
    </row>
    <row r="1984">
      <c r="A1984" s="2">
        <v>2023.0</v>
      </c>
      <c r="B1984" s="1" t="s">
        <v>710</v>
      </c>
      <c r="C1984" s="2"/>
      <c r="D1984" s="2"/>
      <c r="E1984" s="2" t="s">
        <v>25</v>
      </c>
      <c r="F1984" s="2">
        <v>559289.0</v>
      </c>
      <c r="I1984" s="2">
        <v>3932415.0</v>
      </c>
      <c r="J1984" s="2">
        <v>0.0</v>
      </c>
      <c r="K1984" s="2">
        <v>3932415.0</v>
      </c>
    </row>
    <row r="1985">
      <c r="A1985" s="2">
        <v>2023.0</v>
      </c>
      <c r="B1985" s="1" t="s">
        <v>710</v>
      </c>
      <c r="C1985" s="2"/>
      <c r="D1985" s="2"/>
      <c r="E1985" s="2" t="s">
        <v>76</v>
      </c>
      <c r="F1985" s="2">
        <v>4257746.0</v>
      </c>
      <c r="I1985" s="2">
        <v>8079457.0</v>
      </c>
      <c r="J1985" s="2">
        <v>5650691.0</v>
      </c>
      <c r="K1985" s="2">
        <v>2428766.0</v>
      </c>
    </row>
    <row r="1986">
      <c r="A1986" s="2">
        <v>2023.0</v>
      </c>
      <c r="B1986" s="1" t="s">
        <v>710</v>
      </c>
      <c r="C1986" s="2"/>
      <c r="D1986" s="2"/>
      <c r="E1986" s="2" t="s">
        <v>1456</v>
      </c>
      <c r="F1986" s="2">
        <v>186680.0</v>
      </c>
      <c r="I1986" s="2">
        <v>190189.0</v>
      </c>
      <c r="J1986" s="2">
        <v>150.0</v>
      </c>
      <c r="K1986" s="2">
        <v>190039.0</v>
      </c>
    </row>
    <row r="1987">
      <c r="A1987" s="2">
        <v>2023.0</v>
      </c>
      <c r="B1987" s="1" t="s">
        <v>710</v>
      </c>
      <c r="C1987" s="2"/>
      <c r="D1987" s="2" t="s">
        <v>774</v>
      </c>
      <c r="E1987" s="2" t="s">
        <v>606</v>
      </c>
      <c r="F1987" s="2">
        <v>916481.0</v>
      </c>
      <c r="I1987" s="2">
        <v>3676396.0</v>
      </c>
      <c r="J1987" s="2">
        <v>2377025.0</v>
      </c>
      <c r="K1987" s="2">
        <v>1299371.0</v>
      </c>
    </row>
    <row r="1988">
      <c r="A1988" s="2">
        <v>2023.0</v>
      </c>
      <c r="B1988" s="1" t="s">
        <v>710</v>
      </c>
      <c r="C1988" s="2"/>
      <c r="D1988" s="2"/>
      <c r="E1988" s="2" t="s">
        <v>25</v>
      </c>
      <c r="F1988" s="2">
        <v>1799823.0</v>
      </c>
      <c r="I1988" s="2">
        <v>3710719.0</v>
      </c>
      <c r="J1988" s="2">
        <v>460599.0</v>
      </c>
      <c r="K1988" s="2">
        <v>3250120.0</v>
      </c>
    </row>
    <row r="1989">
      <c r="A1989" s="2">
        <v>2023.0</v>
      </c>
      <c r="B1989" s="1" t="s">
        <v>710</v>
      </c>
      <c r="C1989" s="2"/>
      <c r="D1989" s="2"/>
      <c r="E1989" s="2" t="s">
        <v>32</v>
      </c>
      <c r="F1989" s="2">
        <v>54444.0</v>
      </c>
      <c r="I1989" s="2">
        <v>946912.0</v>
      </c>
      <c r="J1989" s="2">
        <v>136982.0</v>
      </c>
      <c r="K1989" s="2">
        <v>809930.0</v>
      </c>
    </row>
    <row r="1990">
      <c r="A1990" s="2">
        <v>2023.0</v>
      </c>
      <c r="B1990" s="1" t="s">
        <v>710</v>
      </c>
      <c r="C1990" s="2"/>
      <c r="D1990" s="2" t="s">
        <v>171</v>
      </c>
      <c r="E1990" s="2" t="s">
        <v>1457</v>
      </c>
      <c r="F1990" s="2">
        <v>29196.0</v>
      </c>
      <c r="I1990" s="2">
        <v>30544.0</v>
      </c>
      <c r="J1990" s="2">
        <v>900.0</v>
      </c>
      <c r="K1990" s="2">
        <v>29644.0</v>
      </c>
    </row>
    <row r="1991">
      <c r="A1991" s="2">
        <v>2023.0</v>
      </c>
      <c r="B1991" s="1" t="s">
        <v>710</v>
      </c>
      <c r="C1991" s="2"/>
      <c r="D1991" s="2"/>
      <c r="E1991" s="2" t="s">
        <v>900</v>
      </c>
      <c r="F1991" s="2">
        <v>2861528.0</v>
      </c>
      <c r="I1991" s="2">
        <v>6330969.0</v>
      </c>
      <c r="J1991" s="2">
        <v>2567978.0</v>
      </c>
      <c r="K1991" s="2">
        <v>3762991.0</v>
      </c>
    </row>
    <row r="1992">
      <c r="A1992" s="2">
        <v>2023.0</v>
      </c>
      <c r="B1992" s="1" t="s">
        <v>710</v>
      </c>
      <c r="C1992" s="2"/>
      <c r="D1992" s="2"/>
      <c r="E1992" s="2" t="s">
        <v>25</v>
      </c>
      <c r="F1992" s="2">
        <v>1677027.0</v>
      </c>
      <c r="I1992" s="2">
        <v>3973154.0</v>
      </c>
      <c r="J1992" s="2">
        <v>0.0</v>
      </c>
      <c r="K1992" s="2">
        <v>3973154.0</v>
      </c>
    </row>
    <row r="1993">
      <c r="A1993" s="2">
        <v>2023.0</v>
      </c>
      <c r="B1993" s="1" t="s">
        <v>710</v>
      </c>
      <c r="C1993" s="2"/>
      <c r="D1993" s="2" t="s">
        <v>266</v>
      </c>
      <c r="E1993" s="2" t="s">
        <v>32</v>
      </c>
      <c r="F1993" s="2">
        <v>215749.0</v>
      </c>
      <c r="I1993" s="2">
        <v>664239.0</v>
      </c>
      <c r="J1993" s="2">
        <v>409527.0</v>
      </c>
      <c r="K1993" s="2">
        <v>254712.0</v>
      </c>
    </row>
    <row r="1994">
      <c r="A1994" s="2">
        <v>2023.0</v>
      </c>
      <c r="B1994" s="1" t="s">
        <v>710</v>
      </c>
      <c r="C1994" s="2"/>
      <c r="D1994" s="2"/>
      <c r="E1994" s="2" t="s">
        <v>1458</v>
      </c>
      <c r="F1994" s="2">
        <v>5408320.0</v>
      </c>
      <c r="I1994" s="2">
        <v>9086445.0</v>
      </c>
      <c r="J1994" s="2">
        <v>5880431.0</v>
      </c>
      <c r="K1994" s="2">
        <v>3206014.0</v>
      </c>
    </row>
    <row r="1995">
      <c r="A1995" s="2">
        <v>2023.0</v>
      </c>
      <c r="B1995" s="1" t="s">
        <v>710</v>
      </c>
      <c r="C1995" s="2"/>
      <c r="D1995" s="2"/>
      <c r="E1995" s="2" t="s">
        <v>76</v>
      </c>
      <c r="F1995" s="2">
        <v>735008.0</v>
      </c>
      <c r="I1995" s="2">
        <v>5196616.0</v>
      </c>
      <c r="J1995" s="2">
        <v>49971.0</v>
      </c>
      <c r="K1995" s="2">
        <v>5146645.0</v>
      </c>
    </row>
    <row r="1996">
      <c r="A1996" s="2">
        <v>2023.0</v>
      </c>
      <c r="B1996" s="1" t="s">
        <v>710</v>
      </c>
      <c r="C1996" s="2"/>
      <c r="D1996" s="2"/>
      <c r="E1996" s="2" t="s">
        <v>1459</v>
      </c>
      <c r="F1996" s="2">
        <v>0.0</v>
      </c>
      <c r="I1996" s="2">
        <v>1263758.0</v>
      </c>
      <c r="J1996" s="2">
        <v>903841.0</v>
      </c>
      <c r="K1996" s="2">
        <v>359917.0</v>
      </c>
    </row>
    <row r="1997">
      <c r="A1997" s="2">
        <v>2023.0</v>
      </c>
      <c r="B1997" s="1" t="s">
        <v>710</v>
      </c>
      <c r="C1997" s="2"/>
      <c r="D1997" s="2" t="s">
        <v>175</v>
      </c>
      <c r="E1997" s="2" t="s">
        <v>25</v>
      </c>
      <c r="F1997" s="2">
        <v>751562.0</v>
      </c>
      <c r="I1997" s="2">
        <v>1776335.0</v>
      </c>
      <c r="J1997" s="2">
        <v>0.0</v>
      </c>
      <c r="K1997" s="2">
        <v>1776335.0</v>
      </c>
    </row>
    <row r="1998">
      <c r="A1998" s="2">
        <v>2023.0</v>
      </c>
      <c r="B1998" s="1" t="s">
        <v>710</v>
      </c>
      <c r="C1998" s="2"/>
      <c r="D1998" s="2"/>
      <c r="E1998" s="2" t="s">
        <v>1460</v>
      </c>
      <c r="F1998" s="2">
        <v>499116.0</v>
      </c>
      <c r="I1998" s="2">
        <v>525324.0</v>
      </c>
      <c r="J1998" s="2">
        <v>162485.0</v>
      </c>
      <c r="K1998" s="2">
        <v>362839.0</v>
      </c>
    </row>
    <row r="1999">
      <c r="A1999" s="2">
        <v>2023.0</v>
      </c>
      <c r="B1999" s="1" t="s">
        <v>710</v>
      </c>
      <c r="C1999" s="2"/>
      <c r="D1999" s="2"/>
      <c r="E1999" s="2" t="s">
        <v>76</v>
      </c>
      <c r="F1999" s="2">
        <v>1847683.0</v>
      </c>
      <c r="I1999" s="2">
        <v>3609604.0</v>
      </c>
      <c r="J1999" s="2">
        <v>2351765.0</v>
      </c>
      <c r="K1999" s="2">
        <v>1257839.0</v>
      </c>
    </row>
    <row r="2000">
      <c r="A2000" s="2">
        <v>2023.0</v>
      </c>
      <c r="B2000" s="1" t="s">
        <v>710</v>
      </c>
      <c r="C2000" s="2"/>
      <c r="D2000" s="2"/>
      <c r="E2000" s="2" t="s">
        <v>1081</v>
      </c>
      <c r="F2000" s="2">
        <v>338616.0</v>
      </c>
      <c r="I2000" s="2">
        <v>544374.0</v>
      </c>
      <c r="J2000" s="2">
        <v>153583.0</v>
      </c>
      <c r="K2000" s="2">
        <v>390791.0</v>
      </c>
    </row>
    <row r="2001">
      <c r="A2001" s="2">
        <v>2023.0</v>
      </c>
      <c r="B2001" s="1" t="s">
        <v>710</v>
      </c>
      <c r="C2001" s="2" t="s">
        <v>526</v>
      </c>
      <c r="D2001" s="2" t="s">
        <v>198</v>
      </c>
      <c r="E2001" s="2" t="s">
        <v>32</v>
      </c>
      <c r="F2001" s="2">
        <v>11675.0</v>
      </c>
      <c r="I2001" s="2">
        <v>716408.0</v>
      </c>
      <c r="J2001" s="2">
        <v>671842.0</v>
      </c>
      <c r="K2001" s="2">
        <v>44566.0</v>
      </c>
    </row>
    <row r="2002">
      <c r="A2002" s="2">
        <v>2023.0</v>
      </c>
      <c r="B2002" s="1" t="s">
        <v>710</v>
      </c>
      <c r="C2002" s="2"/>
      <c r="D2002" s="2"/>
      <c r="E2002" s="2" t="s">
        <v>1461</v>
      </c>
      <c r="F2002" s="2">
        <v>5657366.0</v>
      </c>
      <c r="I2002" s="2">
        <v>3.5380415E7</v>
      </c>
      <c r="J2002" s="2">
        <v>3.0510147E7</v>
      </c>
      <c r="K2002" s="2">
        <v>4870268.0</v>
      </c>
    </row>
    <row r="2003">
      <c r="A2003" s="2">
        <v>2023.0</v>
      </c>
      <c r="B2003" s="1" t="s">
        <v>710</v>
      </c>
      <c r="C2003" s="2"/>
      <c r="D2003" s="2"/>
      <c r="E2003" s="2" t="s">
        <v>1461</v>
      </c>
      <c r="F2003" s="2">
        <v>0.0</v>
      </c>
      <c r="I2003" s="2">
        <v>1710568.0</v>
      </c>
      <c r="J2003" s="2">
        <v>374433.0</v>
      </c>
      <c r="K2003" s="2">
        <v>1336135.0</v>
      </c>
    </row>
    <row r="2004">
      <c r="A2004" s="2">
        <v>2023.0</v>
      </c>
      <c r="B2004" s="1" t="s">
        <v>710</v>
      </c>
      <c r="C2004" s="2"/>
      <c r="D2004" s="2"/>
      <c r="E2004" s="2" t="s">
        <v>1462</v>
      </c>
      <c r="F2004" s="2">
        <v>2302006.0</v>
      </c>
      <c r="I2004" s="2">
        <v>5429670.0</v>
      </c>
      <c r="J2004" s="2">
        <v>63518.0</v>
      </c>
      <c r="K2004" s="2">
        <v>5366152.0</v>
      </c>
    </row>
    <row r="2005">
      <c r="A2005" s="2">
        <v>2023.0</v>
      </c>
      <c r="B2005" s="1" t="s">
        <v>710</v>
      </c>
      <c r="C2005" s="2"/>
      <c r="D2005" s="2" t="s">
        <v>526</v>
      </c>
      <c r="E2005" s="2" t="s">
        <v>25</v>
      </c>
      <c r="F2005" s="2">
        <v>1383038.0</v>
      </c>
      <c r="I2005" s="2">
        <v>3256263.0</v>
      </c>
      <c r="J2005" s="2">
        <v>0.0</v>
      </c>
      <c r="K2005" s="2">
        <v>3256263.0</v>
      </c>
    </row>
    <row r="2006">
      <c r="A2006" s="2">
        <v>2023.0</v>
      </c>
      <c r="B2006" s="1" t="s">
        <v>710</v>
      </c>
      <c r="C2006" s="2"/>
      <c r="D2006" s="2"/>
      <c r="E2006" s="2" t="s">
        <v>32</v>
      </c>
      <c r="F2006" s="2">
        <v>145014.0</v>
      </c>
      <c r="I2006" s="2">
        <v>241201.0</v>
      </c>
      <c r="J2006" s="2">
        <v>170647.0</v>
      </c>
      <c r="K2006" s="2">
        <v>70554.0</v>
      </c>
    </row>
    <row r="2007">
      <c r="A2007" s="2">
        <v>2023.0</v>
      </c>
      <c r="B2007" s="1" t="s">
        <v>710</v>
      </c>
      <c r="C2007" s="2"/>
      <c r="D2007" s="2"/>
      <c r="E2007" s="2" t="s">
        <v>76</v>
      </c>
      <c r="F2007" s="2">
        <v>3718962.0</v>
      </c>
      <c r="I2007" s="2">
        <v>7118291.0</v>
      </c>
      <c r="J2007" s="2">
        <v>3678881.0</v>
      </c>
      <c r="K2007" s="2">
        <v>3439410.0</v>
      </c>
    </row>
    <row r="2008">
      <c r="A2008" s="2">
        <v>2023.0</v>
      </c>
      <c r="B2008" s="1" t="s">
        <v>710</v>
      </c>
      <c r="C2008" s="2"/>
      <c r="D2008" s="2" t="s">
        <v>793</v>
      </c>
      <c r="E2008" s="2" t="s">
        <v>1459</v>
      </c>
      <c r="F2008" s="2">
        <v>2174546.0</v>
      </c>
      <c r="I2008" s="2">
        <v>3308951.0</v>
      </c>
      <c r="J2008" s="2">
        <v>18.0</v>
      </c>
      <c r="K2008" s="2">
        <v>3308933.0</v>
      </c>
    </row>
    <row r="2009">
      <c r="A2009" s="2">
        <v>2023.0</v>
      </c>
      <c r="B2009" s="1" t="s">
        <v>710</v>
      </c>
      <c r="C2009" s="2"/>
      <c r="D2009" s="2"/>
      <c r="E2009" s="2" t="s">
        <v>511</v>
      </c>
      <c r="F2009" s="2">
        <v>5267485.0</v>
      </c>
      <c r="I2009" s="2">
        <v>9607729.0</v>
      </c>
      <c r="J2009" s="2">
        <v>5077447.0</v>
      </c>
      <c r="K2009" s="2">
        <v>4530282.0</v>
      </c>
    </row>
    <row r="2010">
      <c r="A2010" s="2">
        <v>2023.0</v>
      </c>
      <c r="B2010" s="1" t="s">
        <v>710</v>
      </c>
      <c r="C2010" s="2"/>
      <c r="D2010" s="2"/>
      <c r="E2010" s="2" t="s">
        <v>32</v>
      </c>
      <c r="F2010" s="2">
        <v>562522.0</v>
      </c>
      <c r="I2010" s="2">
        <v>1596674.0</v>
      </c>
      <c r="J2010" s="2">
        <v>570909.0</v>
      </c>
      <c r="K2010" s="2">
        <v>1025765.0</v>
      </c>
    </row>
    <row r="2011">
      <c r="A2011" s="2">
        <v>2023.0</v>
      </c>
      <c r="B2011" s="1" t="s">
        <v>710</v>
      </c>
      <c r="C2011" s="2"/>
      <c r="D2011" s="2" t="s">
        <v>1463</v>
      </c>
      <c r="E2011" s="2" t="s">
        <v>1464</v>
      </c>
      <c r="F2011" s="2">
        <v>7255.0</v>
      </c>
      <c r="I2011" s="2">
        <v>7530.0</v>
      </c>
      <c r="J2011" s="2">
        <v>0.0</v>
      </c>
      <c r="K2011" s="2">
        <v>7530.0</v>
      </c>
    </row>
    <row r="2012">
      <c r="A2012" s="2">
        <v>2023.0</v>
      </c>
      <c r="B2012" s="1" t="s">
        <v>710</v>
      </c>
      <c r="C2012" s="2"/>
      <c r="D2012" s="2"/>
      <c r="E2012" s="2" t="s">
        <v>1465</v>
      </c>
      <c r="F2012" s="2">
        <v>740690.0</v>
      </c>
      <c r="I2012" s="2">
        <v>743152.0</v>
      </c>
      <c r="J2012" s="2">
        <v>70000.0</v>
      </c>
      <c r="K2012" s="2">
        <v>673152.0</v>
      </c>
    </row>
    <row r="2013">
      <c r="A2013" s="2">
        <v>2023.0</v>
      </c>
      <c r="B2013" s="1" t="s">
        <v>710</v>
      </c>
      <c r="C2013" s="2"/>
      <c r="D2013" s="2"/>
      <c r="E2013" s="2" t="s">
        <v>686</v>
      </c>
      <c r="F2013" s="2">
        <v>612127.0</v>
      </c>
      <c r="I2013" s="2">
        <v>1445893.0</v>
      </c>
      <c r="J2013" s="2">
        <v>0.0</v>
      </c>
      <c r="K2013" s="2">
        <v>1445893.0</v>
      </c>
    </row>
    <row r="2014">
      <c r="A2014" s="2">
        <v>2023.0</v>
      </c>
      <c r="B2014" s="1" t="s">
        <v>710</v>
      </c>
      <c r="C2014" s="2"/>
      <c r="D2014" s="2"/>
      <c r="E2014" s="2" t="s">
        <v>1466</v>
      </c>
      <c r="F2014" s="2">
        <v>1441889.0</v>
      </c>
      <c r="I2014" s="2">
        <v>3947712.0</v>
      </c>
      <c r="J2014" s="2">
        <v>2626238.0</v>
      </c>
      <c r="K2014" s="2">
        <v>1321474.0</v>
      </c>
    </row>
    <row r="2015">
      <c r="A2015" s="2">
        <v>2023.0</v>
      </c>
      <c r="B2015" s="1" t="s">
        <v>710</v>
      </c>
      <c r="C2015" s="2"/>
      <c r="D2015" s="2"/>
      <c r="E2015" s="2" t="s">
        <v>32</v>
      </c>
      <c r="F2015" s="2">
        <v>195660.0</v>
      </c>
      <c r="I2015" s="2">
        <v>267845.0</v>
      </c>
      <c r="J2015" s="2">
        <v>220250.0</v>
      </c>
      <c r="K2015" s="2">
        <v>47595.0</v>
      </c>
    </row>
    <row r="2016">
      <c r="A2016" s="2">
        <v>2023.0</v>
      </c>
      <c r="B2016" s="1" t="s">
        <v>710</v>
      </c>
      <c r="C2016" s="2"/>
      <c r="D2016" s="2" t="s">
        <v>1467</v>
      </c>
      <c r="E2016" s="2" t="s">
        <v>32</v>
      </c>
      <c r="F2016" s="2">
        <v>18520.0</v>
      </c>
      <c r="I2016" s="2">
        <v>115852.0</v>
      </c>
      <c r="J2016" s="2">
        <v>96350.0</v>
      </c>
      <c r="K2016" s="2">
        <v>19502.0</v>
      </c>
    </row>
    <row r="2017">
      <c r="A2017" s="2">
        <v>2023.0</v>
      </c>
      <c r="B2017" s="1" t="s">
        <v>710</v>
      </c>
      <c r="C2017" s="2"/>
      <c r="D2017" s="2"/>
      <c r="E2017" s="2" t="s">
        <v>56</v>
      </c>
      <c r="F2017" s="2">
        <v>515379.0</v>
      </c>
      <c r="I2017" s="2">
        <v>2711168.0</v>
      </c>
      <c r="J2017" s="2">
        <v>1593270.0</v>
      </c>
      <c r="K2017" s="2">
        <v>1117898.0</v>
      </c>
    </row>
    <row r="2018">
      <c r="A2018" s="2">
        <v>2023.0</v>
      </c>
      <c r="B2018" s="1" t="s">
        <v>710</v>
      </c>
      <c r="C2018" s="2"/>
      <c r="D2018" s="2"/>
      <c r="E2018" s="2" t="s">
        <v>1468</v>
      </c>
      <c r="F2018" s="2">
        <v>549186.0</v>
      </c>
      <c r="I2018" s="2">
        <v>1319104.0</v>
      </c>
      <c r="J2018" s="2">
        <v>512497.0</v>
      </c>
      <c r="K2018" s="2">
        <v>806607.0</v>
      </c>
    </row>
    <row r="2019">
      <c r="A2019" s="2">
        <v>2023.0</v>
      </c>
      <c r="B2019" s="1" t="s">
        <v>710</v>
      </c>
      <c r="C2019" s="2"/>
      <c r="D2019" s="2" t="s">
        <v>199</v>
      </c>
      <c r="E2019" s="2" t="s">
        <v>1469</v>
      </c>
      <c r="F2019" s="2">
        <v>740909.0</v>
      </c>
      <c r="I2019" s="2">
        <v>2761679.0</v>
      </c>
      <c r="J2019" s="2">
        <v>1901210.0</v>
      </c>
      <c r="K2019" s="2">
        <v>860469.0</v>
      </c>
    </row>
    <row r="2020">
      <c r="A2020" s="2">
        <v>2023.0</v>
      </c>
      <c r="B2020" s="1" t="s">
        <v>710</v>
      </c>
      <c r="C2020" s="2"/>
      <c r="D2020" s="2"/>
      <c r="E2020" s="2" t="s">
        <v>25</v>
      </c>
      <c r="F2020" s="2">
        <v>253772.0</v>
      </c>
      <c r="I2020" s="2">
        <v>619399.0</v>
      </c>
      <c r="J2020" s="2">
        <v>0.0</v>
      </c>
      <c r="K2020" s="2">
        <v>619399.0</v>
      </c>
    </row>
    <row r="2021">
      <c r="A2021" s="2">
        <v>2023.0</v>
      </c>
      <c r="B2021" s="1" t="s">
        <v>710</v>
      </c>
      <c r="C2021" s="2"/>
      <c r="D2021" s="2"/>
      <c r="E2021" s="2" t="s">
        <v>32</v>
      </c>
      <c r="F2021" s="2">
        <v>98741.0</v>
      </c>
      <c r="I2021" s="2">
        <v>933006.0</v>
      </c>
      <c r="J2021" s="2">
        <v>876462.0</v>
      </c>
      <c r="K2021" s="2">
        <v>56544.0</v>
      </c>
    </row>
    <row r="2022">
      <c r="A2022" s="2">
        <v>2023.0</v>
      </c>
      <c r="B2022" s="1" t="s">
        <v>710</v>
      </c>
      <c r="C2022" s="2"/>
      <c r="D2022" s="2"/>
      <c r="E2022" s="2" t="s">
        <v>715</v>
      </c>
      <c r="F2022" s="2">
        <v>0.0</v>
      </c>
      <c r="I2022" s="2">
        <v>217499.0</v>
      </c>
      <c r="J2022" s="2">
        <v>84562.0</v>
      </c>
      <c r="K2022" s="2">
        <v>132937.0</v>
      </c>
    </row>
    <row r="2023">
      <c r="A2023" s="2">
        <v>2023.0</v>
      </c>
      <c r="B2023" s="1" t="s">
        <v>710</v>
      </c>
      <c r="C2023" s="2" t="s">
        <v>796</v>
      </c>
      <c r="D2023" s="2" t="s">
        <v>1470</v>
      </c>
      <c r="E2023" s="2" t="s">
        <v>32</v>
      </c>
      <c r="F2023" s="2">
        <v>75809.0</v>
      </c>
      <c r="I2023" s="2">
        <v>283253.0</v>
      </c>
      <c r="J2023" s="2">
        <v>186145.0</v>
      </c>
      <c r="K2023" s="2">
        <v>97108.0</v>
      </c>
    </row>
    <row r="2024">
      <c r="A2024" s="2">
        <v>2023.0</v>
      </c>
      <c r="B2024" s="1" t="s">
        <v>710</v>
      </c>
      <c r="C2024" s="2"/>
      <c r="D2024" s="2"/>
      <c r="E2024" s="2" t="s">
        <v>1471</v>
      </c>
      <c r="F2024" s="2">
        <v>2769696.0</v>
      </c>
      <c r="I2024" s="2">
        <v>5467644.0</v>
      </c>
      <c r="J2024" s="2">
        <v>3642482.0</v>
      </c>
      <c r="K2024" s="2">
        <v>1825162.0</v>
      </c>
    </row>
    <row r="2025">
      <c r="A2025" s="2">
        <v>2023.0</v>
      </c>
      <c r="B2025" s="1" t="s">
        <v>710</v>
      </c>
      <c r="C2025" s="2"/>
      <c r="D2025" s="2" t="s">
        <v>1472</v>
      </c>
      <c r="E2025" s="2" t="s">
        <v>25</v>
      </c>
      <c r="F2025" s="2">
        <v>730628.0</v>
      </c>
      <c r="I2025" s="2">
        <v>1716157.0</v>
      </c>
      <c r="J2025" s="2">
        <v>189889.0</v>
      </c>
      <c r="K2025" s="2">
        <v>1526268.0</v>
      </c>
    </row>
    <row r="2026">
      <c r="A2026" s="2">
        <v>2023.0</v>
      </c>
      <c r="B2026" s="1" t="s">
        <v>710</v>
      </c>
      <c r="C2026" s="2"/>
      <c r="D2026" s="2"/>
      <c r="E2026" s="2" t="s">
        <v>1473</v>
      </c>
      <c r="F2026" s="2">
        <v>368829.0</v>
      </c>
      <c r="I2026" s="2">
        <v>1832803.0</v>
      </c>
      <c r="J2026" s="2">
        <v>1582434.0</v>
      </c>
      <c r="K2026" s="2">
        <v>250369.0</v>
      </c>
    </row>
    <row r="2027">
      <c r="A2027" s="2">
        <v>2023.0</v>
      </c>
      <c r="B2027" s="1" t="s">
        <v>710</v>
      </c>
      <c r="C2027" s="2"/>
      <c r="D2027" s="2"/>
      <c r="E2027" s="2" t="s">
        <v>32</v>
      </c>
      <c r="F2027" s="2">
        <v>0.0</v>
      </c>
      <c r="I2027" s="2">
        <v>282394.0</v>
      </c>
      <c r="J2027" s="2">
        <v>250020.0</v>
      </c>
      <c r="K2027" s="2">
        <v>32374.0</v>
      </c>
    </row>
    <row r="2028">
      <c r="A2028" s="2">
        <v>2023.0</v>
      </c>
      <c r="B2028" s="1" t="s">
        <v>710</v>
      </c>
      <c r="C2028" s="2"/>
      <c r="D2028" s="2" t="s">
        <v>1474</v>
      </c>
      <c r="E2028" s="2" t="s">
        <v>1475</v>
      </c>
      <c r="F2028" s="2">
        <v>3374809.0</v>
      </c>
      <c r="I2028" s="2">
        <v>6708377.0</v>
      </c>
      <c r="J2028" s="2">
        <v>4734296.0</v>
      </c>
      <c r="K2028" s="2">
        <v>1974081.0</v>
      </c>
    </row>
    <row r="2029">
      <c r="A2029" s="2">
        <v>2023.0</v>
      </c>
      <c r="B2029" s="1" t="s">
        <v>710</v>
      </c>
      <c r="C2029" s="2"/>
      <c r="D2029" s="2"/>
      <c r="E2029" s="2" t="s">
        <v>32</v>
      </c>
      <c r="F2029" s="2">
        <v>135497.0</v>
      </c>
      <c r="I2029" s="2">
        <v>590791.0</v>
      </c>
      <c r="J2029" s="2">
        <v>536914.0</v>
      </c>
      <c r="K2029" s="2">
        <v>53877.0</v>
      </c>
    </row>
    <row r="2030">
      <c r="A2030" s="2">
        <v>2023.0</v>
      </c>
      <c r="B2030" s="1" t="s">
        <v>710</v>
      </c>
      <c r="C2030" s="2"/>
      <c r="D2030" s="2" t="s">
        <v>799</v>
      </c>
      <c r="E2030" s="2" t="s">
        <v>32</v>
      </c>
      <c r="F2030" s="2">
        <v>20215.0</v>
      </c>
      <c r="I2030" s="2">
        <v>531753.0</v>
      </c>
      <c r="J2030" s="2">
        <v>513310.0</v>
      </c>
      <c r="K2030" s="2">
        <v>18443.0</v>
      </c>
    </row>
    <row r="2031">
      <c r="A2031" s="2">
        <v>2023.0</v>
      </c>
      <c r="B2031" s="1" t="s">
        <v>710</v>
      </c>
      <c r="C2031" s="2"/>
      <c r="D2031" s="2"/>
      <c r="E2031" s="2" t="s">
        <v>25</v>
      </c>
      <c r="F2031" s="2">
        <v>757913.0</v>
      </c>
      <c r="I2031" s="2">
        <v>1400478.0</v>
      </c>
      <c r="J2031" s="2">
        <v>458951.0</v>
      </c>
      <c r="K2031" s="2">
        <v>941527.0</v>
      </c>
    </row>
    <row r="2032">
      <c r="A2032" s="2">
        <v>2023.0</v>
      </c>
      <c r="B2032" s="1" t="s">
        <v>710</v>
      </c>
      <c r="C2032" s="2" t="s">
        <v>308</v>
      </c>
      <c r="D2032" s="2" t="s">
        <v>1476</v>
      </c>
      <c r="E2032" s="2" t="s">
        <v>32</v>
      </c>
      <c r="F2032" s="2">
        <v>0.0</v>
      </c>
      <c r="I2032" s="2">
        <v>75353.0</v>
      </c>
      <c r="J2032" s="2">
        <v>45100.0</v>
      </c>
      <c r="K2032" s="2">
        <v>30253.0</v>
      </c>
    </row>
    <row r="2033">
      <c r="A2033" s="2">
        <v>2023.0</v>
      </c>
      <c r="B2033" s="1" t="s">
        <v>710</v>
      </c>
      <c r="C2033" s="2"/>
      <c r="D2033" s="2"/>
      <c r="E2033" s="2" t="s">
        <v>25</v>
      </c>
      <c r="F2033" s="2">
        <v>616041.0</v>
      </c>
      <c r="I2033" s="2">
        <v>1174878.0</v>
      </c>
      <c r="J2033" s="2">
        <v>419292.0</v>
      </c>
      <c r="K2033" s="2">
        <v>755586.0</v>
      </c>
    </row>
    <row r="2034">
      <c r="A2034" s="2">
        <v>2023.0</v>
      </c>
      <c r="B2034" s="1" t="s">
        <v>710</v>
      </c>
      <c r="C2034" s="2"/>
      <c r="D2034" s="2"/>
      <c r="E2034" s="2" t="s">
        <v>606</v>
      </c>
      <c r="F2034" s="2">
        <v>385488.0</v>
      </c>
      <c r="I2034" s="2">
        <v>3397051.0</v>
      </c>
      <c r="J2034" s="2">
        <v>2321213.0</v>
      </c>
      <c r="K2034" s="2">
        <v>1075838.0</v>
      </c>
    </row>
    <row r="2035">
      <c r="A2035" s="2">
        <v>2023.0</v>
      </c>
      <c r="B2035" s="1" t="s">
        <v>710</v>
      </c>
      <c r="C2035" s="2"/>
      <c r="D2035" s="2" t="s">
        <v>326</v>
      </c>
      <c r="E2035" s="2" t="s">
        <v>32</v>
      </c>
      <c r="F2035" s="2">
        <v>472850.0</v>
      </c>
      <c r="I2035" s="2">
        <v>976801.0</v>
      </c>
      <c r="J2035" s="2">
        <v>285924.0</v>
      </c>
      <c r="K2035" s="2">
        <v>690877.0</v>
      </c>
    </row>
    <row r="2036">
      <c r="A2036" s="2">
        <v>2023.0</v>
      </c>
      <c r="B2036" s="1" t="s">
        <v>710</v>
      </c>
      <c r="C2036" s="2"/>
      <c r="D2036" s="2"/>
      <c r="E2036" s="2" t="s">
        <v>1477</v>
      </c>
      <c r="F2036" s="2">
        <v>1487051.0</v>
      </c>
      <c r="I2036" s="2">
        <v>4699393.0</v>
      </c>
      <c r="J2036" s="2">
        <v>3046203.0</v>
      </c>
      <c r="K2036" s="2">
        <v>1653190.0</v>
      </c>
    </row>
    <row r="2037">
      <c r="A2037" s="2">
        <v>2023.0</v>
      </c>
      <c r="B2037" s="1" t="s">
        <v>710</v>
      </c>
      <c r="C2037" s="2"/>
      <c r="D2037" s="2"/>
      <c r="E2037" s="2" t="s">
        <v>25</v>
      </c>
      <c r="F2037" s="2">
        <v>1152000.0</v>
      </c>
      <c r="I2037" s="2">
        <v>2718997.0</v>
      </c>
      <c r="J2037" s="2">
        <v>187969.0</v>
      </c>
      <c r="K2037" s="2">
        <v>2531028.0</v>
      </c>
    </row>
    <row r="2038">
      <c r="A2038" s="2">
        <v>2023.0</v>
      </c>
      <c r="B2038" s="1" t="s">
        <v>710</v>
      </c>
      <c r="C2038" s="2"/>
      <c r="D2038" s="2" t="s">
        <v>903</v>
      </c>
      <c r="E2038" s="2" t="s">
        <v>25</v>
      </c>
      <c r="F2038" s="2">
        <v>1294851.0</v>
      </c>
      <c r="I2038" s="2">
        <v>3064176.0</v>
      </c>
      <c r="J2038" s="2">
        <v>849707.0</v>
      </c>
      <c r="K2038" s="2">
        <v>2214469.0</v>
      </c>
    </row>
    <row r="2039">
      <c r="A2039" s="2">
        <v>2023.0</v>
      </c>
      <c r="B2039" s="1" t="s">
        <v>710</v>
      </c>
      <c r="C2039" s="2"/>
      <c r="D2039" s="2"/>
      <c r="E2039" s="2" t="s">
        <v>32</v>
      </c>
      <c r="F2039" s="2">
        <v>218249.0</v>
      </c>
      <c r="I2039" s="2">
        <v>355525.0</v>
      </c>
      <c r="J2039" s="2">
        <v>229719.0</v>
      </c>
      <c r="K2039" s="2">
        <v>125806.0</v>
      </c>
    </row>
    <row r="2040">
      <c r="A2040" s="2">
        <v>2023.0</v>
      </c>
      <c r="B2040" s="1" t="s">
        <v>710</v>
      </c>
      <c r="C2040" s="2"/>
      <c r="D2040" s="2"/>
      <c r="E2040" s="2" t="s">
        <v>606</v>
      </c>
      <c r="F2040" s="2">
        <v>2437035.0</v>
      </c>
      <c r="I2040" s="2">
        <v>5348378.0</v>
      </c>
      <c r="J2040" s="2">
        <v>3392631.0</v>
      </c>
      <c r="K2040" s="2">
        <v>1955747.0</v>
      </c>
    </row>
    <row r="2041">
      <c r="A2041" s="2">
        <v>2023.0</v>
      </c>
      <c r="B2041" s="1" t="s">
        <v>710</v>
      </c>
      <c r="C2041" s="2"/>
      <c r="D2041" s="2"/>
      <c r="E2041" s="2" t="s">
        <v>1364</v>
      </c>
      <c r="F2041" s="2">
        <v>242476.0</v>
      </c>
      <c r="I2041" s="2">
        <v>963057.0</v>
      </c>
      <c r="J2041" s="2">
        <v>963057.0</v>
      </c>
      <c r="K2041" s="2">
        <v>0.0</v>
      </c>
    </row>
    <row r="2042">
      <c r="A2042" s="2">
        <v>2023.0</v>
      </c>
      <c r="B2042" s="1" t="s">
        <v>710</v>
      </c>
      <c r="C2042" s="2"/>
      <c r="D2042" s="2" t="s">
        <v>324</v>
      </c>
      <c r="E2042" s="2" t="s">
        <v>32</v>
      </c>
      <c r="F2042" s="2">
        <v>178085.0</v>
      </c>
      <c r="I2042" s="2">
        <v>222881.0</v>
      </c>
      <c r="J2042" s="2">
        <v>117743.0</v>
      </c>
      <c r="K2042" s="2">
        <v>162539.0</v>
      </c>
    </row>
    <row r="2043">
      <c r="A2043" s="2">
        <v>2023.0</v>
      </c>
      <c r="B2043" s="1" t="s">
        <v>710</v>
      </c>
      <c r="C2043" s="2"/>
      <c r="D2043" s="2"/>
      <c r="E2043" s="2" t="s">
        <v>1478</v>
      </c>
      <c r="F2043" s="2">
        <v>1529142.0</v>
      </c>
      <c r="I2043" s="2">
        <v>3599547.0</v>
      </c>
      <c r="J2043" s="2">
        <v>185616.0</v>
      </c>
      <c r="K2043" s="2">
        <v>3413931.0</v>
      </c>
    </row>
    <row r="2044">
      <c r="A2044" s="2">
        <v>2023.0</v>
      </c>
      <c r="B2044" s="1" t="s">
        <v>710</v>
      </c>
      <c r="C2044" s="2"/>
      <c r="D2044" s="2"/>
      <c r="E2044" s="2" t="s">
        <v>92</v>
      </c>
      <c r="F2044" s="2">
        <v>3646385.0</v>
      </c>
      <c r="I2044" s="2">
        <v>6533527.0</v>
      </c>
      <c r="J2044" s="2">
        <v>3252222.0</v>
      </c>
      <c r="K2044" s="2">
        <v>3281305.0</v>
      </c>
    </row>
    <row r="2045">
      <c r="A2045" s="2">
        <v>2023.0</v>
      </c>
      <c r="B2045" s="1" t="s">
        <v>710</v>
      </c>
      <c r="C2045" s="2"/>
      <c r="D2045" s="2" t="s">
        <v>312</v>
      </c>
      <c r="E2045" s="2" t="s">
        <v>1479</v>
      </c>
      <c r="F2045" s="2">
        <v>104555.0</v>
      </c>
      <c r="I2045" s="2">
        <v>2483106.0</v>
      </c>
      <c r="J2045" s="2">
        <v>1845628.0</v>
      </c>
      <c r="K2045" s="2">
        <v>637478.0</v>
      </c>
    </row>
    <row r="2046">
      <c r="A2046" s="2">
        <v>2023.0</v>
      </c>
      <c r="B2046" s="1" t="s">
        <v>710</v>
      </c>
      <c r="C2046" s="2"/>
      <c r="D2046" s="2"/>
      <c r="E2046" s="2" t="s">
        <v>25</v>
      </c>
      <c r="F2046" s="2">
        <v>836424.0</v>
      </c>
      <c r="I2046" s="2">
        <v>1962211.0</v>
      </c>
      <c r="J2046" s="2">
        <v>716659.0</v>
      </c>
      <c r="K2046" s="2">
        <v>1245552.0</v>
      </c>
    </row>
    <row r="2047">
      <c r="A2047" s="2">
        <v>2023.0</v>
      </c>
      <c r="B2047" s="1" t="s">
        <v>710</v>
      </c>
      <c r="C2047" s="2"/>
      <c r="D2047" s="2"/>
      <c r="E2047" s="2" t="s">
        <v>1480</v>
      </c>
      <c r="F2047" s="2">
        <v>4281.0</v>
      </c>
      <c r="I2047" s="2">
        <v>1333605.0</v>
      </c>
      <c r="J2047" s="2">
        <v>1121361.0</v>
      </c>
      <c r="K2047" s="2">
        <v>212244.0</v>
      </c>
    </row>
    <row r="2048">
      <c r="A2048" s="2">
        <v>2023.0</v>
      </c>
      <c r="B2048" s="1" t="s">
        <v>710</v>
      </c>
      <c r="C2048" s="2"/>
      <c r="D2048" s="2"/>
      <c r="E2048" s="2" t="s">
        <v>32</v>
      </c>
      <c r="F2048" s="2">
        <v>65830.0</v>
      </c>
      <c r="I2048" s="2">
        <v>92464.0</v>
      </c>
      <c r="J2048" s="2">
        <v>35000.0</v>
      </c>
      <c r="K2048" s="2">
        <v>57464.0</v>
      </c>
    </row>
    <row r="2049">
      <c r="A2049" s="2">
        <v>2023.0</v>
      </c>
      <c r="B2049" s="1" t="s">
        <v>710</v>
      </c>
      <c r="C2049" s="2"/>
      <c r="D2049" s="2"/>
      <c r="E2049" s="2" t="s">
        <v>1481</v>
      </c>
      <c r="F2049" s="2">
        <v>67941.0</v>
      </c>
      <c r="I2049" s="2">
        <v>988588.0</v>
      </c>
      <c r="J2049" s="2">
        <v>960383.0</v>
      </c>
      <c r="K2049" s="2">
        <v>28205.0</v>
      </c>
    </row>
    <row r="2050">
      <c r="A2050" s="2">
        <v>2023.0</v>
      </c>
      <c r="B2050" s="1" t="s">
        <v>710</v>
      </c>
      <c r="C2050" s="2"/>
      <c r="D2050" s="2"/>
      <c r="E2050" s="2" t="s">
        <v>1482</v>
      </c>
      <c r="F2050" s="2">
        <v>2418.0</v>
      </c>
      <c r="I2050" s="2">
        <v>80944.0</v>
      </c>
      <c r="J2050" s="2">
        <v>74104.0</v>
      </c>
      <c r="K2050" s="2">
        <v>6840.0</v>
      </c>
    </row>
    <row r="2051">
      <c r="A2051" s="2">
        <v>2023.0</v>
      </c>
      <c r="B2051" s="1" t="s">
        <v>710</v>
      </c>
      <c r="C2051" s="2"/>
      <c r="D2051" s="2" t="s">
        <v>899</v>
      </c>
      <c r="E2051" s="2" t="s">
        <v>1483</v>
      </c>
      <c r="F2051" s="2">
        <v>2126671.0</v>
      </c>
      <c r="I2051" s="2">
        <v>5765860.0</v>
      </c>
      <c r="J2051" s="2">
        <v>4922045.0</v>
      </c>
      <c r="K2051" s="2">
        <v>843815.0</v>
      </c>
    </row>
    <row r="2052">
      <c r="A2052" s="2">
        <v>2023.0</v>
      </c>
      <c r="B2052" s="1" t="s">
        <v>710</v>
      </c>
      <c r="C2052" s="2"/>
      <c r="D2052" s="2"/>
      <c r="E2052" s="2" t="s">
        <v>25</v>
      </c>
      <c r="F2052" s="2">
        <v>0.0</v>
      </c>
      <c r="I2052" s="2">
        <v>3362925.0</v>
      </c>
      <c r="J2052" s="2">
        <v>590.0</v>
      </c>
      <c r="K2052" s="2">
        <v>3362335.0</v>
      </c>
    </row>
    <row r="2053">
      <c r="A2053" s="2">
        <v>2023.0</v>
      </c>
      <c r="B2053" s="1" t="s">
        <v>710</v>
      </c>
      <c r="C2053" s="2"/>
      <c r="D2053" s="2" t="s">
        <v>1484</v>
      </c>
      <c r="E2053" s="2" t="s">
        <v>32</v>
      </c>
      <c r="F2053" s="2">
        <v>101234.0</v>
      </c>
      <c r="I2053" s="2">
        <v>189361.0</v>
      </c>
      <c r="J2053" s="2">
        <v>148976.0</v>
      </c>
      <c r="K2053" s="2">
        <v>40385.0</v>
      </c>
    </row>
    <row r="2054">
      <c r="A2054" s="2">
        <v>2023.0</v>
      </c>
      <c r="B2054" s="1" t="s">
        <v>710</v>
      </c>
      <c r="C2054" s="2"/>
      <c r="D2054" s="2"/>
      <c r="E2054" s="2" t="s">
        <v>25</v>
      </c>
      <c r="F2054" s="2">
        <v>1259165.0</v>
      </c>
      <c r="I2054" s="2">
        <v>2954998.0</v>
      </c>
      <c r="J2054" s="2">
        <v>1519100.0</v>
      </c>
      <c r="K2054" s="2">
        <v>1435898.0</v>
      </c>
    </row>
    <row r="2055">
      <c r="A2055" s="2">
        <v>2023.0</v>
      </c>
      <c r="B2055" s="1" t="s">
        <v>710</v>
      </c>
      <c r="C2055" s="2"/>
      <c r="D2055" s="2"/>
      <c r="E2055" s="2" t="s">
        <v>511</v>
      </c>
      <c r="F2055" s="2">
        <v>6114.0</v>
      </c>
      <c r="I2055" s="2">
        <v>2753322.0</v>
      </c>
      <c r="J2055" s="2">
        <v>1655035.0</v>
      </c>
      <c r="K2055" s="2">
        <v>1098287.0</v>
      </c>
    </row>
    <row r="2056">
      <c r="A2056" s="2">
        <v>2023.0</v>
      </c>
      <c r="B2056" s="1" t="s">
        <v>710</v>
      </c>
      <c r="C2056" s="2" t="s">
        <v>764</v>
      </c>
      <c r="D2056" s="2" t="s">
        <v>1485</v>
      </c>
      <c r="E2056" s="2" t="s">
        <v>1486</v>
      </c>
      <c r="F2056" s="2">
        <v>587678.0</v>
      </c>
      <c r="I2056" s="2">
        <v>3776673.0</v>
      </c>
      <c r="J2056" s="2">
        <v>3157128.0</v>
      </c>
      <c r="K2056" s="2">
        <v>619545.0</v>
      </c>
    </row>
    <row r="2057">
      <c r="A2057" s="2">
        <v>2023.0</v>
      </c>
      <c r="B2057" s="1" t="s">
        <v>710</v>
      </c>
      <c r="C2057" s="2"/>
      <c r="D2057" s="2"/>
      <c r="E2057" s="2" t="s">
        <v>1430</v>
      </c>
      <c r="F2057" s="2">
        <v>1384455.0</v>
      </c>
      <c r="I2057" s="2">
        <v>3244503.0</v>
      </c>
      <c r="J2057" s="2">
        <v>1085297.0</v>
      </c>
      <c r="K2057" s="2">
        <v>2159206.0</v>
      </c>
    </row>
    <row r="2058">
      <c r="A2058" s="2">
        <v>2023.0</v>
      </c>
      <c r="B2058" s="1" t="s">
        <v>710</v>
      </c>
      <c r="C2058" s="2"/>
      <c r="D2058" s="2"/>
      <c r="E2058" s="2" t="s">
        <v>32</v>
      </c>
      <c r="F2058" s="2">
        <v>75310.0</v>
      </c>
      <c r="I2058" s="2">
        <v>135345.0</v>
      </c>
      <c r="J2058" s="2">
        <v>119393.0</v>
      </c>
      <c r="K2058" s="2">
        <v>15952.0</v>
      </c>
    </row>
    <row r="2059">
      <c r="A2059" s="2">
        <v>2023.0</v>
      </c>
      <c r="B2059" s="1" t="s">
        <v>710</v>
      </c>
      <c r="C2059" s="2"/>
      <c r="D2059" s="2" t="s">
        <v>764</v>
      </c>
      <c r="E2059" s="2" t="s">
        <v>1486</v>
      </c>
      <c r="F2059" s="2">
        <v>2366616.0</v>
      </c>
      <c r="I2059" s="2">
        <v>6752236.0</v>
      </c>
      <c r="J2059" s="2">
        <v>3824732.0</v>
      </c>
      <c r="K2059" s="2">
        <v>2927504.0</v>
      </c>
    </row>
    <row r="2060">
      <c r="A2060" s="2">
        <v>2023.0</v>
      </c>
      <c r="B2060" s="1" t="s">
        <v>710</v>
      </c>
      <c r="C2060" s="2"/>
      <c r="D2060" s="2" t="s">
        <v>885</v>
      </c>
      <c r="E2060" s="2" t="s">
        <v>1430</v>
      </c>
      <c r="F2060" s="2">
        <v>1792266.0</v>
      </c>
      <c r="I2060" s="2">
        <v>2342595.0</v>
      </c>
      <c r="J2060" s="2">
        <v>629732.0</v>
      </c>
      <c r="K2060" s="2">
        <v>1712863.0</v>
      </c>
    </row>
    <row r="2061">
      <c r="A2061" s="2">
        <v>2023.0</v>
      </c>
      <c r="B2061" s="1" t="s">
        <v>710</v>
      </c>
      <c r="C2061" s="2"/>
      <c r="D2061" s="2" t="s">
        <v>884</v>
      </c>
      <c r="E2061" s="2" t="s">
        <v>394</v>
      </c>
      <c r="F2061" s="2">
        <v>1690817.0</v>
      </c>
      <c r="I2061" s="2">
        <v>4678017.0</v>
      </c>
      <c r="J2061" s="2">
        <v>2519506.0</v>
      </c>
      <c r="K2061" s="2">
        <v>2158511.0</v>
      </c>
    </row>
    <row r="2062">
      <c r="A2062" s="2">
        <v>2023.0</v>
      </c>
      <c r="B2062" s="1" t="s">
        <v>710</v>
      </c>
      <c r="C2062" s="2"/>
      <c r="D2062" s="2"/>
      <c r="E2062" s="2" t="s">
        <v>1430</v>
      </c>
      <c r="F2062" s="2">
        <v>517932.0</v>
      </c>
      <c r="I2062" s="2">
        <v>1063959.0</v>
      </c>
      <c r="J2062" s="2">
        <v>72.0</v>
      </c>
      <c r="K2062" s="2">
        <v>1063887.0</v>
      </c>
    </row>
    <row r="2063">
      <c r="A2063" s="2">
        <v>2023.0</v>
      </c>
      <c r="B2063" s="1" t="s">
        <v>710</v>
      </c>
      <c r="C2063" s="2" t="s">
        <v>906</v>
      </c>
      <c r="D2063" s="2" t="s">
        <v>1487</v>
      </c>
      <c r="E2063" s="2" t="s">
        <v>1488</v>
      </c>
      <c r="F2063" s="2">
        <v>2122949.0</v>
      </c>
      <c r="I2063" s="2">
        <v>4283068.0</v>
      </c>
      <c r="J2063" s="2">
        <v>2081622.0</v>
      </c>
      <c r="K2063" s="2">
        <v>2201446.0</v>
      </c>
    </row>
    <row r="2064">
      <c r="A2064" s="2">
        <v>2023.0</v>
      </c>
      <c r="B2064" s="1" t="s">
        <v>710</v>
      </c>
      <c r="C2064" s="2"/>
      <c r="D2064" s="2"/>
      <c r="E2064" s="2" t="s">
        <v>686</v>
      </c>
      <c r="F2064" s="2">
        <v>878838.0</v>
      </c>
      <c r="I2064" s="2">
        <v>2072983.0</v>
      </c>
      <c r="J2064" s="2">
        <v>65043.0</v>
      </c>
      <c r="K2064" s="2">
        <v>2007940.0</v>
      </c>
    </row>
    <row r="2065">
      <c r="A2065" s="2">
        <v>2023.0</v>
      </c>
      <c r="B2065" s="1" t="s">
        <v>710</v>
      </c>
      <c r="C2065" s="2"/>
      <c r="D2065" s="2"/>
      <c r="E2065" s="2" t="s">
        <v>32</v>
      </c>
      <c r="F2065" s="2">
        <v>27704.0</v>
      </c>
      <c r="I2065" s="2">
        <v>140224.0</v>
      </c>
      <c r="J2065" s="2">
        <v>134107.0</v>
      </c>
      <c r="K2065" s="2">
        <v>6117.0</v>
      </c>
    </row>
    <row r="2066">
      <c r="A2066" s="2">
        <v>2023.0</v>
      </c>
      <c r="B2066" s="1" t="s">
        <v>710</v>
      </c>
      <c r="C2066" s="2"/>
      <c r="D2066" s="2" t="s">
        <v>892</v>
      </c>
      <c r="E2066" s="2" t="s">
        <v>27</v>
      </c>
      <c r="F2066" s="2">
        <v>372063.0</v>
      </c>
      <c r="I2066" s="2">
        <v>1770678.0</v>
      </c>
      <c r="J2066" s="2">
        <v>1413966.0</v>
      </c>
      <c r="K2066" s="2">
        <v>356712.0</v>
      </c>
    </row>
    <row r="2067">
      <c r="A2067" s="2">
        <v>2023.0</v>
      </c>
      <c r="B2067" s="1" t="s">
        <v>710</v>
      </c>
      <c r="C2067" s="2"/>
      <c r="D2067" s="2"/>
      <c r="E2067" s="2" t="s">
        <v>56</v>
      </c>
      <c r="F2067" s="2">
        <v>906926.0</v>
      </c>
      <c r="I2067" s="2">
        <v>2684346.0</v>
      </c>
      <c r="J2067" s="2">
        <v>1515278.0</v>
      </c>
      <c r="K2067" s="2">
        <v>1169068.0</v>
      </c>
    </row>
    <row r="2068">
      <c r="A2068" s="2">
        <v>2023.0</v>
      </c>
      <c r="B2068" s="1" t="s">
        <v>710</v>
      </c>
      <c r="C2068" s="2"/>
      <c r="D2068" s="2"/>
      <c r="E2068" s="2" t="s">
        <v>686</v>
      </c>
      <c r="F2068" s="2">
        <v>483111.0</v>
      </c>
      <c r="I2068" s="2">
        <v>1726137.0</v>
      </c>
      <c r="J2068" s="2">
        <v>427302.0</v>
      </c>
      <c r="K2068" s="2">
        <v>1298835.0</v>
      </c>
    </row>
    <row r="2069">
      <c r="A2069" s="2">
        <v>2023.0</v>
      </c>
      <c r="B2069" s="1" t="s">
        <v>710</v>
      </c>
      <c r="C2069" s="2"/>
      <c r="D2069" s="2"/>
      <c r="E2069" s="2" t="s">
        <v>760</v>
      </c>
      <c r="F2069" s="2">
        <v>126136.0</v>
      </c>
      <c r="I2069" s="2">
        <v>161641.0</v>
      </c>
      <c r="J2069" s="2">
        <v>120735.0</v>
      </c>
      <c r="K2069" s="2">
        <v>40906.0</v>
      </c>
    </row>
    <row r="2070">
      <c r="A2070" s="2">
        <v>2023.0</v>
      </c>
      <c r="B2070" s="1" t="s">
        <v>710</v>
      </c>
      <c r="C2070" s="2"/>
      <c r="D2070" s="2" t="s">
        <v>911</v>
      </c>
      <c r="E2070" s="2" t="s">
        <v>56</v>
      </c>
      <c r="F2070" s="2">
        <v>244106.0</v>
      </c>
      <c r="I2070" s="2">
        <v>1828142.0</v>
      </c>
      <c r="J2070" s="2">
        <v>1625064.0</v>
      </c>
      <c r="K2070" s="2">
        <v>203078.0</v>
      </c>
    </row>
    <row r="2071">
      <c r="A2071" s="2">
        <v>2023.0</v>
      </c>
      <c r="B2071" s="1" t="s">
        <v>710</v>
      </c>
      <c r="C2071" s="2"/>
      <c r="D2071" s="2"/>
      <c r="E2071" s="2" t="s">
        <v>686</v>
      </c>
      <c r="F2071" s="2">
        <v>767251.0</v>
      </c>
      <c r="I2071" s="2">
        <v>1537315.0</v>
      </c>
      <c r="J2071" s="2">
        <v>327754.0</v>
      </c>
      <c r="K2071" s="2">
        <v>1209561.0</v>
      </c>
    </row>
    <row r="2072">
      <c r="A2072" s="2">
        <v>2023.0</v>
      </c>
      <c r="B2072" s="1" t="s">
        <v>710</v>
      </c>
      <c r="C2072" s="2"/>
      <c r="D2072" s="2"/>
      <c r="E2072" s="2" t="s">
        <v>760</v>
      </c>
      <c r="F2072" s="2">
        <v>260256.0</v>
      </c>
      <c r="I2072" s="2">
        <v>518386.0</v>
      </c>
      <c r="J2072" s="2">
        <v>487055.0</v>
      </c>
      <c r="K2072" s="2">
        <v>31331.0</v>
      </c>
    </row>
    <row r="2073">
      <c r="A2073" s="2">
        <v>2023.0</v>
      </c>
      <c r="B2073" s="1" t="s">
        <v>710</v>
      </c>
      <c r="C2073" s="2"/>
      <c r="D2073" s="2" t="s">
        <v>1225</v>
      </c>
      <c r="E2073" s="2" t="s">
        <v>686</v>
      </c>
      <c r="F2073" s="2">
        <v>507182.0</v>
      </c>
      <c r="I2073" s="2">
        <v>1194773.0</v>
      </c>
      <c r="J2073" s="2">
        <v>20000.0</v>
      </c>
      <c r="K2073" s="2">
        <v>1174773.0</v>
      </c>
    </row>
    <row r="2074">
      <c r="A2074" s="2">
        <v>2023.0</v>
      </c>
      <c r="B2074" s="1" t="s">
        <v>710</v>
      </c>
      <c r="C2074" s="2"/>
      <c r="D2074" s="2"/>
      <c r="E2074" s="2" t="s">
        <v>760</v>
      </c>
      <c r="F2074" s="2">
        <v>439236.0</v>
      </c>
      <c r="I2074" s="2">
        <v>912793.0</v>
      </c>
      <c r="J2074" s="2">
        <v>574858.0</v>
      </c>
      <c r="K2074" s="2">
        <v>337935.0</v>
      </c>
    </row>
    <row r="2075">
      <c r="A2075" s="2">
        <v>2023.0</v>
      </c>
      <c r="B2075" s="1" t="s">
        <v>710</v>
      </c>
      <c r="C2075" s="2"/>
      <c r="D2075" s="2"/>
      <c r="E2075" s="2" t="s">
        <v>715</v>
      </c>
      <c r="F2075" s="2">
        <v>1325977.0</v>
      </c>
      <c r="I2075" s="2">
        <v>2715833.0</v>
      </c>
      <c r="J2075" s="2">
        <v>759959.0</v>
      </c>
      <c r="K2075" s="2">
        <v>1955874.0</v>
      </c>
    </row>
    <row r="2076">
      <c r="A2076" s="2">
        <v>2023.0</v>
      </c>
      <c r="B2076" s="1" t="s">
        <v>710</v>
      </c>
      <c r="C2076" s="2"/>
      <c r="D2076" s="2" t="s">
        <v>1489</v>
      </c>
      <c r="E2076" s="2" t="s">
        <v>56</v>
      </c>
      <c r="F2076" s="2">
        <v>1347177.0</v>
      </c>
      <c r="I2076" s="2">
        <v>3743349.0</v>
      </c>
      <c r="J2076" s="2">
        <v>2249308.0</v>
      </c>
      <c r="K2076" s="2">
        <v>1494041.0</v>
      </c>
    </row>
    <row r="2077">
      <c r="A2077" s="2">
        <v>2023.0</v>
      </c>
      <c r="B2077" s="1" t="s">
        <v>710</v>
      </c>
      <c r="C2077" s="2"/>
      <c r="D2077" s="2"/>
      <c r="E2077" s="2" t="s">
        <v>686</v>
      </c>
      <c r="F2077" s="2">
        <v>229322.0</v>
      </c>
      <c r="I2077" s="2">
        <v>629085.0</v>
      </c>
      <c r="J2077" s="2">
        <v>217115.0</v>
      </c>
      <c r="K2077" s="2">
        <v>411970.0</v>
      </c>
    </row>
    <row r="2078">
      <c r="A2078" s="2">
        <v>2023.0</v>
      </c>
      <c r="B2078" s="1" t="s">
        <v>710</v>
      </c>
      <c r="C2078" s="2"/>
      <c r="D2078" s="2"/>
      <c r="E2078" s="2" t="s">
        <v>32</v>
      </c>
      <c r="F2078" s="2">
        <v>152085.0</v>
      </c>
      <c r="I2078" s="2">
        <v>298738.0</v>
      </c>
      <c r="J2078" s="2">
        <v>51250.0</v>
      </c>
      <c r="K2078" s="2">
        <v>247488.0</v>
      </c>
    </row>
    <row r="2079">
      <c r="A2079" s="2">
        <v>2023.0</v>
      </c>
      <c r="B2079" s="1" t="s">
        <v>710</v>
      </c>
      <c r="C2079" s="2"/>
      <c r="D2079" s="2" t="s">
        <v>916</v>
      </c>
      <c r="E2079" s="2" t="s">
        <v>686</v>
      </c>
      <c r="F2079" s="2">
        <v>1255776.0</v>
      </c>
      <c r="I2079" s="2">
        <v>2431636.0</v>
      </c>
      <c r="J2079" s="2">
        <v>274481.0</v>
      </c>
      <c r="K2079" s="2">
        <v>2157155.0</v>
      </c>
    </row>
    <row r="2080">
      <c r="A2080" s="2">
        <v>2023.0</v>
      </c>
      <c r="B2080" s="1" t="s">
        <v>710</v>
      </c>
      <c r="C2080" s="2"/>
      <c r="D2080" s="2"/>
      <c r="E2080" s="2" t="s">
        <v>32</v>
      </c>
      <c r="F2080" s="2">
        <v>422341.0</v>
      </c>
      <c r="I2080" s="2">
        <v>3352826.0</v>
      </c>
      <c r="J2080" s="2">
        <v>1746222.0</v>
      </c>
      <c r="K2080" s="2">
        <v>1606604.0</v>
      </c>
    </row>
    <row r="2081">
      <c r="A2081" s="2">
        <v>2023.0</v>
      </c>
      <c r="B2081" s="1" t="s">
        <v>710</v>
      </c>
      <c r="C2081" s="2"/>
      <c r="D2081" s="2" t="s">
        <v>1303</v>
      </c>
      <c r="E2081" s="2" t="s">
        <v>1356</v>
      </c>
      <c r="F2081" s="2">
        <v>1710826.0</v>
      </c>
      <c r="I2081" s="2">
        <v>4131444.0</v>
      </c>
      <c r="J2081" s="2">
        <v>1503491.0</v>
      </c>
      <c r="K2081" s="2">
        <v>2627953.0</v>
      </c>
    </row>
    <row r="2082">
      <c r="A2082" s="2">
        <v>2023.0</v>
      </c>
      <c r="B2082" s="1" t="s">
        <v>710</v>
      </c>
      <c r="C2082" s="2"/>
      <c r="D2082" s="2"/>
      <c r="E2082" s="2" t="s">
        <v>686</v>
      </c>
      <c r="F2082" s="2">
        <v>1062023.0</v>
      </c>
      <c r="I2082" s="2">
        <v>2491019.0</v>
      </c>
      <c r="J2082" s="2">
        <v>188936.0</v>
      </c>
      <c r="K2082" s="2">
        <v>2302083.0</v>
      </c>
    </row>
    <row r="2083">
      <c r="A2083" s="2">
        <v>2023.0</v>
      </c>
      <c r="B2083" s="1" t="s">
        <v>710</v>
      </c>
      <c r="C2083" s="2"/>
      <c r="D2083" s="2"/>
      <c r="E2083" s="2" t="s">
        <v>32</v>
      </c>
      <c r="F2083" s="2">
        <v>110921.0</v>
      </c>
      <c r="I2083" s="2">
        <v>156639.0</v>
      </c>
      <c r="J2083" s="2">
        <v>60000.0</v>
      </c>
      <c r="K2083" s="2">
        <v>96639.0</v>
      </c>
    </row>
    <row r="2084">
      <c r="A2084" s="2">
        <v>2023.0</v>
      </c>
      <c r="B2084" s="1" t="s">
        <v>710</v>
      </c>
      <c r="C2084" s="2" t="s">
        <v>1137</v>
      </c>
      <c r="D2084" s="2" t="s">
        <v>1490</v>
      </c>
      <c r="E2084" s="2" t="s">
        <v>32</v>
      </c>
      <c r="F2084" s="2">
        <v>92683.0</v>
      </c>
      <c r="I2084" s="2">
        <v>264450.0</v>
      </c>
      <c r="J2084" s="2">
        <v>251846.0</v>
      </c>
      <c r="K2084" s="2">
        <v>12604.0</v>
      </c>
    </row>
    <row r="2085">
      <c r="A2085" s="2">
        <v>2023.0</v>
      </c>
      <c r="B2085" s="1" t="s">
        <v>710</v>
      </c>
      <c r="C2085" s="2"/>
      <c r="D2085" s="2"/>
      <c r="E2085" s="2" t="s">
        <v>1430</v>
      </c>
      <c r="F2085" s="2">
        <v>583982.0</v>
      </c>
      <c r="I2085" s="2">
        <v>4120687.0</v>
      </c>
      <c r="J2085" s="2">
        <v>72.0</v>
      </c>
      <c r="K2085" s="2">
        <v>4120615.0</v>
      </c>
    </row>
    <row r="2086">
      <c r="A2086" s="2">
        <v>2023.0</v>
      </c>
      <c r="B2086" s="1" t="s">
        <v>710</v>
      </c>
      <c r="C2086" s="2"/>
      <c r="D2086" s="2" t="s">
        <v>811</v>
      </c>
      <c r="E2086" s="2" t="s">
        <v>32</v>
      </c>
      <c r="F2086" s="2">
        <v>35003.0</v>
      </c>
      <c r="I2086" s="2">
        <v>296112.0</v>
      </c>
      <c r="J2086" s="2">
        <v>243090.0</v>
      </c>
      <c r="K2086" s="2">
        <v>53022.0</v>
      </c>
    </row>
    <row r="2087">
      <c r="A2087" s="2">
        <v>2023.0</v>
      </c>
      <c r="B2087" s="1" t="s">
        <v>710</v>
      </c>
      <c r="C2087" s="2"/>
      <c r="D2087" s="2"/>
      <c r="E2087" s="2" t="s">
        <v>1405</v>
      </c>
      <c r="F2087" s="2">
        <v>1047410.0</v>
      </c>
      <c r="I2087" s="2">
        <v>4513608.0</v>
      </c>
      <c r="J2087" s="2">
        <v>3451716.0</v>
      </c>
      <c r="K2087" s="2">
        <v>1061892.0</v>
      </c>
    </row>
    <row r="2088">
      <c r="A2088" s="2">
        <v>2023.0</v>
      </c>
      <c r="B2088" s="1" t="s">
        <v>710</v>
      </c>
      <c r="C2088" s="2"/>
      <c r="D2088" s="2"/>
      <c r="E2088" s="2" t="s">
        <v>1430</v>
      </c>
      <c r="F2088" s="2">
        <v>866982.0</v>
      </c>
      <c r="I2088" s="2">
        <v>1785478.0</v>
      </c>
      <c r="J2088" s="2">
        <v>0.0</v>
      </c>
      <c r="K2088" s="2">
        <v>1785478.0</v>
      </c>
    </row>
    <row r="2089">
      <c r="A2089" s="2">
        <v>2023.0</v>
      </c>
      <c r="B2089" s="1" t="s">
        <v>710</v>
      </c>
      <c r="C2089" s="2"/>
      <c r="D2089" s="2" t="s">
        <v>1491</v>
      </c>
      <c r="E2089" s="2" t="s">
        <v>32</v>
      </c>
      <c r="F2089" s="2">
        <v>206434.0</v>
      </c>
      <c r="I2089" s="2">
        <v>1210309.0</v>
      </c>
      <c r="J2089" s="2">
        <v>1155022.0</v>
      </c>
      <c r="K2089" s="2">
        <v>55287.0</v>
      </c>
    </row>
    <row r="2090">
      <c r="A2090" s="2">
        <v>2023.0</v>
      </c>
      <c r="B2090" s="1" t="s">
        <v>710</v>
      </c>
      <c r="C2090" s="2"/>
      <c r="D2090" s="2"/>
      <c r="E2090" s="2" t="s">
        <v>1405</v>
      </c>
      <c r="F2090" s="2">
        <v>1859268.0</v>
      </c>
      <c r="I2090" s="2">
        <v>5062533.0</v>
      </c>
      <c r="J2090" s="2">
        <v>3267378.0</v>
      </c>
      <c r="K2090" s="2">
        <v>1795155.0</v>
      </c>
    </row>
    <row r="2091">
      <c r="A2091" s="2">
        <v>2023.0</v>
      </c>
      <c r="B2091" s="1" t="s">
        <v>710</v>
      </c>
      <c r="C2091" s="2"/>
      <c r="D2091" s="2"/>
      <c r="E2091" s="2" t="s">
        <v>1430</v>
      </c>
      <c r="F2091" s="2">
        <v>1244982.0</v>
      </c>
      <c r="I2091" s="2">
        <v>2928286.0</v>
      </c>
      <c r="J2091" s="2">
        <v>133072.0</v>
      </c>
      <c r="K2091" s="2">
        <v>2795214.0</v>
      </c>
    </row>
    <row r="2092">
      <c r="A2092" s="2">
        <v>2023.0</v>
      </c>
      <c r="B2092" s="1" t="s">
        <v>710</v>
      </c>
      <c r="C2092" s="2"/>
      <c r="D2092" s="2" t="s">
        <v>763</v>
      </c>
      <c r="E2092" s="2" t="s">
        <v>1492</v>
      </c>
      <c r="F2092" s="2">
        <v>3535209.0</v>
      </c>
      <c r="I2092" s="2">
        <v>5439656.0</v>
      </c>
      <c r="J2092" s="2">
        <v>2672470.0</v>
      </c>
      <c r="K2092" s="2">
        <v>2767186.0</v>
      </c>
    </row>
    <row r="2093">
      <c r="A2093" s="2">
        <v>2023.0</v>
      </c>
      <c r="B2093" s="1" t="s">
        <v>710</v>
      </c>
      <c r="C2093" s="2"/>
      <c r="D2093" s="2"/>
      <c r="E2093" s="2" t="s">
        <v>1430</v>
      </c>
      <c r="F2093" s="2">
        <v>249982.0</v>
      </c>
      <c r="I2093" s="2">
        <v>1255303.0</v>
      </c>
      <c r="J2093" s="2">
        <v>72.0</v>
      </c>
      <c r="K2093" s="2">
        <v>1255231.0</v>
      </c>
    </row>
    <row r="2094">
      <c r="A2094" s="2">
        <v>2023.0</v>
      </c>
      <c r="B2094" s="1" t="s">
        <v>710</v>
      </c>
      <c r="C2094" s="2" t="s">
        <v>925</v>
      </c>
      <c r="D2094" s="2" t="s">
        <v>932</v>
      </c>
      <c r="E2094" s="2" t="s">
        <v>1459</v>
      </c>
      <c r="F2094" s="2">
        <v>498000.0</v>
      </c>
      <c r="I2094" s="2">
        <v>3512439.0</v>
      </c>
      <c r="J2094" s="2">
        <v>30000.0</v>
      </c>
      <c r="K2094" s="2">
        <v>3482439.0</v>
      </c>
    </row>
    <row r="2095">
      <c r="A2095" s="2">
        <v>2023.0</v>
      </c>
      <c r="B2095" s="1" t="s">
        <v>710</v>
      </c>
      <c r="C2095" s="2"/>
      <c r="D2095" s="2"/>
      <c r="E2095" s="2" t="s">
        <v>1493</v>
      </c>
      <c r="F2095" s="2">
        <v>3252511.0</v>
      </c>
      <c r="I2095" s="2">
        <v>6171255.0</v>
      </c>
      <c r="J2095" s="2">
        <v>4081058.0</v>
      </c>
      <c r="K2095" s="2">
        <v>2090197.0</v>
      </c>
    </row>
    <row r="2096">
      <c r="A2096" s="2">
        <v>2023.0</v>
      </c>
      <c r="B2096" s="1" t="s">
        <v>710</v>
      </c>
      <c r="C2096" s="2"/>
      <c r="D2096" s="2" t="s">
        <v>928</v>
      </c>
      <c r="E2096" s="2" t="s">
        <v>394</v>
      </c>
      <c r="F2096" s="2">
        <v>1610624.0</v>
      </c>
      <c r="I2096" s="2">
        <v>4476159.0</v>
      </c>
      <c r="J2096" s="2">
        <v>3470821.0</v>
      </c>
      <c r="K2096" s="2">
        <v>1005338.0</v>
      </c>
    </row>
    <row r="2097">
      <c r="A2097" s="2">
        <v>2023.0</v>
      </c>
      <c r="B2097" s="1" t="s">
        <v>710</v>
      </c>
      <c r="C2097" s="2"/>
      <c r="D2097" s="2" t="s">
        <v>1238</v>
      </c>
      <c r="E2097" s="2" t="s">
        <v>92</v>
      </c>
      <c r="F2097" s="2">
        <v>2808752.0</v>
      </c>
      <c r="I2097" s="2">
        <v>5406747.0</v>
      </c>
      <c r="J2097" s="2">
        <v>3890921.0</v>
      </c>
      <c r="K2097" s="2">
        <v>1515826.0</v>
      </c>
    </row>
    <row r="2098">
      <c r="A2098" s="2">
        <v>2023.0</v>
      </c>
      <c r="B2098" s="1" t="s">
        <v>710</v>
      </c>
      <c r="C2098" s="2"/>
      <c r="D2098" s="2"/>
      <c r="E2098" s="2" t="s">
        <v>32</v>
      </c>
      <c r="F2098" s="2">
        <v>73330.0</v>
      </c>
      <c r="I2098" s="2">
        <v>167412.0</v>
      </c>
      <c r="J2098" s="2">
        <v>110000.0</v>
      </c>
      <c r="K2098" s="2">
        <v>57412.0</v>
      </c>
    </row>
    <row r="2099">
      <c r="A2099" s="2">
        <v>2023.0</v>
      </c>
      <c r="B2099" s="1" t="s">
        <v>710</v>
      </c>
      <c r="C2099" s="2"/>
      <c r="D2099" s="2"/>
      <c r="E2099" s="2" t="s">
        <v>25</v>
      </c>
      <c r="F2099" s="2">
        <v>1400158.0</v>
      </c>
      <c r="I2099" s="2">
        <v>3285553.0</v>
      </c>
      <c r="J2099" s="2">
        <v>1454656.0</v>
      </c>
      <c r="K2099" s="2">
        <v>1830897.0</v>
      </c>
    </row>
    <row r="2100">
      <c r="A2100" s="2">
        <v>2023.0</v>
      </c>
      <c r="B2100" s="1" t="s">
        <v>710</v>
      </c>
      <c r="C2100" s="2"/>
      <c r="D2100" s="2" t="s">
        <v>1494</v>
      </c>
      <c r="E2100" s="2" t="s">
        <v>25</v>
      </c>
      <c r="F2100" s="2">
        <v>867000.0</v>
      </c>
      <c r="I2100" s="2">
        <v>3727570.0</v>
      </c>
      <c r="J2100" s="2">
        <v>927430.0</v>
      </c>
      <c r="K2100" s="2">
        <v>2800140.0</v>
      </c>
    </row>
    <row r="2101">
      <c r="A2101" s="2">
        <v>2023.0</v>
      </c>
      <c r="B2101" s="1" t="s">
        <v>710</v>
      </c>
      <c r="C2101" s="2"/>
      <c r="D2101" s="2"/>
      <c r="E2101" s="2" t="s">
        <v>394</v>
      </c>
      <c r="F2101" s="2">
        <v>2492221.0</v>
      </c>
      <c r="I2101" s="2">
        <v>7518100.0</v>
      </c>
      <c r="J2101" s="2">
        <v>5804600.0</v>
      </c>
      <c r="K2101" s="2">
        <v>1713500.0</v>
      </c>
    </row>
    <row r="2102">
      <c r="A2102" s="2">
        <v>2023.0</v>
      </c>
      <c r="B2102" s="1" t="s">
        <v>710</v>
      </c>
      <c r="C2102" s="2"/>
      <c r="D2102" s="2" t="s">
        <v>931</v>
      </c>
      <c r="E2102" s="2" t="s">
        <v>56</v>
      </c>
      <c r="F2102" s="2">
        <v>7247334.0</v>
      </c>
      <c r="I2102" s="2">
        <v>1.192176E7</v>
      </c>
      <c r="J2102" s="2">
        <v>8110141.0</v>
      </c>
      <c r="K2102" s="2">
        <v>3811619.0</v>
      </c>
    </row>
    <row r="2103">
      <c r="A2103" s="2">
        <v>2023.0</v>
      </c>
      <c r="B2103" s="1" t="s">
        <v>710</v>
      </c>
      <c r="C2103" s="2"/>
      <c r="D2103" s="2"/>
      <c r="E2103" s="2" t="s">
        <v>32</v>
      </c>
      <c r="F2103" s="2">
        <v>62477.0</v>
      </c>
      <c r="I2103" s="2">
        <v>2294465.0</v>
      </c>
      <c r="J2103" s="2">
        <v>751138.0</v>
      </c>
      <c r="K2103" s="2">
        <v>1543327.0</v>
      </c>
    </row>
    <row r="2104">
      <c r="A2104" s="2">
        <v>2023.0</v>
      </c>
      <c r="B2104" s="1" t="s">
        <v>710</v>
      </c>
      <c r="C2104" s="2"/>
      <c r="D2104" s="2"/>
      <c r="E2104" s="2" t="s">
        <v>25</v>
      </c>
      <c r="F2104" s="2">
        <v>2516498.0</v>
      </c>
      <c r="I2104" s="2">
        <v>5915862.0</v>
      </c>
      <c r="J2104" s="2">
        <v>958745.0</v>
      </c>
      <c r="K2104" s="2">
        <v>4957117.0</v>
      </c>
    </row>
    <row r="2105">
      <c r="A2105" s="2">
        <v>2023.0</v>
      </c>
      <c r="B2105" s="1" t="s">
        <v>710</v>
      </c>
      <c r="C2105" s="2" t="s">
        <v>93</v>
      </c>
      <c r="D2105" s="2" t="s">
        <v>93</v>
      </c>
      <c r="E2105" s="2" t="s">
        <v>32</v>
      </c>
      <c r="F2105" s="2">
        <v>19894.0</v>
      </c>
      <c r="I2105" s="2">
        <v>55150.0</v>
      </c>
      <c r="J2105" s="2">
        <v>25118.0</v>
      </c>
      <c r="K2105" s="2">
        <v>80268.0</v>
      </c>
    </row>
    <row r="2106">
      <c r="A2106" s="2">
        <v>2023.0</v>
      </c>
      <c r="B2106" s="1" t="s">
        <v>710</v>
      </c>
      <c r="C2106" s="2"/>
      <c r="D2106" s="2"/>
      <c r="E2106" s="2" t="s">
        <v>56</v>
      </c>
      <c r="F2106" s="2">
        <v>1626161.0</v>
      </c>
      <c r="I2106" s="2">
        <v>3539210.0</v>
      </c>
      <c r="J2106" s="2">
        <v>2339409.0</v>
      </c>
      <c r="K2106" s="2">
        <v>1199801.0</v>
      </c>
    </row>
    <row r="2107">
      <c r="A2107" s="2">
        <v>2023.0</v>
      </c>
      <c r="B2107" s="1" t="s">
        <v>710</v>
      </c>
      <c r="C2107" s="2"/>
      <c r="D2107" s="2"/>
      <c r="E2107" s="2" t="s">
        <v>27</v>
      </c>
      <c r="F2107" s="2">
        <v>188237.0</v>
      </c>
      <c r="I2107" s="2">
        <v>1982255.0</v>
      </c>
      <c r="J2107" s="2">
        <v>1640999.0</v>
      </c>
      <c r="K2107" s="2">
        <v>341256.0</v>
      </c>
    </row>
    <row r="2108">
      <c r="A2108" s="2">
        <v>2023.0</v>
      </c>
      <c r="B2108" s="1" t="s">
        <v>710</v>
      </c>
      <c r="C2108" s="2"/>
      <c r="D2108" s="2"/>
      <c r="E2108" s="2" t="s">
        <v>25</v>
      </c>
      <c r="F2108" s="2">
        <v>821203.0</v>
      </c>
      <c r="I2108" s="2">
        <v>1920883.0</v>
      </c>
      <c r="J2108" s="2">
        <v>0.0</v>
      </c>
      <c r="K2108" s="2">
        <v>1920883.0</v>
      </c>
    </row>
    <row r="2109">
      <c r="A2109" s="2">
        <v>2023.0</v>
      </c>
      <c r="B2109" s="1" t="s">
        <v>710</v>
      </c>
      <c r="C2109" s="2"/>
      <c r="D2109" s="2" t="s">
        <v>937</v>
      </c>
      <c r="E2109" s="2" t="s">
        <v>25</v>
      </c>
      <c r="F2109" s="2">
        <v>938564.0</v>
      </c>
      <c r="I2109" s="2">
        <v>2370857.0</v>
      </c>
      <c r="J2109" s="2">
        <v>494245.0</v>
      </c>
      <c r="K2109" s="2">
        <v>2865102.0</v>
      </c>
    </row>
    <row r="2110">
      <c r="A2110" s="2">
        <v>2023.0</v>
      </c>
      <c r="B2110" s="1" t="s">
        <v>710</v>
      </c>
      <c r="C2110" s="2"/>
      <c r="D2110" s="2"/>
      <c r="E2110" s="2" t="s">
        <v>32</v>
      </c>
      <c r="F2110" s="2">
        <v>110262.0</v>
      </c>
      <c r="I2110" s="2">
        <v>474472.0</v>
      </c>
      <c r="J2110" s="2">
        <v>365123.0</v>
      </c>
      <c r="K2110" s="2">
        <v>109349.0</v>
      </c>
    </row>
    <row r="2111">
      <c r="A2111" s="2">
        <v>2023.0</v>
      </c>
      <c r="B2111" s="1" t="s">
        <v>710</v>
      </c>
      <c r="C2111" s="2"/>
      <c r="D2111" s="2"/>
      <c r="E2111" s="2" t="s">
        <v>27</v>
      </c>
      <c r="F2111" s="2">
        <v>3539748.0</v>
      </c>
      <c r="I2111" s="2">
        <v>5694024.0</v>
      </c>
      <c r="J2111" s="2">
        <v>3931817.0</v>
      </c>
      <c r="K2111" s="2">
        <v>1762207.0</v>
      </c>
    </row>
    <row r="2112">
      <c r="A2112" s="2">
        <v>2023.0</v>
      </c>
      <c r="B2112" s="1" t="s">
        <v>710</v>
      </c>
      <c r="C2112" s="2"/>
      <c r="D2112" s="2" t="s">
        <v>934</v>
      </c>
      <c r="E2112" s="2" t="s">
        <v>25</v>
      </c>
      <c r="F2112" s="2">
        <v>2138786.0</v>
      </c>
      <c r="I2112" s="2">
        <v>5263004.0</v>
      </c>
      <c r="J2112" s="2">
        <v>1409153.0</v>
      </c>
      <c r="K2112" s="2">
        <v>3853851.0</v>
      </c>
    </row>
    <row r="2113">
      <c r="A2113" s="2">
        <v>2023.0</v>
      </c>
      <c r="B2113" s="1" t="s">
        <v>710</v>
      </c>
      <c r="C2113" s="2"/>
      <c r="D2113" s="2"/>
      <c r="E2113" s="2" t="s">
        <v>345</v>
      </c>
      <c r="F2113" s="2">
        <v>6646362.0</v>
      </c>
      <c r="I2113" s="2">
        <v>9451633.0</v>
      </c>
      <c r="J2113" s="2">
        <v>4105107.0</v>
      </c>
      <c r="K2113" s="2">
        <v>5346526.0</v>
      </c>
    </row>
    <row r="2114">
      <c r="A2114" s="2">
        <v>2023.0</v>
      </c>
      <c r="B2114" s="1" t="s">
        <v>710</v>
      </c>
      <c r="C2114" s="2"/>
      <c r="D2114" s="2" t="s">
        <v>933</v>
      </c>
      <c r="E2114" s="2" t="s">
        <v>32</v>
      </c>
      <c r="F2114" s="2">
        <v>82189.0</v>
      </c>
      <c r="I2114" s="2">
        <v>312530.0</v>
      </c>
      <c r="J2114" s="2">
        <v>213270.0</v>
      </c>
      <c r="K2114" s="2">
        <v>99260.0</v>
      </c>
    </row>
    <row r="2115">
      <c r="A2115" s="2">
        <v>2023.0</v>
      </c>
      <c r="B2115" s="1" t="s">
        <v>710</v>
      </c>
      <c r="C2115" s="2"/>
      <c r="D2115" s="2"/>
      <c r="E2115" s="2" t="s">
        <v>1495</v>
      </c>
      <c r="F2115" s="2">
        <v>66511.0</v>
      </c>
      <c r="I2115" s="2">
        <v>121271.0</v>
      </c>
      <c r="J2115" s="2">
        <v>826.0</v>
      </c>
      <c r="K2115" s="2">
        <v>120445.0</v>
      </c>
    </row>
    <row r="2116">
      <c r="A2116" s="2">
        <v>2023.0</v>
      </c>
      <c r="B2116" s="1" t="s">
        <v>710</v>
      </c>
      <c r="C2116" s="2"/>
      <c r="D2116" s="2"/>
      <c r="E2116" s="2" t="s">
        <v>56</v>
      </c>
      <c r="F2116" s="2">
        <v>1653572.0</v>
      </c>
      <c r="I2116" s="2">
        <v>4805389.0</v>
      </c>
      <c r="J2116" s="2">
        <v>1992311.0</v>
      </c>
      <c r="K2116" s="2">
        <v>2813078.0</v>
      </c>
    </row>
    <row r="2117">
      <c r="A2117" s="2">
        <v>2023.0</v>
      </c>
      <c r="B2117" s="1" t="s">
        <v>710</v>
      </c>
      <c r="C2117" s="2"/>
      <c r="D2117" s="2"/>
      <c r="E2117" s="2" t="s">
        <v>1496</v>
      </c>
      <c r="F2117" s="2">
        <v>222262.0</v>
      </c>
      <c r="I2117" s="2">
        <v>615894.0</v>
      </c>
      <c r="J2117" s="2">
        <v>580022.0</v>
      </c>
      <c r="K2117" s="2">
        <v>35872.0</v>
      </c>
    </row>
    <row r="2118">
      <c r="A2118" s="2">
        <v>2023.0</v>
      </c>
      <c r="B2118" s="1" t="s">
        <v>710</v>
      </c>
      <c r="C2118" s="2"/>
      <c r="D2118" s="2"/>
      <c r="E2118" s="2" t="s">
        <v>940</v>
      </c>
      <c r="F2118" s="2">
        <v>45522.0</v>
      </c>
      <c r="I2118" s="2">
        <v>1582760.0</v>
      </c>
      <c r="J2118" s="2">
        <v>1491359.0</v>
      </c>
      <c r="K2118" s="2">
        <v>91401.0</v>
      </c>
    </row>
    <row r="2119">
      <c r="A2119" s="2">
        <v>2023.0</v>
      </c>
      <c r="B2119" s="1" t="s">
        <v>710</v>
      </c>
      <c r="C2119" s="2"/>
      <c r="D2119" s="2"/>
      <c r="E2119" s="2" t="s">
        <v>1459</v>
      </c>
      <c r="F2119" s="2">
        <v>2908131.0</v>
      </c>
      <c r="I2119" s="2">
        <v>6726966.0</v>
      </c>
      <c r="J2119" s="2">
        <v>3868344.0</v>
      </c>
      <c r="K2119" s="2">
        <v>2858622.0</v>
      </c>
    </row>
    <row r="2120">
      <c r="A2120" s="2">
        <v>2023.0</v>
      </c>
      <c r="B2120" s="1" t="s">
        <v>710</v>
      </c>
      <c r="C2120" s="2" t="s">
        <v>63</v>
      </c>
      <c r="D2120" s="2" t="s">
        <v>64</v>
      </c>
      <c r="E2120" s="2" t="s">
        <v>32</v>
      </c>
      <c r="F2120" s="2">
        <v>156828.0</v>
      </c>
      <c r="I2120" s="2">
        <v>480938.0</v>
      </c>
      <c r="J2120" s="2">
        <v>160660.0</v>
      </c>
      <c r="K2120" s="2">
        <v>320278.0</v>
      </c>
    </row>
    <row r="2121">
      <c r="A2121" s="2">
        <v>2023.0</v>
      </c>
      <c r="B2121" s="1" t="s">
        <v>710</v>
      </c>
      <c r="C2121" s="2"/>
      <c r="D2121" s="2"/>
      <c r="E2121" s="2" t="s">
        <v>1497</v>
      </c>
      <c r="F2121" s="2">
        <v>314850.0</v>
      </c>
      <c r="I2121" s="2">
        <v>381008.0</v>
      </c>
      <c r="J2121" s="2">
        <v>108528.0</v>
      </c>
      <c r="K2121" s="2">
        <v>272480.0</v>
      </c>
    </row>
    <row r="2122">
      <c r="A2122" s="2">
        <v>2023.0</v>
      </c>
      <c r="B2122" s="1" t="s">
        <v>710</v>
      </c>
      <c r="C2122" s="2"/>
      <c r="D2122" s="2"/>
      <c r="E2122" s="2" t="s">
        <v>686</v>
      </c>
      <c r="F2122" s="2">
        <v>721955.0</v>
      </c>
      <c r="I2122" s="2">
        <v>5105043.0</v>
      </c>
      <c r="J2122" s="2">
        <v>908850.0</v>
      </c>
      <c r="K2122" s="2">
        <v>4196193.0</v>
      </c>
    </row>
    <row r="2123">
      <c r="A2123" s="2">
        <v>2023.0</v>
      </c>
      <c r="B2123" s="1" t="s">
        <v>710</v>
      </c>
      <c r="C2123" s="2"/>
      <c r="D2123" s="2"/>
      <c r="E2123" s="2" t="s">
        <v>794</v>
      </c>
      <c r="F2123" s="2">
        <v>2203.0</v>
      </c>
      <c r="I2123" s="2">
        <v>2286.0</v>
      </c>
      <c r="K2123" s="2">
        <v>2286.0</v>
      </c>
    </row>
    <row r="2124">
      <c r="A2124" s="2">
        <v>2023.0</v>
      </c>
      <c r="B2124" s="1" t="s">
        <v>710</v>
      </c>
      <c r="C2124" s="2"/>
      <c r="D2124" s="2"/>
      <c r="E2124" s="2" t="s">
        <v>1498</v>
      </c>
      <c r="F2124" s="2">
        <v>3042292.0</v>
      </c>
      <c r="I2124" s="2">
        <v>5581686.0</v>
      </c>
      <c r="J2124" s="2">
        <v>3586119.0</v>
      </c>
      <c r="K2124" s="2">
        <v>1995567.0</v>
      </c>
    </row>
    <row r="2125">
      <c r="A2125" s="2">
        <v>2023.0</v>
      </c>
      <c r="B2125" s="1" t="s">
        <v>710</v>
      </c>
      <c r="C2125" s="2"/>
      <c r="D2125" s="2" t="s">
        <v>101</v>
      </c>
      <c r="E2125" s="2" t="s">
        <v>32</v>
      </c>
      <c r="F2125" s="2">
        <v>324522.0</v>
      </c>
      <c r="I2125" s="2">
        <v>334698.0</v>
      </c>
      <c r="J2125" s="2">
        <v>284835.0</v>
      </c>
      <c r="K2125" s="2">
        <v>49863.0</v>
      </c>
    </row>
    <row r="2126">
      <c r="A2126" s="2">
        <v>2023.0</v>
      </c>
      <c r="B2126" s="1" t="s">
        <v>710</v>
      </c>
      <c r="C2126" s="2"/>
      <c r="D2126" s="2"/>
      <c r="E2126" s="2" t="s">
        <v>27</v>
      </c>
      <c r="F2126" s="2">
        <v>70370.0</v>
      </c>
      <c r="I2126" s="2">
        <v>71015.0</v>
      </c>
      <c r="J2126" s="2">
        <v>57800.0</v>
      </c>
      <c r="K2126" s="2">
        <v>13215.0</v>
      </c>
    </row>
    <row r="2127">
      <c r="A2127" s="2">
        <v>2023.0</v>
      </c>
      <c r="B2127" s="1" t="s">
        <v>710</v>
      </c>
      <c r="C2127" s="2"/>
      <c r="D2127" s="2"/>
      <c r="E2127" s="2" t="s">
        <v>686</v>
      </c>
      <c r="F2127" s="2">
        <v>792242.0</v>
      </c>
      <c r="I2127" s="2">
        <v>4757632.0</v>
      </c>
      <c r="J2127" s="2">
        <v>838901.0</v>
      </c>
      <c r="K2127" s="2">
        <v>3918731.0</v>
      </c>
    </row>
    <row r="2128">
      <c r="A2128" s="2">
        <v>2023.0</v>
      </c>
      <c r="B2128" s="1" t="s">
        <v>710</v>
      </c>
      <c r="C2128" s="2"/>
      <c r="D2128" s="2"/>
      <c r="E2128" s="2" t="s">
        <v>1364</v>
      </c>
      <c r="F2128" s="2">
        <v>3027220.0</v>
      </c>
      <c r="I2128" s="2">
        <v>1.1342192E7</v>
      </c>
      <c r="J2128" s="2">
        <v>6708792.0</v>
      </c>
      <c r="K2128" s="2">
        <v>4633400.0</v>
      </c>
    </row>
    <row r="2129">
      <c r="A2129" s="2">
        <v>2023.0</v>
      </c>
      <c r="B2129" s="1" t="s">
        <v>710</v>
      </c>
      <c r="C2129" s="2"/>
      <c r="D2129" s="2"/>
      <c r="E2129" s="2" t="s">
        <v>32</v>
      </c>
      <c r="F2129" s="2">
        <v>0.0</v>
      </c>
      <c r="I2129" s="2">
        <v>338840.0</v>
      </c>
      <c r="J2129" s="2">
        <v>246850.0</v>
      </c>
      <c r="K2129" s="2">
        <v>91990.0</v>
      </c>
    </row>
    <row r="2130">
      <c r="A2130" s="2">
        <v>2023.0</v>
      </c>
      <c r="B2130" s="1" t="s">
        <v>710</v>
      </c>
      <c r="C2130" s="2"/>
      <c r="D2130" s="2" t="s">
        <v>1499</v>
      </c>
      <c r="E2130" s="2" t="s">
        <v>1364</v>
      </c>
      <c r="F2130" s="2">
        <v>2115126.0</v>
      </c>
      <c r="I2130" s="2">
        <v>7632969.0</v>
      </c>
      <c r="J2130" s="2">
        <v>4788915.0</v>
      </c>
      <c r="K2130" s="2">
        <v>2844054.0</v>
      </c>
    </row>
    <row r="2131">
      <c r="A2131" s="2">
        <v>2023.0</v>
      </c>
      <c r="B2131" s="1" t="s">
        <v>710</v>
      </c>
      <c r="C2131" s="2"/>
      <c r="D2131" s="2"/>
      <c r="E2131" s="2" t="s">
        <v>32</v>
      </c>
      <c r="F2131" s="2">
        <v>223714.0</v>
      </c>
      <c r="I2131" s="2">
        <v>338096.0</v>
      </c>
      <c r="J2131" s="2">
        <v>280871.0</v>
      </c>
      <c r="K2131" s="2">
        <v>57225.0</v>
      </c>
    </row>
    <row r="2132">
      <c r="A2132" s="2">
        <v>2023.0</v>
      </c>
      <c r="B2132" s="1" t="s">
        <v>710</v>
      </c>
      <c r="C2132" s="2"/>
      <c r="D2132" s="2"/>
      <c r="E2132" s="2" t="s">
        <v>25</v>
      </c>
      <c r="F2132" s="2">
        <v>5153819.0</v>
      </c>
      <c r="I2132" s="2">
        <v>1.2132566E7</v>
      </c>
      <c r="J2132" s="2">
        <v>4030744.0</v>
      </c>
      <c r="K2132" s="2">
        <v>8101822.0</v>
      </c>
    </row>
    <row r="2133">
      <c r="A2133" s="2">
        <v>2023.0</v>
      </c>
      <c r="B2133" s="1" t="s">
        <v>710</v>
      </c>
      <c r="C2133" s="2"/>
      <c r="D2133" s="2" t="s">
        <v>1500</v>
      </c>
      <c r="E2133" s="2" t="s">
        <v>25</v>
      </c>
      <c r="F2133" s="2">
        <v>1198802.0</v>
      </c>
      <c r="I2133" s="2">
        <v>2821836.0</v>
      </c>
      <c r="J2133" s="2">
        <v>1483129.0</v>
      </c>
      <c r="K2133" s="2">
        <v>1338707.0</v>
      </c>
    </row>
    <row r="2134">
      <c r="A2134" s="2">
        <v>2023.0</v>
      </c>
      <c r="B2134" s="1" t="s">
        <v>710</v>
      </c>
      <c r="C2134" s="2"/>
      <c r="D2134" s="2"/>
      <c r="E2134" s="2" t="s">
        <v>511</v>
      </c>
      <c r="F2134" s="2">
        <v>2935613.0</v>
      </c>
      <c r="I2134" s="2">
        <v>7532840.0</v>
      </c>
      <c r="J2134" s="2">
        <v>4747688.0</v>
      </c>
      <c r="K2134" s="2">
        <v>2785152.0</v>
      </c>
    </row>
    <row r="2135">
      <c r="A2135" s="2">
        <v>2023.0</v>
      </c>
      <c r="B2135" s="1" t="s">
        <v>710</v>
      </c>
      <c r="C2135" s="2"/>
      <c r="D2135" s="2"/>
      <c r="E2135" s="2" t="s">
        <v>32</v>
      </c>
      <c r="F2135" s="2">
        <v>39852.0</v>
      </c>
      <c r="I2135" s="2">
        <v>175354.0</v>
      </c>
      <c r="J2135" s="2">
        <v>97834.0</v>
      </c>
      <c r="K2135" s="2">
        <v>77520.0</v>
      </c>
    </row>
    <row r="2136">
      <c r="A2136" s="2">
        <v>2023.0</v>
      </c>
      <c r="B2136" s="1" t="s">
        <v>710</v>
      </c>
      <c r="C2136" s="2"/>
      <c r="D2136" s="2"/>
      <c r="E2136" s="2" t="s">
        <v>69</v>
      </c>
      <c r="F2136" s="2">
        <v>312152.0</v>
      </c>
      <c r="I2136" s="2">
        <v>381008.0</v>
      </c>
      <c r="J2136" s="2">
        <v>108528.0</v>
      </c>
      <c r="K2136" s="2">
        <v>272480.0</v>
      </c>
    </row>
    <row r="2137">
      <c r="A2137" s="2">
        <v>2023.0</v>
      </c>
      <c r="B2137" s="1" t="s">
        <v>710</v>
      </c>
      <c r="C2137" s="2"/>
      <c r="D2137" s="2" t="s">
        <v>1501</v>
      </c>
      <c r="E2137" s="2" t="s">
        <v>32</v>
      </c>
      <c r="F2137" s="2">
        <v>56201.0</v>
      </c>
      <c r="I2137" s="2">
        <v>122055.0</v>
      </c>
      <c r="J2137" s="2">
        <v>54339.0</v>
      </c>
      <c r="K2137" s="2">
        <v>67716.0</v>
      </c>
    </row>
    <row r="2138">
      <c r="A2138" s="2">
        <v>2023.0</v>
      </c>
      <c r="B2138" s="1" t="s">
        <v>710</v>
      </c>
      <c r="C2138" s="2"/>
      <c r="D2138" s="2"/>
      <c r="E2138" s="2" t="s">
        <v>25</v>
      </c>
      <c r="F2138" s="2">
        <v>2832273.0</v>
      </c>
      <c r="I2138" s="2">
        <v>7821177.0</v>
      </c>
      <c r="J2138" s="2">
        <v>584301.0</v>
      </c>
      <c r="K2138" s="2">
        <v>7236876.0</v>
      </c>
    </row>
    <row r="2139">
      <c r="A2139" s="2">
        <v>2023.0</v>
      </c>
      <c r="B2139" s="1" t="s">
        <v>710</v>
      </c>
      <c r="C2139" s="2"/>
      <c r="D2139" s="2"/>
      <c r="E2139" s="2" t="s">
        <v>1364</v>
      </c>
      <c r="F2139" s="2">
        <v>2019196.0</v>
      </c>
      <c r="I2139" s="2">
        <v>4242205.0</v>
      </c>
      <c r="J2139" s="2">
        <v>3968999.0</v>
      </c>
      <c r="K2139" s="2">
        <v>273206.0</v>
      </c>
    </row>
    <row r="2140">
      <c r="A2140" s="2">
        <v>2023.0</v>
      </c>
      <c r="B2140" s="1" t="s">
        <v>710</v>
      </c>
      <c r="C2140" s="2" t="s">
        <v>887</v>
      </c>
      <c r="D2140" s="2" t="s">
        <v>887</v>
      </c>
      <c r="E2140" s="2" t="s">
        <v>1502</v>
      </c>
      <c r="F2140" s="2">
        <v>4371357.0</v>
      </c>
      <c r="I2140" s="2">
        <v>8588281.0</v>
      </c>
      <c r="J2140" s="2">
        <v>3447424.0</v>
      </c>
      <c r="K2140" s="2">
        <v>5140857.0</v>
      </c>
    </row>
    <row r="2141">
      <c r="A2141" s="2">
        <v>2023.0</v>
      </c>
      <c r="B2141" s="1" t="s">
        <v>710</v>
      </c>
      <c r="C2141" s="2"/>
      <c r="D2141" s="2"/>
      <c r="E2141" s="2" t="s">
        <v>686</v>
      </c>
      <c r="F2141" s="2">
        <v>2315430.0</v>
      </c>
      <c r="I2141" s="2">
        <v>5926511.0</v>
      </c>
      <c r="J2141" s="2">
        <v>473084.0</v>
      </c>
      <c r="K2141" s="2">
        <v>5453427.0</v>
      </c>
    </row>
    <row r="2142">
      <c r="A2142" s="2">
        <v>2023.0</v>
      </c>
      <c r="B2142" s="1" t="s">
        <v>710</v>
      </c>
      <c r="C2142" s="2"/>
      <c r="D2142" s="2"/>
      <c r="E2142" s="2" t="s">
        <v>32</v>
      </c>
      <c r="F2142" s="2">
        <v>714995.0</v>
      </c>
      <c r="I2142" s="2">
        <v>950241.0</v>
      </c>
      <c r="J2142" s="2">
        <v>150897.0</v>
      </c>
      <c r="K2142" s="2">
        <v>799344.0</v>
      </c>
    </row>
    <row r="2143">
      <c r="A2143" s="2">
        <v>2023.0</v>
      </c>
      <c r="B2143" s="1" t="s">
        <v>710</v>
      </c>
      <c r="C2143" s="2"/>
      <c r="D2143" s="2" t="s">
        <v>888</v>
      </c>
      <c r="E2143" s="2" t="s">
        <v>32</v>
      </c>
      <c r="F2143" s="2">
        <v>943054.0</v>
      </c>
      <c r="I2143" s="2">
        <v>1245843.0</v>
      </c>
      <c r="J2143" s="2">
        <v>311102.0</v>
      </c>
      <c r="K2143" s="2">
        <v>934741.0</v>
      </c>
    </row>
    <row r="2144">
      <c r="A2144" s="2">
        <v>2023.0</v>
      </c>
      <c r="B2144" s="1" t="s">
        <v>710</v>
      </c>
      <c r="C2144" s="2"/>
      <c r="D2144" s="2"/>
      <c r="E2144" s="2" t="s">
        <v>686</v>
      </c>
      <c r="F2144" s="2">
        <v>1529051.0</v>
      </c>
      <c r="I2144" s="2">
        <v>3605683.0</v>
      </c>
      <c r="J2144" s="2">
        <v>0.0</v>
      </c>
      <c r="K2144" s="2">
        <v>3605683.0</v>
      </c>
    </row>
    <row r="2145">
      <c r="A2145" s="2">
        <v>2023.0</v>
      </c>
      <c r="B2145" s="1" t="s">
        <v>710</v>
      </c>
      <c r="C2145" s="2"/>
      <c r="D2145" s="2"/>
      <c r="E2145" s="2" t="s">
        <v>749</v>
      </c>
      <c r="F2145" s="2">
        <v>1909087.0</v>
      </c>
      <c r="I2145" s="2">
        <v>3436037.0</v>
      </c>
      <c r="J2145" s="2">
        <v>196118.0</v>
      </c>
      <c r="K2145" s="2">
        <v>3239919.0</v>
      </c>
    </row>
    <row r="2146">
      <c r="A2146" s="2">
        <v>2023.0</v>
      </c>
      <c r="B2146" s="1" t="s">
        <v>710</v>
      </c>
      <c r="C2146" s="2"/>
      <c r="D2146" s="2"/>
      <c r="E2146" s="2" t="s">
        <v>940</v>
      </c>
      <c r="F2146" s="2">
        <v>991792.0</v>
      </c>
      <c r="I2146" s="2">
        <v>2869054.0</v>
      </c>
      <c r="J2146" s="2">
        <v>1779440.0</v>
      </c>
      <c r="K2146" s="2">
        <v>1089614.0</v>
      </c>
    </row>
    <row r="2147">
      <c r="A2147" s="2">
        <v>2023.0</v>
      </c>
      <c r="B2147" s="1" t="s">
        <v>710</v>
      </c>
      <c r="C2147" s="2"/>
      <c r="D2147" s="2" t="s">
        <v>889</v>
      </c>
      <c r="E2147" s="2" t="s">
        <v>1503</v>
      </c>
      <c r="F2147" s="2">
        <v>114200.0</v>
      </c>
      <c r="I2147" s="2">
        <v>2071734.0</v>
      </c>
      <c r="J2147" s="2">
        <v>925235.0</v>
      </c>
      <c r="K2147" s="2">
        <v>1146499.0</v>
      </c>
    </row>
    <row r="2148">
      <c r="A2148" s="2">
        <v>2023.0</v>
      </c>
      <c r="B2148" s="1" t="s">
        <v>710</v>
      </c>
      <c r="C2148" s="2"/>
      <c r="D2148" s="2"/>
      <c r="E2148" s="2" t="s">
        <v>686</v>
      </c>
      <c r="F2148" s="2">
        <v>487599.0</v>
      </c>
      <c r="I2148" s="2">
        <v>3399981.0</v>
      </c>
      <c r="J2148" s="2">
        <v>1558952.0</v>
      </c>
      <c r="K2148" s="2">
        <v>1841029.0</v>
      </c>
    </row>
    <row r="2149">
      <c r="A2149" s="2">
        <v>2023.0</v>
      </c>
      <c r="B2149" s="1" t="s">
        <v>710</v>
      </c>
      <c r="D2149" s="2" t="s">
        <v>1504</v>
      </c>
      <c r="E2149" s="2" t="s">
        <v>1505</v>
      </c>
      <c r="F2149" s="2">
        <v>2735025.0</v>
      </c>
      <c r="G2149" s="2">
        <v>4.7818803E7</v>
      </c>
      <c r="H2149" s="2">
        <v>299976.0</v>
      </c>
      <c r="I2149" s="2">
        <v>5.0853804E7</v>
      </c>
      <c r="J2149" s="2">
        <v>3.4879078E7</v>
      </c>
      <c r="K2149" s="2">
        <v>1.5974726E7</v>
      </c>
    </row>
    <row r="2150">
      <c r="A2150" s="2">
        <v>2023.0</v>
      </c>
      <c r="B2150" s="1" t="s">
        <v>710</v>
      </c>
      <c r="D2150" s="2"/>
      <c r="E2150" s="2" t="s">
        <v>794</v>
      </c>
      <c r="F2150" s="2">
        <v>1.8754511E7</v>
      </c>
      <c r="G2150" s="2">
        <v>8.9278048E7</v>
      </c>
      <c r="H2150" s="2">
        <v>3172445.0</v>
      </c>
      <c r="I2150" s="2">
        <v>1.11205004E8</v>
      </c>
      <c r="J2150" s="2">
        <v>9.3142658E7</v>
      </c>
      <c r="K2150" s="2">
        <v>1.8062346E7</v>
      </c>
    </row>
    <row r="2151">
      <c r="A2151" s="2">
        <v>2023.0</v>
      </c>
      <c r="B2151" s="1" t="s">
        <v>710</v>
      </c>
      <c r="D2151" s="2"/>
      <c r="E2151" s="2" t="s">
        <v>686</v>
      </c>
      <c r="F2151" s="2">
        <v>1.3555675E7</v>
      </c>
      <c r="G2151" s="2">
        <v>1.7749739E7</v>
      </c>
      <c r="H2151" s="2">
        <v>369455.0</v>
      </c>
      <c r="I2151" s="2">
        <v>3.1674869E7</v>
      </c>
      <c r="J2151" s="2">
        <v>1.7353181E7</v>
      </c>
      <c r="K2151" s="2">
        <v>1.4321688E7</v>
      </c>
    </row>
    <row r="2152">
      <c r="A2152" s="2">
        <v>2023.0</v>
      </c>
      <c r="B2152" s="1" t="s">
        <v>710</v>
      </c>
      <c r="D2152" s="2"/>
      <c r="E2152" s="2" t="s">
        <v>568</v>
      </c>
      <c r="F2152" s="2">
        <v>316573.0</v>
      </c>
      <c r="G2152" s="2">
        <v>1.5241761E7</v>
      </c>
      <c r="H2152" s="2">
        <v>15653.0</v>
      </c>
      <c r="I2152" s="2">
        <v>1.5573987E7</v>
      </c>
      <c r="J2152" s="2">
        <v>1.4769826E7</v>
      </c>
      <c r="K2152" s="2">
        <v>804161.0</v>
      </c>
    </row>
    <row r="2153">
      <c r="A2153" s="2">
        <v>2023.0</v>
      </c>
      <c r="B2153" s="1" t="s">
        <v>710</v>
      </c>
      <c r="D2153" s="2"/>
      <c r="E2153" s="2" t="s">
        <v>1506</v>
      </c>
      <c r="F2153" s="2">
        <v>3491344.0</v>
      </c>
      <c r="H2153" s="2">
        <v>114623.0</v>
      </c>
      <c r="I2153" s="2">
        <v>3605967.0</v>
      </c>
      <c r="J2153" s="2">
        <v>0.0</v>
      </c>
      <c r="K2153" s="2">
        <v>3605967.0</v>
      </c>
    </row>
    <row r="2154">
      <c r="A2154" s="2">
        <v>2023.0</v>
      </c>
      <c r="B2154" s="1" t="s">
        <v>710</v>
      </c>
      <c r="D2154" s="2"/>
      <c r="E2154" s="2" t="s">
        <v>1507</v>
      </c>
      <c r="F2154" s="2">
        <v>4775523.0</v>
      </c>
      <c r="H2154" s="2">
        <v>143643.0</v>
      </c>
      <c r="I2154" s="2">
        <v>4919166.0</v>
      </c>
      <c r="J2154" s="2">
        <v>0.0</v>
      </c>
      <c r="K2154" s="2">
        <v>4919166.0</v>
      </c>
    </row>
    <row r="2155">
      <c r="A2155" s="2">
        <v>2023.0</v>
      </c>
      <c r="B2155" s="1" t="s">
        <v>710</v>
      </c>
      <c r="D2155" s="2" t="s">
        <v>1508</v>
      </c>
      <c r="E2155" s="2" t="s">
        <v>709</v>
      </c>
      <c r="F2155" s="2">
        <v>1.0339488E7</v>
      </c>
      <c r="G2155" s="2">
        <v>4.6323066E7</v>
      </c>
      <c r="H2155" s="2">
        <v>151297.0</v>
      </c>
      <c r="I2155" s="2">
        <v>5.6813851E7</v>
      </c>
      <c r="J2155" s="2">
        <v>5.0111613E7</v>
      </c>
      <c r="K2155" s="2">
        <v>6702238.0</v>
      </c>
    </row>
    <row r="2156">
      <c r="A2156" s="2">
        <v>2023.0</v>
      </c>
      <c r="B2156" s="1" t="s">
        <v>710</v>
      </c>
      <c r="D2156" s="2"/>
      <c r="E2156" s="2" t="s">
        <v>707</v>
      </c>
      <c r="F2156" s="2">
        <v>3908016.0</v>
      </c>
      <c r="G2156" s="2">
        <v>5.7257494E7</v>
      </c>
      <c r="H2156" s="2">
        <v>227757.0</v>
      </c>
      <c r="I2156" s="2">
        <v>6.1393267E7</v>
      </c>
      <c r="J2156" s="2">
        <v>5.3415257E7</v>
      </c>
      <c r="K2156" s="2">
        <v>7978010.0</v>
      </c>
    </row>
    <row r="2157">
      <c r="A2157" s="2">
        <v>2023.0</v>
      </c>
      <c r="B2157" s="1" t="s">
        <v>710</v>
      </c>
      <c r="D2157" s="2"/>
      <c r="E2157" s="2" t="s">
        <v>1248</v>
      </c>
      <c r="F2157" s="2">
        <v>7370622.0</v>
      </c>
      <c r="G2157" s="2">
        <v>1.2167978E7</v>
      </c>
      <c r="H2157" s="2">
        <v>223125.0</v>
      </c>
      <c r="I2157" s="2">
        <v>1.9761725E7</v>
      </c>
      <c r="J2157" s="2">
        <v>1.6427424E7</v>
      </c>
      <c r="K2157" s="2">
        <v>3334301.0</v>
      </c>
    </row>
    <row r="2158">
      <c r="A2158" s="2">
        <v>2023.0</v>
      </c>
      <c r="B2158" s="1" t="s">
        <v>710</v>
      </c>
      <c r="D2158" s="2" t="s">
        <v>1509</v>
      </c>
      <c r="E2158" s="2" t="s">
        <v>794</v>
      </c>
      <c r="F2158" s="2">
        <v>2083306.0</v>
      </c>
      <c r="G2158" s="2">
        <v>0.0</v>
      </c>
      <c r="H2158" s="2">
        <v>180826.0</v>
      </c>
      <c r="I2158" s="2">
        <v>2264132.0</v>
      </c>
      <c r="J2158" s="2">
        <v>2145341.0</v>
      </c>
      <c r="K2158" s="2">
        <v>118791.0</v>
      </c>
    </row>
    <row r="2159">
      <c r="A2159" s="2">
        <v>2023.0</v>
      </c>
      <c r="B2159" s="1" t="s">
        <v>710</v>
      </c>
      <c r="D2159" s="2"/>
      <c r="E2159" s="2" t="s">
        <v>749</v>
      </c>
      <c r="F2159" s="2">
        <v>7707237.0</v>
      </c>
      <c r="G2159" s="2">
        <v>2.2185E7</v>
      </c>
      <c r="H2159" s="2">
        <v>289038.0</v>
      </c>
      <c r="I2159" s="2">
        <v>3.0181275E7</v>
      </c>
      <c r="J2159" s="2">
        <v>9431894.0</v>
      </c>
      <c r="K2159" s="2">
        <v>2.0749381E7</v>
      </c>
    </row>
    <row r="2160">
      <c r="A2160" s="2">
        <v>2023.0</v>
      </c>
      <c r="B2160" s="1" t="s">
        <v>710</v>
      </c>
      <c r="D2160" s="2"/>
      <c r="E2160" s="2" t="s">
        <v>686</v>
      </c>
      <c r="F2160" s="2">
        <v>1.2792E7</v>
      </c>
      <c r="G2160" s="2">
        <v>1.6854E7</v>
      </c>
      <c r="H2160" s="2">
        <v>790448.0</v>
      </c>
      <c r="I2160" s="2">
        <v>3.0436448E7</v>
      </c>
      <c r="J2160" s="2">
        <v>5685521.0</v>
      </c>
      <c r="K2160" s="2">
        <v>2.4750927E7</v>
      </c>
    </row>
    <row r="2161">
      <c r="A2161" s="2">
        <v>2023.0</v>
      </c>
      <c r="B2161" s="1" t="s">
        <v>710</v>
      </c>
      <c r="D2161" s="2"/>
      <c r="E2161" s="2" t="s">
        <v>689</v>
      </c>
      <c r="F2161" s="2">
        <v>2042856.0</v>
      </c>
      <c r="G2161" s="2">
        <v>2779054.0</v>
      </c>
      <c r="H2161" s="2">
        <v>116846.0</v>
      </c>
      <c r="I2161" s="2">
        <v>4938756.0</v>
      </c>
      <c r="J2161" s="2">
        <v>2194706.0</v>
      </c>
      <c r="K2161" s="2">
        <v>2744050.0</v>
      </c>
    </row>
    <row r="2162">
      <c r="A2162" s="2">
        <v>2023.0</v>
      </c>
      <c r="B2162" s="1" t="s">
        <v>710</v>
      </c>
      <c r="D2162" s="2"/>
      <c r="E2162" s="2" t="s">
        <v>1510</v>
      </c>
      <c r="F2162" s="2">
        <v>6572397.0</v>
      </c>
      <c r="G2162" s="2">
        <v>2.47093E7</v>
      </c>
      <c r="H2162" s="2">
        <v>233632.0</v>
      </c>
      <c r="I2162" s="2">
        <v>3.1515329E7</v>
      </c>
      <c r="J2162" s="2">
        <v>2.5611104E7</v>
      </c>
      <c r="K2162" s="2">
        <v>5904225.0</v>
      </c>
    </row>
    <row r="2163">
      <c r="A2163" s="2">
        <v>2023.0</v>
      </c>
      <c r="B2163" s="1" t="s">
        <v>710</v>
      </c>
      <c r="D2163" s="2"/>
      <c r="E2163" s="2" t="s">
        <v>32</v>
      </c>
      <c r="F2163" s="2">
        <v>1451765.0</v>
      </c>
      <c r="G2163" s="2">
        <v>410207.0</v>
      </c>
      <c r="H2163" s="2">
        <v>49879.0</v>
      </c>
      <c r="I2163" s="2">
        <v>1911851.0</v>
      </c>
      <c r="J2163" s="2">
        <v>188416.0</v>
      </c>
      <c r="K2163" s="2">
        <v>1723435.0</v>
      </c>
    </row>
    <row r="2164">
      <c r="A2164" s="2">
        <v>2023.0</v>
      </c>
      <c r="B2164" s="1" t="s">
        <v>710</v>
      </c>
      <c r="D2164" s="2" t="s">
        <v>1511</v>
      </c>
      <c r="E2164" s="2" t="s">
        <v>1512</v>
      </c>
      <c r="F2164" s="2">
        <v>1.8449698E7</v>
      </c>
      <c r="G2164" s="2">
        <v>8.886018E7</v>
      </c>
      <c r="H2164" s="2">
        <v>899143.0</v>
      </c>
      <c r="I2164" s="2">
        <v>1.08209021E8</v>
      </c>
      <c r="J2164" s="2">
        <v>7.3907529E7</v>
      </c>
      <c r="K2164" s="2">
        <v>3.4301492E7</v>
      </c>
    </row>
    <row r="2165">
      <c r="A2165" s="2">
        <v>2023.0</v>
      </c>
      <c r="B2165" s="1" t="s">
        <v>710</v>
      </c>
      <c r="D2165" s="2"/>
      <c r="E2165" s="2" t="s">
        <v>689</v>
      </c>
      <c r="F2165" s="2">
        <v>1.2645936E7</v>
      </c>
      <c r="G2165" s="2">
        <v>375000.0</v>
      </c>
      <c r="H2165" s="2">
        <v>346812.0</v>
      </c>
      <c r="I2165" s="2">
        <v>1.3367748E7</v>
      </c>
      <c r="J2165" s="2">
        <v>5453966.0</v>
      </c>
      <c r="K2165" s="2">
        <v>7913782.0</v>
      </c>
    </row>
    <row r="2166">
      <c r="A2166" s="2">
        <v>2023.0</v>
      </c>
      <c r="B2166" s="1" t="s">
        <v>710</v>
      </c>
      <c r="D2166" s="2"/>
      <c r="E2166" s="2" t="s">
        <v>32</v>
      </c>
      <c r="F2166" s="2">
        <v>1486805.0</v>
      </c>
      <c r="G2166" s="2">
        <v>1085200.0</v>
      </c>
      <c r="H2166" s="2">
        <v>33712.0</v>
      </c>
      <c r="I2166" s="2">
        <v>2605717.0</v>
      </c>
      <c r="J2166" s="2">
        <v>95114.0</v>
      </c>
      <c r="K2166" s="2">
        <v>2510603.0</v>
      </c>
    </row>
    <row r="2167">
      <c r="A2167" s="2">
        <v>2023.0</v>
      </c>
      <c r="B2167" s="1" t="s">
        <v>710</v>
      </c>
      <c r="D2167" s="2"/>
      <c r="E2167" s="2" t="s">
        <v>56</v>
      </c>
      <c r="F2167" s="2">
        <v>2.4042308E7</v>
      </c>
      <c r="G2167" s="2">
        <v>3.156E7</v>
      </c>
      <c r="H2167" s="2">
        <v>856825.0</v>
      </c>
      <c r="I2167" s="2">
        <v>5.6459133E7</v>
      </c>
      <c r="J2167" s="2">
        <v>2.5389469E7</v>
      </c>
      <c r="K2167" s="2">
        <v>3.1069664E7</v>
      </c>
    </row>
    <row r="2168">
      <c r="A2168" s="2">
        <v>2023.0</v>
      </c>
      <c r="B2168" s="1" t="s">
        <v>1297</v>
      </c>
      <c r="D2168" s="2" t="s">
        <v>535</v>
      </c>
      <c r="E2168" s="2" t="s">
        <v>749</v>
      </c>
      <c r="F2168" s="2">
        <v>131317.0</v>
      </c>
      <c r="G2168" s="2">
        <v>1.3473599E7</v>
      </c>
      <c r="H2168" s="2">
        <v>69203.0</v>
      </c>
      <c r="I2168" s="2">
        <v>1.3674119E7</v>
      </c>
      <c r="J2168" s="2">
        <v>1.0732292E7</v>
      </c>
      <c r="K2168" s="2">
        <v>2941827.0</v>
      </c>
    </row>
    <row r="2169">
      <c r="A2169" s="2">
        <v>2023.0</v>
      </c>
      <c r="B2169" s="1" t="s">
        <v>1297</v>
      </c>
      <c r="D2169" s="2"/>
      <c r="E2169" s="2" t="s">
        <v>1513</v>
      </c>
      <c r="F2169" s="2">
        <v>1907325.0</v>
      </c>
      <c r="G2169" s="2">
        <v>1.0537E7</v>
      </c>
      <c r="H2169" s="2">
        <v>65023.0</v>
      </c>
      <c r="I2169" s="2">
        <v>1.2509348E7</v>
      </c>
      <c r="J2169" s="2">
        <v>5543772.0</v>
      </c>
      <c r="K2169" s="2">
        <v>6965576.0</v>
      </c>
    </row>
    <row r="2170">
      <c r="A2170" s="2">
        <v>2023.0</v>
      </c>
      <c r="B2170" s="1" t="s">
        <v>1297</v>
      </c>
      <c r="D2170" s="2"/>
      <c r="E2170" s="2" t="s">
        <v>568</v>
      </c>
      <c r="F2170" s="2">
        <v>6183463.0</v>
      </c>
      <c r="G2170" s="2">
        <v>6824667.0</v>
      </c>
      <c r="H2170" s="2">
        <v>32986.0</v>
      </c>
      <c r="I2170" s="2">
        <v>1.3041116E7</v>
      </c>
      <c r="J2170" s="2">
        <v>1.288161E7</v>
      </c>
      <c r="K2170" s="2">
        <v>159506.0</v>
      </c>
    </row>
    <row r="2171">
      <c r="A2171" s="2">
        <v>2023.0</v>
      </c>
      <c r="B2171" s="1" t="s">
        <v>1297</v>
      </c>
      <c r="D2171" s="2"/>
      <c r="E2171" s="2" t="s">
        <v>712</v>
      </c>
      <c r="F2171" s="2">
        <v>10146.0</v>
      </c>
      <c r="G2171" s="2">
        <v>0.0</v>
      </c>
      <c r="H2171" s="2">
        <v>313.0</v>
      </c>
      <c r="I2171" s="2">
        <v>10459.0</v>
      </c>
      <c r="J2171" s="2">
        <v>0.0</v>
      </c>
      <c r="K2171" s="2">
        <v>10459.0</v>
      </c>
    </row>
    <row r="2172">
      <c r="A2172" s="2">
        <v>2023.0</v>
      </c>
      <c r="B2172" s="1" t="s">
        <v>1297</v>
      </c>
      <c r="D2172" s="2"/>
      <c r="E2172" s="2" t="s">
        <v>1514</v>
      </c>
      <c r="F2172" s="2">
        <v>10.0</v>
      </c>
      <c r="G2172" s="2">
        <v>21000.0</v>
      </c>
      <c r="H2172" s="2">
        <v>166.0</v>
      </c>
      <c r="I2172" s="2">
        <v>21176.0</v>
      </c>
      <c r="J2172" s="2">
        <v>21000.0</v>
      </c>
      <c r="K2172" s="2">
        <v>176.0</v>
      </c>
    </row>
    <row r="2173">
      <c r="A2173" s="2">
        <v>2023.0</v>
      </c>
      <c r="B2173" s="1" t="s">
        <v>1297</v>
      </c>
      <c r="D2173" s="2"/>
      <c r="E2173" s="2"/>
      <c r="F2173" s="2">
        <v>0.0</v>
      </c>
      <c r="G2173" s="2">
        <v>8499667.0</v>
      </c>
      <c r="H2173" s="2">
        <v>12863.0</v>
      </c>
      <c r="I2173" s="2">
        <v>8512530.0</v>
      </c>
      <c r="J2173" s="2">
        <v>7821569.0</v>
      </c>
      <c r="K2173" s="2">
        <v>690961.0</v>
      </c>
    </row>
    <row r="2174">
      <c r="A2174" s="2">
        <v>2023.0</v>
      </c>
      <c r="B2174" s="1" t="s">
        <v>1297</v>
      </c>
      <c r="D2174" s="2"/>
      <c r="E2174" s="2" t="s">
        <v>686</v>
      </c>
      <c r="F2174" s="2">
        <v>0.0</v>
      </c>
      <c r="G2174" s="2">
        <v>7135000.0</v>
      </c>
      <c r="H2174" s="2">
        <v>75971.0</v>
      </c>
      <c r="I2174" s="2">
        <v>7210971.0</v>
      </c>
      <c r="J2174" s="2">
        <v>1020348.0</v>
      </c>
      <c r="K2174" s="2">
        <v>6190623.0</v>
      </c>
    </row>
    <row r="2175">
      <c r="A2175" s="2">
        <v>2023.0</v>
      </c>
      <c r="B2175" s="1" t="s">
        <v>1297</v>
      </c>
      <c r="D2175" s="2" t="s">
        <v>539</v>
      </c>
      <c r="E2175" s="2" t="s">
        <v>794</v>
      </c>
      <c r="F2175" s="2">
        <v>15720.0</v>
      </c>
      <c r="G2175" s="2">
        <v>6832337.0</v>
      </c>
      <c r="H2175" s="2">
        <v>49626.0</v>
      </c>
      <c r="I2175" s="2">
        <v>6897683.0</v>
      </c>
      <c r="J2175" s="2">
        <v>6869952.0</v>
      </c>
      <c r="K2175" s="2">
        <v>27731.0</v>
      </c>
    </row>
    <row r="2176">
      <c r="A2176" s="2">
        <v>2023.0</v>
      </c>
      <c r="B2176" s="1" t="s">
        <v>1297</v>
      </c>
      <c r="D2176" s="2"/>
      <c r="E2176" s="2" t="s">
        <v>715</v>
      </c>
      <c r="F2176" s="2">
        <v>2944064.0</v>
      </c>
      <c r="G2176" s="2">
        <v>4042000.0</v>
      </c>
      <c r="H2176" s="2">
        <v>79185.0</v>
      </c>
      <c r="I2176" s="2">
        <v>7065249.0</v>
      </c>
      <c r="J2176" s="2">
        <v>3436171.0</v>
      </c>
      <c r="K2176" s="2">
        <v>3629078.0</v>
      </c>
    </row>
    <row r="2177">
      <c r="A2177" s="2">
        <v>2023.0</v>
      </c>
      <c r="B2177" s="1" t="s">
        <v>1297</v>
      </c>
      <c r="D2177" s="2"/>
      <c r="E2177" s="2" t="s">
        <v>686</v>
      </c>
      <c r="F2177" s="2">
        <v>1585250.0</v>
      </c>
      <c r="G2177" s="2">
        <v>3170500.0</v>
      </c>
      <c r="H2177" s="2">
        <v>9037.0</v>
      </c>
      <c r="I2177" s="2">
        <v>4764787.0</v>
      </c>
      <c r="J2177" s="2">
        <v>4438878.0</v>
      </c>
      <c r="K2177" s="2">
        <v>325909.0</v>
      </c>
    </row>
    <row r="2178">
      <c r="A2178" s="2">
        <v>2023.0</v>
      </c>
      <c r="B2178" s="1" t="s">
        <v>1297</v>
      </c>
      <c r="D2178" s="2"/>
      <c r="E2178" s="2" t="s">
        <v>568</v>
      </c>
      <c r="F2178" s="2">
        <v>1.2334334E7</v>
      </c>
      <c r="G2178" s="2">
        <v>5360581.0</v>
      </c>
      <c r="I2178" s="2">
        <v>1.7694915E7</v>
      </c>
      <c r="J2178" s="2">
        <v>9731689.0</v>
      </c>
      <c r="K2178" s="2">
        <v>7963226.0</v>
      </c>
    </row>
    <row r="2179">
      <c r="A2179" s="2">
        <v>2023.0</v>
      </c>
      <c r="B2179" s="1" t="s">
        <v>1297</v>
      </c>
      <c r="D2179" s="2"/>
      <c r="E2179" s="2" t="s">
        <v>712</v>
      </c>
      <c r="F2179" s="2">
        <v>1637.0</v>
      </c>
      <c r="G2179" s="2">
        <v>52000.0</v>
      </c>
      <c r="H2179" s="2">
        <v>91.0</v>
      </c>
      <c r="I2179" s="2">
        <v>53728.0</v>
      </c>
      <c r="J2179" s="2">
        <v>24945.0</v>
      </c>
      <c r="K2179" s="2">
        <v>28783.0</v>
      </c>
    </row>
    <row r="2180">
      <c r="A2180" s="2">
        <v>2023.0</v>
      </c>
      <c r="B2180" s="1" t="s">
        <v>1297</v>
      </c>
      <c r="D2180" s="2" t="s">
        <v>537</v>
      </c>
      <c r="E2180" s="2" t="s">
        <v>1515</v>
      </c>
      <c r="F2180" s="2">
        <v>1288631.0</v>
      </c>
      <c r="G2180" s="2">
        <v>3909404.0</v>
      </c>
      <c r="I2180" s="2">
        <v>5198035.0</v>
      </c>
      <c r="J2180" s="2">
        <v>5146284.0</v>
      </c>
      <c r="K2180" s="2">
        <v>51751.0</v>
      </c>
    </row>
    <row r="2181">
      <c r="A2181" s="2">
        <v>2023.0</v>
      </c>
      <c r="B2181" s="1" t="s">
        <v>1297</v>
      </c>
      <c r="D2181" s="2"/>
      <c r="E2181" s="2" t="s">
        <v>715</v>
      </c>
      <c r="F2181" s="2">
        <v>281803.0</v>
      </c>
      <c r="G2181" s="2">
        <v>5328000.0</v>
      </c>
      <c r="I2181" s="2">
        <v>5609803.0</v>
      </c>
      <c r="J2181" s="2">
        <v>4213392.0</v>
      </c>
      <c r="K2181" s="2">
        <v>1396411.0</v>
      </c>
    </row>
    <row r="2182">
      <c r="A2182" s="2">
        <v>2023.0</v>
      </c>
      <c r="B2182" s="1" t="s">
        <v>1297</v>
      </c>
      <c r="D2182" s="2"/>
      <c r="E2182" s="2" t="s">
        <v>712</v>
      </c>
      <c r="F2182" s="2">
        <v>28327.0</v>
      </c>
      <c r="G2182" s="2">
        <v>652.0</v>
      </c>
      <c r="H2182" s="2">
        <v>201.0</v>
      </c>
      <c r="I2182" s="2">
        <v>29180.0</v>
      </c>
      <c r="J2182" s="2">
        <v>28050.0</v>
      </c>
      <c r="K2182" s="2">
        <v>1130.0</v>
      </c>
    </row>
    <row r="2183">
      <c r="A2183" s="2">
        <v>2023.0</v>
      </c>
      <c r="B2183" s="1" t="s">
        <v>1297</v>
      </c>
      <c r="D2183" s="2"/>
      <c r="E2183" s="2" t="s">
        <v>749</v>
      </c>
      <c r="F2183" s="2">
        <v>374309.0</v>
      </c>
      <c r="G2183" s="2">
        <v>1.0213602E7</v>
      </c>
      <c r="H2183" s="2">
        <v>55263.0</v>
      </c>
      <c r="I2183" s="2">
        <v>1.0643174E7</v>
      </c>
      <c r="J2183" s="2">
        <v>7299902.0</v>
      </c>
      <c r="K2183" s="2">
        <v>3343272.0</v>
      </c>
    </row>
    <row r="2184">
      <c r="A2184" s="2">
        <v>2023.0</v>
      </c>
      <c r="B2184" s="1" t="s">
        <v>710</v>
      </c>
      <c r="D2184" s="2" t="s">
        <v>1516</v>
      </c>
      <c r="E2184" s="2" t="s">
        <v>1517</v>
      </c>
      <c r="F2184" s="2">
        <v>1574725.0</v>
      </c>
      <c r="G2184" s="2">
        <v>64800.0</v>
      </c>
      <c r="H2184" s="2">
        <v>32241.0</v>
      </c>
      <c r="I2184" s="2">
        <v>1671766.0</v>
      </c>
      <c r="J2184" s="2">
        <v>831600.0</v>
      </c>
      <c r="K2184" s="2">
        <v>840166.0</v>
      </c>
    </row>
    <row r="2185">
      <c r="A2185" s="2">
        <v>2023.0</v>
      </c>
      <c r="B2185" s="1" t="s">
        <v>710</v>
      </c>
      <c r="D2185" s="2"/>
      <c r="E2185" s="2" t="s">
        <v>1518</v>
      </c>
      <c r="F2185" s="2">
        <v>42234.0</v>
      </c>
      <c r="G2185" s="2">
        <v>2245495.0</v>
      </c>
      <c r="H2185" s="2">
        <v>4437.0</v>
      </c>
      <c r="I2185" s="2">
        <v>2292166.0</v>
      </c>
      <c r="J2185" s="2">
        <v>1949427.0</v>
      </c>
      <c r="K2185" s="2">
        <v>342739.0</v>
      </c>
    </row>
    <row r="2186">
      <c r="A2186" s="2">
        <v>2023.0</v>
      </c>
      <c r="B2186" s="1" t="s">
        <v>710</v>
      </c>
      <c r="D2186" s="2"/>
      <c r="E2186" s="2" t="s">
        <v>1519</v>
      </c>
      <c r="F2186" s="2">
        <v>5031972.0</v>
      </c>
      <c r="G2186" s="2">
        <v>32314.0</v>
      </c>
      <c r="H2186" s="2">
        <v>58992.0</v>
      </c>
      <c r="I2186" s="2">
        <v>5123278.0</v>
      </c>
      <c r="J2186" s="2">
        <v>3895596.0</v>
      </c>
      <c r="K2186" s="2">
        <v>1227682.0</v>
      </c>
    </row>
    <row r="2187">
      <c r="A2187" s="2">
        <v>2023.0</v>
      </c>
      <c r="B2187" s="1" t="s">
        <v>710</v>
      </c>
      <c r="D2187" s="2"/>
      <c r="E2187" s="2" t="s">
        <v>686</v>
      </c>
      <c r="F2187" s="2">
        <v>10463.0</v>
      </c>
      <c r="G2187" s="2">
        <v>3198810.0</v>
      </c>
      <c r="H2187" s="2">
        <v>8228.0</v>
      </c>
      <c r="I2187" s="2">
        <v>3217501.0</v>
      </c>
      <c r="J2187" s="2">
        <v>300000.0</v>
      </c>
      <c r="K2187" s="2">
        <v>2917501.0</v>
      </c>
    </row>
    <row r="2188">
      <c r="A2188" s="2">
        <v>2023.0</v>
      </c>
      <c r="B2188" s="1" t="s">
        <v>710</v>
      </c>
      <c r="D2188" s="2"/>
      <c r="E2188" s="2" t="s">
        <v>1520</v>
      </c>
      <c r="F2188" s="2">
        <v>78486.0</v>
      </c>
      <c r="G2188" s="2">
        <v>57100.0</v>
      </c>
      <c r="H2188" s="2">
        <v>2007.0</v>
      </c>
      <c r="I2188" s="2">
        <v>137593.0</v>
      </c>
      <c r="J2188" s="2">
        <v>100000.0</v>
      </c>
      <c r="K2188" s="2">
        <v>37593.0</v>
      </c>
    </row>
    <row r="2189">
      <c r="A2189" s="2">
        <v>2023.0</v>
      </c>
      <c r="B2189" s="1" t="s">
        <v>710</v>
      </c>
      <c r="D2189" s="2"/>
      <c r="E2189" s="2" t="s">
        <v>1064</v>
      </c>
      <c r="F2189" s="2">
        <v>121481.0</v>
      </c>
      <c r="G2189" s="2">
        <v>557455.0</v>
      </c>
      <c r="H2189" s="2">
        <v>4139.0</v>
      </c>
      <c r="I2189" s="2">
        <v>683075.0</v>
      </c>
      <c r="J2189" s="2">
        <v>473637.0</v>
      </c>
      <c r="K2189" s="2">
        <v>209438.0</v>
      </c>
    </row>
    <row r="2190">
      <c r="A2190" s="2">
        <v>2023.0</v>
      </c>
      <c r="B2190" s="1" t="s">
        <v>710</v>
      </c>
      <c r="D2190" s="2"/>
      <c r="E2190" s="2" t="s">
        <v>1521</v>
      </c>
      <c r="F2190" s="2">
        <v>133048.0</v>
      </c>
      <c r="G2190" s="2">
        <v>1807119.0</v>
      </c>
      <c r="H2190" s="2">
        <v>9393.0</v>
      </c>
      <c r="I2190" s="2">
        <v>1949560.0</v>
      </c>
      <c r="J2190" s="2">
        <v>1838300.0</v>
      </c>
      <c r="K2190" s="2">
        <v>111260.0</v>
      </c>
    </row>
    <row r="2191">
      <c r="A2191" s="2">
        <v>2023.0</v>
      </c>
      <c r="B2191" s="1" t="s">
        <v>710</v>
      </c>
      <c r="D2191" s="2"/>
      <c r="E2191" s="2" t="s">
        <v>712</v>
      </c>
      <c r="F2191" s="2">
        <v>0.0</v>
      </c>
      <c r="G2191" s="2">
        <v>1208240.0</v>
      </c>
      <c r="H2191" s="2">
        <v>575.0</v>
      </c>
      <c r="I2191" s="2">
        <v>1208815.0</v>
      </c>
      <c r="J2191" s="2">
        <v>100500.0</v>
      </c>
      <c r="K2191" s="2">
        <v>1108315.0</v>
      </c>
    </row>
    <row r="2192">
      <c r="A2192" s="2">
        <v>2023.0</v>
      </c>
      <c r="B2192" s="1" t="s">
        <v>710</v>
      </c>
      <c r="D2192" s="2"/>
      <c r="E2192" s="2" t="s">
        <v>749</v>
      </c>
      <c r="F2192" s="2">
        <v>555519.0</v>
      </c>
      <c r="G2192" s="2">
        <v>1.053065E7</v>
      </c>
      <c r="H2192" s="2">
        <v>21063.0</v>
      </c>
      <c r="I2192" s="2">
        <v>1.1107232E7</v>
      </c>
      <c r="J2192" s="2">
        <v>1.1081413E7</v>
      </c>
      <c r="K2192" s="2">
        <v>25819.0</v>
      </c>
    </row>
    <row r="2193">
      <c r="A2193" s="2">
        <v>2023.0</v>
      </c>
      <c r="B2193" s="1" t="s">
        <v>710</v>
      </c>
      <c r="D2193" s="2" t="s">
        <v>535</v>
      </c>
      <c r="E2193" s="2" t="s">
        <v>749</v>
      </c>
      <c r="F2193" s="2">
        <v>2941827.0</v>
      </c>
      <c r="G2193" s="2">
        <v>1.0253399E7</v>
      </c>
      <c r="H2193" s="2">
        <v>55542.0</v>
      </c>
      <c r="I2193" s="2">
        <v>1.3250768E7</v>
      </c>
      <c r="J2193" s="2">
        <v>1.2405752E7</v>
      </c>
      <c r="K2193" s="2">
        <v>845016.0</v>
      </c>
    </row>
    <row r="2194">
      <c r="A2194" s="2">
        <v>2023.0</v>
      </c>
      <c r="B2194" s="1" t="s">
        <v>710</v>
      </c>
      <c r="D2194" s="2"/>
      <c r="E2194" s="2" t="s">
        <v>1513</v>
      </c>
      <c r="F2194" s="2">
        <v>6965576.0</v>
      </c>
      <c r="G2194" s="2">
        <v>0.0</v>
      </c>
      <c r="H2194" s="2">
        <v>113368.0</v>
      </c>
      <c r="I2194" s="2">
        <v>7078944.0</v>
      </c>
      <c r="J2194" s="2">
        <v>6249759.0</v>
      </c>
      <c r="K2194" s="2">
        <v>829185.0</v>
      </c>
    </row>
    <row r="2195">
      <c r="A2195" s="2">
        <v>2023.0</v>
      </c>
      <c r="B2195" s="1" t="s">
        <v>710</v>
      </c>
      <c r="D2195" s="2"/>
      <c r="E2195" s="2" t="s">
        <v>568</v>
      </c>
      <c r="F2195" s="2">
        <v>159506.0</v>
      </c>
      <c r="G2195" s="2">
        <v>1.5269041E7</v>
      </c>
      <c r="H2195" s="2">
        <v>38434.0</v>
      </c>
      <c r="I2195" s="2">
        <v>1.5466981E7</v>
      </c>
      <c r="J2195" s="2">
        <v>1.0211315E7</v>
      </c>
      <c r="K2195" s="2">
        <v>5255666.0</v>
      </c>
    </row>
    <row r="2196">
      <c r="A2196" s="2">
        <v>2023.0</v>
      </c>
      <c r="B2196" s="1" t="s">
        <v>710</v>
      </c>
      <c r="D2196" s="2"/>
      <c r="E2196" s="2" t="s">
        <v>712</v>
      </c>
      <c r="F2196" s="2">
        <v>10459.0</v>
      </c>
      <c r="H2196" s="2">
        <v>317.0</v>
      </c>
      <c r="I2196" s="2">
        <v>10776.0</v>
      </c>
      <c r="J2196" s="2">
        <v>0.0</v>
      </c>
      <c r="K2196" s="2">
        <v>10776.0</v>
      </c>
    </row>
    <row r="2197">
      <c r="A2197" s="2">
        <v>2023.0</v>
      </c>
      <c r="B2197" s="1" t="s">
        <v>710</v>
      </c>
      <c r="D2197" s="2"/>
      <c r="E2197" s="2"/>
      <c r="F2197" s="2">
        <v>0.0</v>
      </c>
      <c r="G2197" s="2">
        <v>1104968.0</v>
      </c>
      <c r="H2197" s="2">
        <v>20634.0</v>
      </c>
      <c r="I2197" s="2">
        <v>1125602.0</v>
      </c>
      <c r="J2197" s="2">
        <v>1088013.0</v>
      </c>
      <c r="K2197" s="2">
        <v>37589.0</v>
      </c>
    </row>
    <row r="2198">
      <c r="A2198" s="2">
        <v>2023.0</v>
      </c>
      <c r="B2198" s="1" t="s">
        <v>710</v>
      </c>
      <c r="D2198" s="2"/>
      <c r="E2198" s="2" t="s">
        <v>1514</v>
      </c>
      <c r="F2198" s="2">
        <v>690961.0</v>
      </c>
      <c r="G2198" s="2">
        <v>372000.0</v>
      </c>
      <c r="H2198" s="2">
        <v>15829.0</v>
      </c>
      <c r="I2198" s="2">
        <v>1078790.0</v>
      </c>
      <c r="J2198" s="2">
        <v>989729.0</v>
      </c>
      <c r="K2198" s="2">
        <v>89061.0</v>
      </c>
    </row>
    <row r="2199">
      <c r="A2199" s="2">
        <v>2023.0</v>
      </c>
      <c r="B2199" s="1" t="s">
        <v>710</v>
      </c>
      <c r="D2199" s="2"/>
      <c r="E2199" s="2" t="s">
        <v>686</v>
      </c>
      <c r="F2199" s="2">
        <v>6190623.0</v>
      </c>
      <c r="G2199" s="2">
        <v>0.0</v>
      </c>
      <c r="H2199" s="2">
        <v>122904.0</v>
      </c>
      <c r="I2199" s="2">
        <v>6313527.0</v>
      </c>
      <c r="J2199" s="2">
        <v>6300331.0</v>
      </c>
      <c r="K2199" s="2">
        <v>13196.0</v>
      </c>
    </row>
    <row r="2200">
      <c r="A2200" s="2">
        <v>2023.0</v>
      </c>
      <c r="B2200" s="1" t="s">
        <v>710</v>
      </c>
      <c r="D2200" s="2" t="s">
        <v>539</v>
      </c>
      <c r="E2200" s="2" t="s">
        <v>749</v>
      </c>
      <c r="F2200" s="2">
        <v>27731.0</v>
      </c>
      <c r="G2200" s="2">
        <v>8397000.0</v>
      </c>
      <c r="H2200" s="2">
        <v>62357.0</v>
      </c>
      <c r="I2200" s="2">
        <v>8487088.0</v>
      </c>
      <c r="J2200" s="2">
        <v>7556024.0</v>
      </c>
      <c r="K2200" s="2">
        <v>931064.0</v>
      </c>
    </row>
    <row r="2201">
      <c r="A2201" s="2">
        <v>2023.0</v>
      </c>
      <c r="B2201" s="1" t="s">
        <v>710</v>
      </c>
      <c r="D2201" s="2"/>
      <c r="E2201" s="2" t="s">
        <v>715</v>
      </c>
      <c r="F2201" s="2">
        <v>3629078.0</v>
      </c>
      <c r="H2201" s="2">
        <v>44152.0</v>
      </c>
      <c r="I2201" s="2">
        <v>3673230.0</v>
      </c>
      <c r="J2201" s="2">
        <v>3655153.0</v>
      </c>
      <c r="K2201" s="2">
        <v>0.0</v>
      </c>
    </row>
    <row r="2202">
      <c r="A2202" s="2">
        <v>2023.0</v>
      </c>
      <c r="B2202" s="1" t="s">
        <v>710</v>
      </c>
      <c r="D2202" s="2"/>
      <c r="E2202" s="2" t="s">
        <v>986</v>
      </c>
      <c r="F2202" s="2">
        <v>325909.0</v>
      </c>
      <c r="H2202" s="2">
        <v>7017.0</v>
      </c>
      <c r="I2202" s="2">
        <v>332926.0</v>
      </c>
      <c r="J2202" s="2">
        <v>330830.0</v>
      </c>
      <c r="K2202" s="2">
        <v>2096.0</v>
      </c>
    </row>
    <row r="2203">
      <c r="A2203" s="2">
        <v>2023.0</v>
      </c>
      <c r="B2203" s="1" t="s">
        <v>710</v>
      </c>
      <c r="D2203" s="2"/>
      <c r="E2203" s="2" t="s">
        <v>568</v>
      </c>
      <c r="F2203" s="2">
        <v>7963226.0</v>
      </c>
      <c r="G2203" s="2">
        <v>6463094.0</v>
      </c>
      <c r="I2203" s="2">
        <v>1.442632E7</v>
      </c>
      <c r="J2203" s="2">
        <v>2570634.0</v>
      </c>
      <c r="K2203" s="2">
        <v>8855686.0</v>
      </c>
    </row>
    <row r="2204">
      <c r="A2204" s="2">
        <v>2023.0</v>
      </c>
      <c r="B2204" s="1" t="s">
        <v>710</v>
      </c>
      <c r="D2204" s="2"/>
      <c r="E2204" s="2" t="s">
        <v>712</v>
      </c>
      <c r="F2204" s="2">
        <v>224993.0</v>
      </c>
      <c r="H2204" s="2">
        <v>3175.0</v>
      </c>
      <c r="I2204" s="2">
        <v>228168.0</v>
      </c>
      <c r="J2204" s="2">
        <v>227199.0</v>
      </c>
      <c r="K2204" s="2">
        <v>969.0</v>
      </c>
    </row>
    <row r="2205">
      <c r="A2205" s="2">
        <v>2023.0</v>
      </c>
      <c r="B2205" s="1" t="s">
        <v>710</v>
      </c>
      <c r="D2205" s="2"/>
      <c r="E2205" s="2" t="s">
        <v>712</v>
      </c>
      <c r="F2205" s="2">
        <v>0.0</v>
      </c>
      <c r="G2205" s="2">
        <v>250000.0</v>
      </c>
      <c r="H2205" s="2">
        <v>316.0</v>
      </c>
      <c r="I2205" s="2">
        <v>250316.0</v>
      </c>
      <c r="J2205" s="2">
        <v>100000.0</v>
      </c>
      <c r="K2205" s="2">
        <v>150316.0</v>
      </c>
    </row>
    <row r="2206">
      <c r="A2206" s="2">
        <v>2023.0</v>
      </c>
      <c r="B2206" s="1" t="s">
        <v>710</v>
      </c>
      <c r="D2206" s="2" t="s">
        <v>537</v>
      </c>
      <c r="E2206" s="2" t="s">
        <v>1515</v>
      </c>
      <c r="F2206" s="2">
        <v>51751.0</v>
      </c>
      <c r="G2206" s="2">
        <v>1.8618707E7</v>
      </c>
      <c r="I2206" s="2">
        <v>1.8670458E7</v>
      </c>
      <c r="J2206" s="2">
        <v>1.8670458E7</v>
      </c>
      <c r="K2206" s="2">
        <v>0.0</v>
      </c>
    </row>
    <row r="2207">
      <c r="A2207" s="2">
        <v>2023.0</v>
      </c>
      <c r="B2207" s="1" t="s">
        <v>710</v>
      </c>
      <c r="D2207" s="2"/>
      <c r="E2207" s="2" t="s">
        <v>1515</v>
      </c>
      <c r="F2207" s="2">
        <v>0.0</v>
      </c>
      <c r="G2207" s="2">
        <v>1.2143394E7</v>
      </c>
      <c r="H2207" s="2">
        <v>2050.0</v>
      </c>
      <c r="I2207" s="2">
        <v>1.2145444E7</v>
      </c>
      <c r="J2207" s="2">
        <v>6440766.0</v>
      </c>
      <c r="K2207" s="2">
        <v>5704678.0</v>
      </c>
    </row>
    <row r="2208">
      <c r="A2208" s="2">
        <v>2023.0</v>
      </c>
      <c r="B2208" s="1" t="s">
        <v>710</v>
      </c>
      <c r="D2208" s="2"/>
      <c r="E2208" s="2" t="s">
        <v>715</v>
      </c>
      <c r="F2208" s="2">
        <v>1396411.0</v>
      </c>
      <c r="G2208" s="2">
        <v>1028124.0</v>
      </c>
      <c r="H2208" s="2">
        <v>14062.0</v>
      </c>
      <c r="I2208" s="2">
        <v>2438597.0</v>
      </c>
      <c r="J2208" s="2">
        <v>2437190.0</v>
      </c>
      <c r="K2208" s="2">
        <v>1407.0</v>
      </c>
    </row>
    <row r="2209">
      <c r="A2209" s="2">
        <v>2023.0</v>
      </c>
      <c r="B2209" s="1" t="s">
        <v>710</v>
      </c>
      <c r="D2209" s="2"/>
      <c r="E2209" s="2" t="s">
        <v>712</v>
      </c>
      <c r="F2209" s="2">
        <v>0.0</v>
      </c>
      <c r="G2209" s="2">
        <v>406800.0</v>
      </c>
      <c r="H2209" s="2">
        <v>1167.0</v>
      </c>
      <c r="I2209" s="2">
        <v>407967.0</v>
      </c>
      <c r="J2209" s="2">
        <v>0.0</v>
      </c>
      <c r="K2209" s="2">
        <v>407967.0</v>
      </c>
    </row>
    <row r="2210">
      <c r="A2210" s="2">
        <v>2023.0</v>
      </c>
      <c r="B2210" s="1" t="s">
        <v>710</v>
      </c>
      <c r="D2210" s="2"/>
      <c r="E2210" s="2" t="s">
        <v>749</v>
      </c>
      <c r="F2210" s="2">
        <v>3343272.0</v>
      </c>
      <c r="G2210" s="2">
        <v>5832913.0</v>
      </c>
      <c r="H2210" s="2">
        <v>46442.0</v>
      </c>
      <c r="I2210" s="2">
        <v>9222627.0</v>
      </c>
      <c r="J2210" s="2">
        <v>9222627.0</v>
      </c>
      <c r="K2210" s="2">
        <v>0.0</v>
      </c>
    </row>
    <row r="2211">
      <c r="A2211" s="2">
        <v>2023.0</v>
      </c>
      <c r="B2211" s="1" t="s">
        <v>710</v>
      </c>
      <c r="D2211" s="2"/>
      <c r="E2211" s="2" t="s">
        <v>749</v>
      </c>
      <c r="F2211" s="2">
        <v>0.0</v>
      </c>
      <c r="G2211" s="2">
        <v>9439179.0</v>
      </c>
      <c r="H2211" s="2">
        <v>83565.0</v>
      </c>
      <c r="I2211" s="2">
        <v>9522744.0</v>
      </c>
      <c r="J2211" s="2">
        <v>4981573.0</v>
      </c>
      <c r="K2211" s="2">
        <v>4541171.0</v>
      </c>
    </row>
    <row r="2212">
      <c r="A2212" s="2">
        <v>2023.0</v>
      </c>
      <c r="B2212" s="1" t="s">
        <v>710</v>
      </c>
      <c r="D2212" s="2"/>
      <c r="E2212" s="2" t="s">
        <v>1478</v>
      </c>
      <c r="F2212" s="2">
        <v>3094042.0</v>
      </c>
      <c r="G2212" s="2">
        <v>0.0</v>
      </c>
      <c r="H2212" s="2">
        <v>90504.0</v>
      </c>
      <c r="I2212" s="2">
        <v>3184546.0</v>
      </c>
      <c r="J2212" s="2">
        <v>417999.0</v>
      </c>
      <c r="K2212" s="2">
        <v>2766547.0</v>
      </c>
    </row>
    <row r="2213">
      <c r="A2213" s="2">
        <v>2023.0</v>
      </c>
      <c r="B2213" s="1" t="s">
        <v>710</v>
      </c>
      <c r="D2213" s="2"/>
      <c r="E2213" s="2" t="s">
        <v>1522</v>
      </c>
      <c r="F2213" s="2">
        <v>0.0</v>
      </c>
      <c r="G2213" s="2">
        <v>6066846.0</v>
      </c>
      <c r="H2213" s="2">
        <v>0.0</v>
      </c>
      <c r="I2213" s="2">
        <v>6066846.0</v>
      </c>
      <c r="J2213" s="2">
        <v>36.0</v>
      </c>
      <c r="K2213" s="2">
        <v>6066810.0</v>
      </c>
    </row>
    <row r="2214">
      <c r="A2214" s="2">
        <v>2023.0</v>
      </c>
      <c r="B2214" s="1" t="s">
        <v>1200</v>
      </c>
      <c r="D2214" s="1" t="s">
        <v>112</v>
      </c>
      <c r="E2214" s="2" t="s">
        <v>720</v>
      </c>
      <c r="F2214" s="2" t="s">
        <v>1523</v>
      </c>
      <c r="G2214" s="2">
        <v>3791328.86</v>
      </c>
      <c r="H2214" s="2">
        <v>1.3958882E8</v>
      </c>
      <c r="I2214" s="2">
        <v>1.433801489E8</v>
      </c>
      <c r="J2214" s="2">
        <v>1.269972474E8</v>
      </c>
      <c r="K2214" s="2">
        <v>1.638290146E7</v>
      </c>
    </row>
    <row r="2215">
      <c r="A2215" s="2">
        <v>2023.0</v>
      </c>
      <c r="B2215" s="1" t="s">
        <v>1200</v>
      </c>
      <c r="D2215" s="1" t="s">
        <v>112</v>
      </c>
      <c r="E2215" s="2" t="s">
        <v>1524</v>
      </c>
      <c r="F2215" s="2" t="s">
        <v>1525</v>
      </c>
      <c r="G2215" s="2">
        <v>6.2734792E7</v>
      </c>
      <c r="H2215" s="2" t="s">
        <v>1526</v>
      </c>
      <c r="I2215" s="2">
        <v>2.10621197E8</v>
      </c>
      <c r="J2215" s="2">
        <v>1.48918143E8</v>
      </c>
      <c r="K2215" s="2">
        <v>6.1703054E7</v>
      </c>
    </row>
    <row r="2216">
      <c r="A2216" s="2">
        <v>2023.0</v>
      </c>
      <c r="B2216" s="1" t="s">
        <v>1200</v>
      </c>
      <c r="D2216" s="1" t="s">
        <v>112</v>
      </c>
      <c r="E2216" s="2" t="s">
        <v>722</v>
      </c>
      <c r="F2216" s="2" t="s">
        <v>1527</v>
      </c>
      <c r="G2216" s="2">
        <v>3.6797365E7</v>
      </c>
      <c r="H2216" s="2">
        <v>8.748164E7</v>
      </c>
      <c r="I2216" s="2">
        <v>1.24279005E8</v>
      </c>
      <c r="J2216" s="2">
        <v>1.2117115E8</v>
      </c>
      <c r="K2216" s="2">
        <v>3107855.0</v>
      </c>
    </row>
    <row r="2217">
      <c r="A2217" s="2">
        <v>2023.0</v>
      </c>
      <c r="B2217" s="1" t="s">
        <v>1200</v>
      </c>
      <c r="D2217" s="1" t="s">
        <v>112</v>
      </c>
      <c r="E2217" s="2" t="s">
        <v>722</v>
      </c>
      <c r="F2217" s="2" t="s">
        <v>1528</v>
      </c>
      <c r="G2217" s="2" t="s">
        <v>1529</v>
      </c>
      <c r="H2217" s="2">
        <v>8413640.0</v>
      </c>
      <c r="I2217" s="2">
        <v>8413640.0</v>
      </c>
      <c r="J2217" s="2">
        <v>7400000.0</v>
      </c>
      <c r="K2217" s="2">
        <v>1013640.0</v>
      </c>
    </row>
    <row r="2218">
      <c r="A2218" s="2">
        <v>2023.0</v>
      </c>
      <c r="B2218" s="1" t="s">
        <v>1200</v>
      </c>
      <c r="D2218" s="1" t="s">
        <v>112</v>
      </c>
      <c r="E2218" s="2" t="s">
        <v>1530</v>
      </c>
      <c r="F2218" s="2" t="s">
        <v>1531</v>
      </c>
      <c r="G2218" s="4">
        <v>93770.0</v>
      </c>
      <c r="H2218" s="4">
        <v>3420.0</v>
      </c>
      <c r="I2218" s="2">
        <v>97190.0</v>
      </c>
      <c r="J2218" s="2">
        <v>0.0</v>
      </c>
      <c r="K2218" s="4">
        <v>97190.0</v>
      </c>
    </row>
    <row r="2219">
      <c r="A2219" s="2">
        <v>2023.0</v>
      </c>
      <c r="B2219" s="1" t="s">
        <v>1200</v>
      </c>
      <c r="D2219" s="1" t="s">
        <v>112</v>
      </c>
      <c r="E2219" s="2" t="s">
        <v>712</v>
      </c>
      <c r="F2219" s="2" t="s">
        <v>1532</v>
      </c>
      <c r="G2219" s="2">
        <v>183821.0</v>
      </c>
      <c r="H2219" s="4">
        <v>4811.0</v>
      </c>
      <c r="I2219" s="2">
        <v>188632.0</v>
      </c>
      <c r="J2219" s="2">
        <v>185407.0</v>
      </c>
      <c r="K2219" s="4">
        <v>3225.0</v>
      </c>
    </row>
    <row r="2220">
      <c r="A2220" s="2">
        <v>2023.0</v>
      </c>
      <c r="B2220" s="1" t="s">
        <v>1200</v>
      </c>
      <c r="D2220" s="1" t="s">
        <v>112</v>
      </c>
      <c r="E2220" s="2" t="s">
        <v>1533</v>
      </c>
      <c r="F2220" s="2" t="s">
        <v>1534</v>
      </c>
      <c r="G2220" s="2">
        <v>381647.2</v>
      </c>
      <c r="H2220" s="2">
        <v>160209.0</v>
      </c>
      <c r="I2220" s="2">
        <v>541856.2</v>
      </c>
      <c r="J2220" s="2">
        <v>64.9</v>
      </c>
      <c r="K2220" s="2">
        <v>541791.3</v>
      </c>
    </row>
    <row r="2221">
      <c r="A2221" s="2">
        <v>2023.0</v>
      </c>
      <c r="B2221" s="1" t="s">
        <v>1200</v>
      </c>
      <c r="D2221" s="1" t="s">
        <v>112</v>
      </c>
      <c r="E2221" s="2" t="s">
        <v>162</v>
      </c>
      <c r="F2221" s="2" t="s">
        <v>1535</v>
      </c>
      <c r="G2221" s="2">
        <v>424632.07</v>
      </c>
      <c r="H2221" s="2">
        <v>3.570248439E7</v>
      </c>
      <c r="I2221" s="2">
        <v>3.612711646E7</v>
      </c>
      <c r="J2221" s="2">
        <v>3.57050624E7</v>
      </c>
      <c r="K2221" s="2">
        <v>422054.06</v>
      </c>
    </row>
    <row r="2222">
      <c r="A2222" s="2">
        <v>2023.0</v>
      </c>
      <c r="B2222" s="1" t="s">
        <v>1200</v>
      </c>
      <c r="D2222" s="1" t="s">
        <v>112</v>
      </c>
      <c r="E2222" s="2" t="s">
        <v>1533</v>
      </c>
      <c r="F2222" s="2" t="s">
        <v>1536</v>
      </c>
      <c r="G2222" s="4">
        <v>50453.0</v>
      </c>
      <c r="H2222" s="4">
        <v>33578.0</v>
      </c>
      <c r="I2222" s="2">
        <v>84031.0</v>
      </c>
      <c r="J2222" s="2">
        <v>0.0</v>
      </c>
      <c r="K2222" s="4">
        <v>84031.0</v>
      </c>
    </row>
    <row r="2223">
      <c r="A2223" s="2">
        <v>2023.0</v>
      </c>
      <c r="B2223" s="1" t="s">
        <v>1200</v>
      </c>
      <c r="D2223" s="1" t="s">
        <v>112</v>
      </c>
      <c r="E2223" s="2" t="s">
        <v>150</v>
      </c>
      <c r="F2223" s="2" t="s">
        <v>1537</v>
      </c>
      <c r="G2223" s="2">
        <v>1182250.0</v>
      </c>
      <c r="H2223" s="4">
        <v>42042.0</v>
      </c>
      <c r="I2223" s="2">
        <v>1224292.0</v>
      </c>
      <c r="J2223" s="2">
        <v>0.0</v>
      </c>
      <c r="K2223" s="2">
        <v>1224292.0</v>
      </c>
    </row>
    <row r="2224">
      <c r="A2224" s="2">
        <v>2023.0</v>
      </c>
      <c r="B2224" s="1" t="s">
        <v>1200</v>
      </c>
      <c r="D2224" s="1" t="s">
        <v>112</v>
      </c>
      <c r="E2224" s="2" t="s">
        <v>724</v>
      </c>
      <c r="F2224" s="2" t="s">
        <v>1538</v>
      </c>
      <c r="G2224" s="2">
        <v>6329599.5</v>
      </c>
      <c r="H2224" s="2">
        <v>226747.0</v>
      </c>
      <c r="I2224" s="2">
        <v>6556346.5</v>
      </c>
      <c r="J2224" s="2">
        <v>797886.0</v>
      </c>
      <c r="K2224" s="2">
        <v>5758460.5</v>
      </c>
    </row>
    <row r="2225">
      <c r="A2225" s="2">
        <v>2023.0</v>
      </c>
      <c r="B2225" s="1" t="s">
        <v>1297</v>
      </c>
      <c r="D2225" s="1" t="s">
        <v>112</v>
      </c>
      <c r="E2225" s="2" t="s">
        <v>720</v>
      </c>
      <c r="F2225" s="2" t="s">
        <v>1523</v>
      </c>
      <c r="G2225" s="2">
        <v>1.638290146E7</v>
      </c>
      <c r="H2225" s="2">
        <v>2.4871866E7</v>
      </c>
      <c r="I2225" s="2">
        <v>4.125476746E7</v>
      </c>
      <c r="J2225" s="2">
        <v>4.0894971E7</v>
      </c>
      <c r="K2225" s="2">
        <v>359796.46</v>
      </c>
    </row>
    <row r="2226">
      <c r="A2226" s="2">
        <v>2023.0</v>
      </c>
      <c r="B2226" s="1" t="s">
        <v>1297</v>
      </c>
      <c r="D2226" s="1" t="s">
        <v>112</v>
      </c>
      <c r="E2226" s="2" t="s">
        <v>720</v>
      </c>
      <c r="F2226" s="2" t="s">
        <v>1539</v>
      </c>
      <c r="G2226" s="2" t="s">
        <v>1540</v>
      </c>
      <c r="H2226" s="2">
        <v>2.157746461E8</v>
      </c>
      <c r="I2226" s="2">
        <v>2.157746461E8</v>
      </c>
      <c r="J2226" s="2">
        <v>1.989338271E8</v>
      </c>
      <c r="K2226" s="2">
        <v>1.6840819E7</v>
      </c>
    </row>
    <row r="2227">
      <c r="A2227" s="2">
        <v>2023.0</v>
      </c>
      <c r="B2227" s="1" t="s">
        <v>1297</v>
      </c>
      <c r="D2227" s="1" t="s">
        <v>112</v>
      </c>
      <c r="E2227" s="2" t="s">
        <v>1524</v>
      </c>
      <c r="F2227" s="2" t="s">
        <v>1541</v>
      </c>
      <c r="G2227" s="2">
        <v>6.1703054E7</v>
      </c>
      <c r="H2227" s="2">
        <v>1.150241767E8</v>
      </c>
      <c r="I2227" s="2">
        <v>1.767272307E8</v>
      </c>
      <c r="J2227" s="2">
        <v>1.651626433E8</v>
      </c>
      <c r="K2227" s="2">
        <v>1.15645874E7</v>
      </c>
    </row>
    <row r="2228">
      <c r="A2228" s="2">
        <v>2023.0</v>
      </c>
      <c r="B2228" s="1" t="s">
        <v>1297</v>
      </c>
      <c r="D2228" s="1" t="s">
        <v>112</v>
      </c>
      <c r="E2228" s="2" t="s">
        <v>722</v>
      </c>
      <c r="F2228" s="2" t="s">
        <v>1527</v>
      </c>
      <c r="G2228" s="2">
        <v>3107855.0</v>
      </c>
      <c r="H2228" s="2">
        <v>1.15447714E8</v>
      </c>
      <c r="I2228" s="2">
        <v>1.18555569E8</v>
      </c>
      <c r="J2228" s="2">
        <v>1.15519927E8</v>
      </c>
      <c r="K2228" s="2">
        <v>3035642.0</v>
      </c>
    </row>
    <row r="2229">
      <c r="A2229" s="2">
        <v>2023.0</v>
      </c>
      <c r="B2229" s="1" t="s">
        <v>1297</v>
      </c>
      <c r="D2229" s="1" t="s">
        <v>112</v>
      </c>
      <c r="E2229" s="2" t="s">
        <v>722</v>
      </c>
      <c r="F2229" s="2" t="s">
        <v>1528</v>
      </c>
      <c r="G2229" s="2">
        <v>1013640.0</v>
      </c>
      <c r="H2229" s="2" t="s">
        <v>1542</v>
      </c>
      <c r="I2229" s="2">
        <v>7.8069625E7</v>
      </c>
      <c r="J2229" s="2">
        <v>7.64000531E7</v>
      </c>
      <c r="K2229" s="2">
        <v>1669571.9</v>
      </c>
    </row>
    <row r="2230">
      <c r="A2230" s="2">
        <v>2023.0</v>
      </c>
      <c r="B2230" s="1" t="s">
        <v>1297</v>
      </c>
      <c r="D2230" s="1" t="s">
        <v>112</v>
      </c>
      <c r="E2230" s="2" t="s">
        <v>1543</v>
      </c>
      <c r="F2230" s="2" t="s">
        <v>1544</v>
      </c>
      <c r="H2230" s="2">
        <v>6.8651005E7</v>
      </c>
      <c r="I2230" s="2">
        <v>6.8651005E7</v>
      </c>
      <c r="J2230" s="2">
        <v>6.8434615E7</v>
      </c>
      <c r="K2230" s="2">
        <v>216390.0</v>
      </c>
    </row>
    <row r="2231">
      <c r="A2231" s="2">
        <v>2023.0</v>
      </c>
      <c r="B2231" s="1" t="s">
        <v>1297</v>
      </c>
      <c r="D2231" s="1" t="s">
        <v>112</v>
      </c>
      <c r="E2231" s="2" t="s">
        <v>1530</v>
      </c>
      <c r="F2231" s="2" t="s">
        <v>1531</v>
      </c>
      <c r="G2231" s="4">
        <v>97190.0</v>
      </c>
      <c r="I2231" s="2">
        <v>97190.0</v>
      </c>
      <c r="J2231" s="2">
        <v>0.0</v>
      </c>
      <c r="K2231" s="4">
        <v>97190.0</v>
      </c>
    </row>
    <row r="2232">
      <c r="A2232" s="2">
        <v>2023.0</v>
      </c>
      <c r="B2232" s="1" t="s">
        <v>1297</v>
      </c>
      <c r="D2232" s="1" t="s">
        <v>112</v>
      </c>
      <c r="E2232" s="2" t="s">
        <v>712</v>
      </c>
      <c r="F2232" s="2" t="s">
        <v>1532</v>
      </c>
      <c r="G2232" s="4">
        <v>3225.0</v>
      </c>
      <c r="H2232" s="2">
        <v>4688725.0</v>
      </c>
      <c r="I2232" s="2">
        <v>4691950.0</v>
      </c>
      <c r="J2232" s="2">
        <v>0.0</v>
      </c>
      <c r="K2232" s="2">
        <v>4691950.0</v>
      </c>
    </row>
    <row r="2233">
      <c r="A2233" s="2">
        <v>2023.0</v>
      </c>
      <c r="B2233" s="1" t="s">
        <v>1297</v>
      </c>
      <c r="D2233" s="1" t="s">
        <v>112</v>
      </c>
      <c r="E2233" s="2" t="s">
        <v>1533</v>
      </c>
      <c r="F2233" s="2" t="s">
        <v>1534</v>
      </c>
      <c r="G2233" s="2">
        <v>541791.3</v>
      </c>
      <c r="H2233" s="2">
        <v>6803459.0</v>
      </c>
      <c r="I2233" s="2">
        <v>7345250.3</v>
      </c>
      <c r="J2233" s="2">
        <v>6400111.1</v>
      </c>
      <c r="K2233" s="2">
        <v>945139.2</v>
      </c>
    </row>
    <row r="2234">
      <c r="A2234" s="2">
        <v>2023.0</v>
      </c>
      <c r="B2234" s="1" t="s">
        <v>1297</v>
      </c>
      <c r="D2234" s="1" t="s">
        <v>112</v>
      </c>
      <c r="E2234" s="2" t="s">
        <v>162</v>
      </c>
      <c r="F2234" s="2" t="s">
        <v>1535</v>
      </c>
      <c r="G2234" s="2">
        <v>422054.06</v>
      </c>
      <c r="H2234" s="2">
        <v>130026.33</v>
      </c>
      <c r="I2234" s="2">
        <v>552080.39</v>
      </c>
      <c r="J2234" s="2">
        <v>0.0</v>
      </c>
      <c r="K2234" s="2">
        <v>552080.39</v>
      </c>
    </row>
    <row r="2235">
      <c r="A2235" s="2">
        <v>2023.0</v>
      </c>
      <c r="B2235" s="1" t="s">
        <v>1297</v>
      </c>
      <c r="D2235" s="1" t="s">
        <v>112</v>
      </c>
      <c r="E2235" s="2" t="s">
        <v>1533</v>
      </c>
      <c r="F2235" s="2" t="s">
        <v>1536</v>
      </c>
      <c r="G2235" s="4">
        <v>84031.0</v>
      </c>
      <c r="H2235" s="2">
        <v>2.7301816E7</v>
      </c>
      <c r="I2235" s="2">
        <v>2.7385847E7</v>
      </c>
      <c r="J2235" s="2">
        <v>2.7335339E7</v>
      </c>
      <c r="K2235" s="4">
        <v>50508.0</v>
      </c>
    </row>
    <row r="2236">
      <c r="A2236" s="2">
        <v>2023.0</v>
      </c>
      <c r="B2236" s="1" t="s">
        <v>1297</v>
      </c>
      <c r="D2236" s="1" t="s">
        <v>112</v>
      </c>
      <c r="E2236" s="2" t="s">
        <v>150</v>
      </c>
      <c r="F2236" s="2" t="s">
        <v>1537</v>
      </c>
      <c r="G2236" s="2">
        <v>1224292.0</v>
      </c>
      <c r="H2236" s="2">
        <v>30417.0</v>
      </c>
      <c r="I2236" s="2">
        <v>1254709.0</v>
      </c>
      <c r="J2236" s="2">
        <v>1254709.0</v>
      </c>
      <c r="K2236" s="2">
        <v>0.0</v>
      </c>
    </row>
    <row r="2237">
      <c r="A2237" s="2">
        <v>2023.0</v>
      </c>
      <c r="B2237" s="1" t="s">
        <v>1297</v>
      </c>
      <c r="D2237" s="1" t="s">
        <v>112</v>
      </c>
      <c r="E2237" s="2" t="s">
        <v>724</v>
      </c>
      <c r="F2237" s="2" t="s">
        <v>1545</v>
      </c>
      <c r="G2237" s="2">
        <v>5758460.5</v>
      </c>
      <c r="H2237" s="2">
        <v>175908.0</v>
      </c>
      <c r="I2237" s="2">
        <v>5934368.5</v>
      </c>
      <c r="J2237" s="2">
        <v>2195119.0</v>
      </c>
      <c r="K2237" s="2">
        <v>3739249.5</v>
      </c>
    </row>
    <row r="2238">
      <c r="A2238" s="2"/>
      <c r="D2238" s="2"/>
      <c r="E2238" s="2"/>
      <c r="F2238" s="2"/>
      <c r="G2238" s="2"/>
      <c r="H2238" s="2"/>
      <c r="I2238" s="2"/>
      <c r="J2238" s="2"/>
    </row>
    <row r="2239">
      <c r="A2239" s="2"/>
      <c r="D2239" s="2"/>
      <c r="E2239" s="2"/>
      <c r="F2239" s="2"/>
      <c r="G2239" s="2"/>
      <c r="H2239" s="2"/>
      <c r="I2239" s="2"/>
      <c r="J2239" s="2"/>
    </row>
    <row r="2240">
      <c r="A2240" s="2"/>
      <c r="D2240" s="2"/>
      <c r="E2240" s="2"/>
      <c r="F2240" s="2"/>
      <c r="G2240" s="2"/>
      <c r="H2240" s="2"/>
      <c r="I2240" s="2"/>
      <c r="J2240" s="2"/>
    </row>
    <row r="2241">
      <c r="A2241" s="2"/>
      <c r="D2241" s="2"/>
      <c r="E2241" s="2"/>
      <c r="F2241" s="2"/>
      <c r="G2241" s="2"/>
      <c r="H2241" s="2"/>
      <c r="I2241" s="2"/>
      <c r="J2241" s="2"/>
    </row>
    <row r="2242">
      <c r="A2242" s="2"/>
      <c r="D2242" s="2"/>
      <c r="E2242" s="2"/>
      <c r="F2242" s="2"/>
      <c r="G2242" s="2"/>
      <c r="H2242" s="2"/>
      <c r="I2242" s="2"/>
      <c r="J2242" s="2"/>
    </row>
    <row r="2243">
      <c r="A2243" s="2"/>
      <c r="D2243" s="2"/>
      <c r="E2243" s="2"/>
      <c r="F2243" s="2"/>
      <c r="G2243" s="2"/>
      <c r="H2243" s="2"/>
      <c r="I2243" s="2"/>
      <c r="J2243" s="2"/>
    </row>
    <row r="2244">
      <c r="A2244" s="2"/>
      <c r="D2244" s="2"/>
      <c r="E2244" s="2"/>
      <c r="F2244" s="2"/>
      <c r="G2244" s="2"/>
      <c r="H2244" s="2"/>
      <c r="I2244" s="2"/>
      <c r="J2244" s="2"/>
    </row>
    <row r="2245">
      <c r="A2245" s="2"/>
      <c r="D2245" s="2"/>
      <c r="E2245" s="2"/>
      <c r="F2245" s="2"/>
      <c r="G2245" s="2"/>
      <c r="H2245" s="2"/>
      <c r="I2245" s="2"/>
      <c r="J2245" s="2"/>
    </row>
    <row r="2246">
      <c r="A2246" s="2"/>
      <c r="D2246" s="2"/>
      <c r="E2246" s="2"/>
      <c r="F2246" s="2"/>
      <c r="G2246" s="2"/>
      <c r="H2246" s="2"/>
      <c r="I2246" s="2"/>
      <c r="J2246" s="2"/>
    </row>
    <row r="2247">
      <c r="A2247" s="2"/>
      <c r="D2247" s="2"/>
      <c r="E2247" s="2"/>
      <c r="F2247" s="2"/>
      <c r="G2247" s="2"/>
      <c r="H2247" s="2"/>
      <c r="I2247" s="2"/>
      <c r="J2247" s="2"/>
    </row>
    <row r="2248">
      <c r="A2248" s="2"/>
      <c r="D2248" s="2"/>
      <c r="E2248" s="2"/>
      <c r="F2248" s="2"/>
      <c r="G2248" s="2"/>
      <c r="H2248" s="2"/>
      <c r="I2248" s="2"/>
      <c r="J2248" s="2"/>
    </row>
    <row r="2249">
      <c r="A2249" s="2"/>
      <c r="D2249" s="2"/>
      <c r="E2249" s="2"/>
      <c r="F2249" s="2"/>
      <c r="G2249" s="2"/>
      <c r="H2249" s="2"/>
      <c r="I2249" s="2"/>
      <c r="J2249" s="2"/>
    </row>
    <row r="2250">
      <c r="A2250" s="2"/>
      <c r="D2250" s="2"/>
      <c r="E2250" s="2"/>
      <c r="F2250" s="2"/>
      <c r="G2250" s="2"/>
      <c r="H2250" s="2"/>
      <c r="I2250" s="2"/>
      <c r="J2250" s="2"/>
    </row>
    <row r="2251">
      <c r="A2251" s="2"/>
      <c r="D2251" s="2"/>
      <c r="E2251" s="2"/>
      <c r="F2251" s="2"/>
      <c r="G2251" s="2"/>
      <c r="H2251" s="2"/>
      <c r="I2251" s="2"/>
      <c r="J2251" s="2"/>
    </row>
    <row r="2252">
      <c r="A2252" s="2"/>
      <c r="D2252" s="2"/>
      <c r="E2252" s="2"/>
      <c r="F2252" s="2"/>
      <c r="G2252" s="2"/>
      <c r="H2252" s="2"/>
      <c r="I2252" s="2"/>
      <c r="J2252" s="2"/>
    </row>
    <row r="2253">
      <c r="A2253" s="2"/>
      <c r="D2253" s="2"/>
      <c r="E2253" s="2"/>
      <c r="F2253" s="2"/>
      <c r="G2253" s="2"/>
      <c r="H2253" s="2"/>
      <c r="I2253" s="2"/>
      <c r="J2253" s="2"/>
    </row>
    <row r="2254">
      <c r="A2254" s="2"/>
      <c r="D2254" s="2"/>
      <c r="E2254" s="2"/>
      <c r="F2254" s="2"/>
      <c r="G2254" s="2"/>
      <c r="H2254" s="2"/>
      <c r="I2254" s="2"/>
      <c r="J2254" s="2"/>
    </row>
    <row r="2255">
      <c r="A2255" s="2"/>
      <c r="D2255" s="2"/>
      <c r="E2255" s="2"/>
      <c r="F2255" s="2"/>
      <c r="G2255" s="2"/>
      <c r="H2255" s="2"/>
      <c r="I2255" s="2"/>
      <c r="J2255" s="2"/>
    </row>
    <row r="2256">
      <c r="A2256" s="2"/>
      <c r="D2256" s="2"/>
      <c r="E2256" s="2"/>
      <c r="F2256" s="2"/>
      <c r="G2256" s="2"/>
      <c r="H2256" s="2"/>
      <c r="I2256" s="2"/>
      <c r="J2256" s="2"/>
    </row>
    <row r="2257">
      <c r="A2257" s="2"/>
      <c r="D2257" s="2"/>
      <c r="E2257" s="2"/>
      <c r="F2257" s="2"/>
      <c r="G2257" s="2"/>
      <c r="H2257" s="2"/>
      <c r="I2257" s="2"/>
      <c r="J2257" s="2"/>
    </row>
    <row r="2258">
      <c r="A2258" s="2"/>
      <c r="D2258" s="2"/>
      <c r="E2258" s="2"/>
      <c r="F2258" s="2"/>
      <c r="G2258" s="2"/>
      <c r="H2258" s="2"/>
      <c r="I2258" s="2"/>
      <c r="J2258" s="2"/>
    </row>
    <row r="2259">
      <c r="A2259" s="2"/>
      <c r="D2259" s="2"/>
      <c r="E2259" s="2"/>
      <c r="F2259" s="2"/>
      <c r="G2259" s="2"/>
      <c r="H2259" s="2"/>
      <c r="I2259" s="2"/>
      <c r="J2259" s="2"/>
    </row>
    <row r="2260">
      <c r="A2260" s="2"/>
      <c r="D2260" s="2"/>
      <c r="E2260" s="2"/>
      <c r="F2260" s="2"/>
      <c r="G2260" s="2"/>
      <c r="H2260" s="2"/>
      <c r="I2260" s="2"/>
      <c r="J2260" s="2"/>
    </row>
    <row r="2261">
      <c r="A2261" s="2"/>
      <c r="D2261" s="2"/>
      <c r="E2261" s="2"/>
      <c r="F2261" s="2"/>
      <c r="G2261" s="2"/>
      <c r="H2261" s="2"/>
      <c r="I2261" s="2"/>
      <c r="J2261" s="2"/>
    </row>
    <row r="2262">
      <c r="A2262" s="2"/>
      <c r="D2262" s="2"/>
      <c r="E2262" s="2"/>
      <c r="F2262" s="2"/>
      <c r="G2262" s="2"/>
      <c r="H2262" s="2"/>
      <c r="I2262" s="2"/>
      <c r="J2262" s="2"/>
    </row>
    <row r="2263">
      <c r="A2263" s="2"/>
      <c r="D2263" s="2"/>
      <c r="E2263" s="2"/>
      <c r="F2263" s="2"/>
      <c r="G2263" s="2"/>
      <c r="H2263" s="2"/>
      <c r="I2263" s="2"/>
      <c r="J2263" s="2"/>
    </row>
    <row r="2264">
      <c r="A2264" s="2"/>
      <c r="D2264" s="2"/>
      <c r="E2264" s="2"/>
      <c r="F2264" s="2"/>
      <c r="G2264" s="2"/>
      <c r="H2264" s="2"/>
      <c r="I2264" s="2"/>
      <c r="J2264" s="2"/>
    </row>
    <row r="2265">
      <c r="A2265" s="2"/>
      <c r="D2265" s="2"/>
      <c r="E2265" s="2"/>
      <c r="F2265" s="2"/>
      <c r="G2265" s="2"/>
      <c r="H2265" s="2"/>
      <c r="I2265" s="2"/>
      <c r="J2265" s="2"/>
    </row>
    <row r="2266">
      <c r="A2266" s="2"/>
      <c r="D2266" s="2"/>
      <c r="E2266" s="2"/>
      <c r="F2266" s="2"/>
      <c r="G2266" s="2"/>
      <c r="H2266" s="2"/>
      <c r="I2266" s="2"/>
      <c r="J2266" s="2"/>
    </row>
    <row r="2267">
      <c r="A2267" s="2"/>
      <c r="D2267" s="2"/>
      <c r="E2267" s="2"/>
      <c r="F2267" s="2"/>
      <c r="G2267" s="2"/>
      <c r="H2267" s="2"/>
      <c r="I2267" s="2"/>
      <c r="J2267" s="2"/>
    </row>
    <row r="2268">
      <c r="A2268" s="2"/>
      <c r="D2268" s="2"/>
      <c r="E2268" s="2"/>
      <c r="F2268" s="2"/>
      <c r="G2268" s="2"/>
      <c r="H2268" s="2"/>
      <c r="I2268" s="2"/>
      <c r="J2268" s="2"/>
    </row>
    <row r="2269">
      <c r="A2269" s="2"/>
      <c r="D2269" s="2"/>
      <c r="E2269" s="2"/>
      <c r="F2269" s="2"/>
      <c r="G2269" s="2"/>
      <c r="H2269" s="2"/>
      <c r="I2269" s="2"/>
      <c r="J2269" s="2"/>
    </row>
    <row r="2270">
      <c r="A2270" s="2"/>
      <c r="D2270" s="2"/>
      <c r="E2270" s="2"/>
      <c r="F2270" s="2"/>
      <c r="G2270" s="2"/>
      <c r="H2270" s="2"/>
      <c r="I2270" s="2"/>
      <c r="J2270" s="2"/>
    </row>
    <row r="2271">
      <c r="A2271" s="2"/>
      <c r="D2271" s="2"/>
      <c r="E2271" s="2"/>
      <c r="F2271" s="2"/>
      <c r="G2271" s="2"/>
      <c r="H2271" s="2"/>
      <c r="I2271" s="2"/>
      <c r="J2271" s="2"/>
    </row>
    <row r="2272">
      <c r="A2272" s="2"/>
      <c r="D2272" s="2"/>
      <c r="E2272" s="2"/>
      <c r="F2272" s="2"/>
      <c r="G2272" s="2"/>
      <c r="H2272" s="2"/>
      <c r="I2272" s="2"/>
      <c r="J2272" s="2"/>
    </row>
    <row r="2273">
      <c r="A2273" s="2"/>
      <c r="D2273" s="2"/>
      <c r="E2273" s="2"/>
      <c r="F2273" s="2"/>
      <c r="G2273" s="2"/>
      <c r="H2273" s="2"/>
      <c r="I2273" s="2"/>
      <c r="J2273" s="2"/>
    </row>
    <row r="2274">
      <c r="A2274" s="2"/>
      <c r="D2274" s="2"/>
      <c r="E2274" s="2"/>
      <c r="F2274" s="2"/>
      <c r="G2274" s="2"/>
      <c r="H2274" s="2"/>
      <c r="I2274" s="2"/>
      <c r="J2274" s="2"/>
    </row>
    <row r="2275">
      <c r="A2275" s="2"/>
      <c r="D2275" s="2"/>
      <c r="E2275" s="2"/>
      <c r="F2275" s="2"/>
      <c r="G2275" s="2"/>
      <c r="H2275" s="2"/>
      <c r="I2275" s="2"/>
      <c r="J2275" s="2"/>
    </row>
    <row r="2276">
      <c r="A2276" s="2"/>
      <c r="D2276" s="2"/>
      <c r="E2276" s="2"/>
      <c r="F2276" s="2"/>
      <c r="G2276" s="2"/>
      <c r="H2276" s="2"/>
      <c r="I2276" s="2"/>
      <c r="J2276" s="2"/>
    </row>
    <row r="2277">
      <c r="A2277" s="2"/>
      <c r="D2277" s="2"/>
      <c r="E2277" s="2"/>
      <c r="F2277" s="2"/>
      <c r="G2277" s="2"/>
      <c r="H2277" s="2"/>
      <c r="I2277" s="2"/>
      <c r="J2277" s="2"/>
    </row>
    <row r="2278">
      <c r="A2278" s="2"/>
      <c r="D2278" s="2"/>
      <c r="E2278" s="2"/>
      <c r="F2278" s="2"/>
      <c r="G2278" s="2"/>
      <c r="H2278" s="2"/>
      <c r="I2278" s="2"/>
      <c r="J2278" s="2"/>
    </row>
    <row r="2279">
      <c r="A2279" s="2"/>
      <c r="D2279" s="2"/>
      <c r="E2279" s="2"/>
      <c r="F2279" s="2"/>
      <c r="G2279" s="2"/>
      <c r="H2279" s="2"/>
      <c r="I2279" s="2"/>
      <c r="J2279" s="2"/>
    </row>
    <row r="2280">
      <c r="A2280" s="2"/>
      <c r="D2280" s="2"/>
      <c r="E2280" s="2"/>
      <c r="F2280" s="2"/>
      <c r="G2280" s="2"/>
      <c r="H2280" s="2"/>
      <c r="I2280" s="2"/>
      <c r="J2280" s="2"/>
    </row>
    <row r="2281">
      <c r="A2281" s="2"/>
      <c r="D2281" s="2"/>
      <c r="E2281" s="2"/>
      <c r="F2281" s="2"/>
      <c r="G2281" s="2"/>
      <c r="H2281" s="2"/>
      <c r="I2281" s="2"/>
      <c r="J2281" s="2"/>
    </row>
    <row r="2282">
      <c r="A2282" s="2"/>
      <c r="D2282" s="2"/>
      <c r="E2282" s="2"/>
      <c r="F2282" s="2"/>
      <c r="G2282" s="2"/>
      <c r="H2282" s="2"/>
      <c r="I2282" s="2"/>
      <c r="J2282" s="2"/>
    </row>
    <row r="2283">
      <c r="A2283" s="2"/>
      <c r="D2283" s="2"/>
      <c r="E2283" s="2"/>
      <c r="F2283" s="2"/>
      <c r="G2283" s="2"/>
      <c r="H2283" s="2"/>
      <c r="I2283" s="2"/>
      <c r="J2283" s="2"/>
    </row>
    <row r="2284">
      <c r="A2284" s="2"/>
      <c r="D2284" s="2"/>
      <c r="E2284" s="2"/>
      <c r="F2284" s="2"/>
      <c r="G2284" s="2"/>
      <c r="H2284" s="2"/>
      <c r="I2284" s="2"/>
      <c r="J2284" s="2"/>
    </row>
    <row r="2285">
      <c r="A2285" s="2"/>
      <c r="D2285" s="2"/>
      <c r="E2285" s="2"/>
      <c r="F2285" s="2"/>
      <c r="G2285" s="2"/>
      <c r="H2285" s="2"/>
      <c r="I2285" s="2"/>
      <c r="J2285" s="2"/>
    </row>
    <row r="2286">
      <c r="A2286" s="2"/>
      <c r="D2286" s="2"/>
      <c r="E2286" s="2"/>
      <c r="F2286" s="2"/>
      <c r="G2286" s="2"/>
      <c r="H2286" s="2"/>
      <c r="I2286" s="2"/>
      <c r="J2286" s="2"/>
    </row>
    <row r="2287">
      <c r="A2287" s="2"/>
      <c r="D2287" s="2"/>
      <c r="E2287" s="2"/>
      <c r="F2287" s="2"/>
      <c r="G2287" s="2"/>
      <c r="H2287" s="2"/>
      <c r="I2287" s="2"/>
      <c r="J2287" s="2"/>
    </row>
    <row r="2288">
      <c r="A2288" s="2"/>
      <c r="D2288" s="2"/>
      <c r="E2288" s="2"/>
      <c r="F2288" s="2"/>
      <c r="G2288" s="2"/>
      <c r="H2288" s="2"/>
      <c r="I2288" s="2"/>
      <c r="J2288" s="2"/>
    </row>
    <row r="2289">
      <c r="A2289" s="2"/>
      <c r="D2289" s="2"/>
      <c r="E2289" s="2"/>
      <c r="F2289" s="2"/>
      <c r="G2289" s="2"/>
      <c r="H2289" s="2"/>
      <c r="I2289" s="2"/>
      <c r="J2289" s="2"/>
    </row>
    <row r="2290">
      <c r="A2290" s="2"/>
      <c r="D2290" s="2"/>
      <c r="E2290" s="2"/>
      <c r="F2290" s="2"/>
      <c r="G2290" s="2"/>
      <c r="H2290" s="2"/>
      <c r="I2290" s="2"/>
      <c r="J2290" s="2"/>
    </row>
    <row r="2291">
      <c r="A2291" s="2"/>
      <c r="D2291" s="2"/>
      <c r="E2291" s="2"/>
      <c r="F2291" s="2"/>
      <c r="G2291" s="2"/>
      <c r="H2291" s="2"/>
      <c r="I2291" s="2"/>
      <c r="J2291" s="2"/>
    </row>
    <row r="2292">
      <c r="A2292" s="2"/>
      <c r="D2292" s="2"/>
      <c r="E2292" s="2"/>
      <c r="F2292" s="2"/>
      <c r="G2292" s="2"/>
      <c r="H2292" s="2"/>
      <c r="I2292" s="2"/>
      <c r="J2292" s="2"/>
    </row>
    <row r="2293">
      <c r="A2293" s="2"/>
      <c r="D2293" s="2"/>
      <c r="E2293" s="2"/>
      <c r="F2293" s="2"/>
      <c r="G2293" s="2"/>
      <c r="H2293" s="2"/>
      <c r="I2293" s="2"/>
      <c r="J2293" s="2"/>
    </row>
    <row r="2294">
      <c r="A2294" s="2"/>
      <c r="D2294" s="2"/>
      <c r="E2294" s="2"/>
      <c r="F2294" s="2"/>
      <c r="G2294" s="2"/>
      <c r="H2294" s="2"/>
      <c r="I2294" s="2"/>
      <c r="J2294" s="2"/>
    </row>
    <row r="2295">
      <c r="A2295" s="2"/>
      <c r="D2295" s="2"/>
      <c r="E2295" s="2"/>
      <c r="F2295" s="2"/>
      <c r="G2295" s="2"/>
      <c r="H2295" s="2"/>
      <c r="I2295" s="2"/>
      <c r="J2295" s="2"/>
    </row>
    <row r="2296">
      <c r="A2296" s="2"/>
      <c r="D2296" s="2"/>
      <c r="E2296" s="2"/>
      <c r="F2296" s="2"/>
      <c r="G2296" s="2"/>
      <c r="H2296" s="2"/>
      <c r="I2296" s="2"/>
      <c r="J2296" s="2"/>
    </row>
    <row r="2297">
      <c r="A2297" s="2"/>
      <c r="D2297" s="2"/>
      <c r="E2297" s="2"/>
      <c r="F2297" s="2"/>
      <c r="G2297" s="2"/>
      <c r="H2297" s="2"/>
      <c r="I2297" s="2"/>
      <c r="J2297" s="2"/>
    </row>
    <row r="2298">
      <c r="A2298" s="2"/>
      <c r="D2298" s="2"/>
      <c r="E2298" s="2"/>
      <c r="F2298" s="2"/>
      <c r="G2298" s="2"/>
      <c r="H2298" s="2"/>
      <c r="I2298" s="2"/>
      <c r="J2298" s="2"/>
    </row>
    <row r="2299">
      <c r="A2299" s="2"/>
      <c r="D2299" s="2"/>
      <c r="E2299" s="2"/>
      <c r="F2299" s="2"/>
      <c r="G2299" s="2"/>
      <c r="H2299" s="2"/>
      <c r="I2299" s="2"/>
      <c r="J2299" s="2"/>
    </row>
    <row r="2300">
      <c r="A2300" s="2"/>
      <c r="D2300" s="2"/>
      <c r="E2300" s="2"/>
      <c r="F2300" s="2"/>
      <c r="G2300" s="2"/>
      <c r="H2300" s="2"/>
      <c r="I2300" s="2"/>
      <c r="J2300" s="2"/>
    </row>
    <row r="2301">
      <c r="A2301" s="2"/>
      <c r="D2301" s="2"/>
      <c r="E2301" s="2"/>
      <c r="F2301" s="2"/>
      <c r="G2301" s="2"/>
      <c r="H2301" s="2"/>
      <c r="I2301" s="2"/>
      <c r="J2301" s="2"/>
    </row>
    <row r="2302">
      <c r="A2302" s="2"/>
      <c r="D2302" s="2"/>
      <c r="E2302" s="2"/>
      <c r="F2302" s="2"/>
      <c r="G2302" s="2"/>
      <c r="H2302" s="2"/>
      <c r="I2302" s="2"/>
      <c r="J2302" s="2"/>
    </row>
    <row r="2303">
      <c r="A2303" s="2"/>
      <c r="D2303" s="2"/>
      <c r="E2303" s="2"/>
      <c r="F2303" s="2"/>
      <c r="G2303" s="2"/>
      <c r="H2303" s="2"/>
      <c r="I2303" s="2"/>
      <c r="J2303" s="2"/>
    </row>
    <row r="2304">
      <c r="A2304" s="2"/>
      <c r="D2304" s="2"/>
      <c r="E2304" s="2"/>
      <c r="F2304" s="2"/>
      <c r="G2304" s="2"/>
      <c r="H2304" s="2"/>
      <c r="I2304" s="2"/>
      <c r="J2304" s="2"/>
    </row>
    <row r="2305">
      <c r="A2305" s="2"/>
      <c r="D2305" s="2"/>
      <c r="E2305" s="2"/>
      <c r="F2305" s="2"/>
      <c r="G2305" s="2"/>
      <c r="H2305" s="2"/>
      <c r="I2305" s="2"/>
      <c r="J2305" s="2"/>
    </row>
    <row r="2306">
      <c r="A2306" s="2"/>
      <c r="D2306" s="2"/>
      <c r="E2306" s="2"/>
      <c r="F2306" s="2"/>
      <c r="G2306" s="2"/>
      <c r="H2306" s="2"/>
      <c r="I2306" s="2"/>
      <c r="J2306" s="2"/>
    </row>
    <row r="2307">
      <c r="A2307" s="2"/>
      <c r="D2307" s="2"/>
      <c r="E2307" s="2"/>
      <c r="F2307" s="2"/>
      <c r="G2307" s="2"/>
      <c r="H2307" s="2"/>
      <c r="I2307" s="2"/>
      <c r="J2307" s="2"/>
    </row>
    <row r="2308">
      <c r="A2308" s="2"/>
      <c r="D2308" s="2"/>
      <c r="E2308" s="2"/>
      <c r="F2308" s="2"/>
      <c r="G2308" s="2"/>
      <c r="H2308" s="2"/>
      <c r="I2308" s="2"/>
      <c r="J2308" s="2"/>
    </row>
    <row r="2309">
      <c r="A2309" s="2"/>
      <c r="D2309" s="2"/>
      <c r="E2309" s="2"/>
      <c r="F2309" s="2"/>
      <c r="G2309" s="2"/>
      <c r="H2309" s="2"/>
      <c r="I2309" s="2"/>
      <c r="J2309" s="2"/>
    </row>
    <row r="2310">
      <c r="A2310" s="2"/>
      <c r="D2310" s="2"/>
      <c r="E2310" s="2"/>
      <c r="F2310" s="2"/>
      <c r="G2310" s="2"/>
      <c r="H2310" s="2"/>
      <c r="I2310" s="2"/>
      <c r="J2310" s="2"/>
    </row>
    <row r="2311">
      <c r="A2311" s="2"/>
      <c r="D2311" s="2"/>
      <c r="E2311" s="2"/>
      <c r="F2311" s="2"/>
      <c r="G2311" s="2"/>
      <c r="H2311" s="2"/>
      <c r="I2311" s="2"/>
      <c r="J2311" s="2"/>
    </row>
    <row r="2312">
      <c r="A2312" s="2"/>
      <c r="D2312" s="2"/>
      <c r="E2312" s="2"/>
      <c r="F2312" s="2"/>
      <c r="G2312" s="2"/>
      <c r="H2312" s="2"/>
      <c r="I2312" s="2"/>
      <c r="J2312" s="2"/>
    </row>
    <row r="2313">
      <c r="A2313" s="2"/>
      <c r="D2313" s="2"/>
      <c r="E2313" s="2"/>
      <c r="F2313" s="2"/>
      <c r="G2313" s="2"/>
      <c r="H2313" s="2"/>
      <c r="I2313" s="2"/>
      <c r="J2313" s="2"/>
    </row>
    <row r="2314">
      <c r="A2314" s="2"/>
      <c r="D2314" s="2"/>
      <c r="E2314" s="2"/>
      <c r="F2314" s="2"/>
      <c r="G2314" s="2"/>
      <c r="H2314" s="2"/>
      <c r="I2314" s="2"/>
      <c r="J2314" s="2"/>
    </row>
    <row r="2315">
      <c r="A2315" s="2"/>
      <c r="D2315" s="2"/>
      <c r="E2315" s="2"/>
      <c r="F2315" s="2"/>
      <c r="G2315" s="2"/>
      <c r="H2315" s="2"/>
      <c r="I2315" s="2"/>
      <c r="J2315" s="2"/>
    </row>
    <row r="2316">
      <c r="A2316" s="2"/>
      <c r="D2316" s="2"/>
      <c r="E2316" s="2"/>
      <c r="F2316" s="2"/>
      <c r="G2316" s="2"/>
      <c r="H2316" s="2"/>
      <c r="I2316" s="2"/>
      <c r="J2316" s="2"/>
    </row>
    <row r="2317">
      <c r="A2317" s="2"/>
      <c r="D2317" s="2"/>
      <c r="E2317" s="2"/>
      <c r="F2317" s="2"/>
      <c r="G2317" s="2"/>
      <c r="H2317" s="2"/>
      <c r="I2317" s="2"/>
      <c r="J2317" s="2"/>
    </row>
    <row r="2318">
      <c r="A2318" s="2"/>
      <c r="D2318" s="2"/>
      <c r="E2318" s="2"/>
      <c r="F2318" s="2"/>
      <c r="G2318" s="2"/>
      <c r="H2318" s="2"/>
      <c r="I2318" s="2"/>
      <c r="J2318" s="2"/>
    </row>
    <row r="2319">
      <c r="A2319" s="2"/>
      <c r="D2319" s="2"/>
      <c r="E2319" s="2"/>
      <c r="F2319" s="2"/>
      <c r="G2319" s="2"/>
      <c r="H2319" s="2"/>
      <c r="I2319" s="2"/>
      <c r="J2319" s="2"/>
    </row>
    <row r="2320">
      <c r="A2320" s="2"/>
      <c r="D2320" s="2"/>
      <c r="E2320" s="2"/>
      <c r="F2320" s="2"/>
      <c r="G2320" s="2"/>
      <c r="H2320" s="2"/>
      <c r="I2320" s="2"/>
      <c r="J2320" s="2"/>
    </row>
    <row r="2321">
      <c r="A2321" s="2"/>
      <c r="D2321" s="2"/>
      <c r="E2321" s="2"/>
      <c r="F2321" s="2"/>
      <c r="G2321" s="2"/>
      <c r="H2321" s="2"/>
      <c r="I2321" s="2"/>
      <c r="J2321" s="2"/>
    </row>
    <row r="2322">
      <c r="A2322" s="2"/>
      <c r="D2322" s="2"/>
      <c r="E2322" s="2"/>
      <c r="F2322" s="2"/>
      <c r="G2322" s="2"/>
      <c r="H2322" s="2"/>
      <c r="I2322" s="2"/>
      <c r="J2322" s="2"/>
    </row>
    <row r="2323">
      <c r="A2323" s="2"/>
      <c r="D2323" s="2"/>
      <c r="E2323" s="2"/>
      <c r="F2323" s="2"/>
      <c r="G2323" s="2"/>
      <c r="H2323" s="2"/>
      <c r="I2323" s="2"/>
      <c r="J2323" s="2"/>
    </row>
    <row r="2324">
      <c r="A2324" s="2"/>
      <c r="D2324" s="2"/>
      <c r="E2324" s="2"/>
      <c r="F2324" s="2"/>
      <c r="G2324" s="2"/>
      <c r="H2324" s="2"/>
      <c r="I2324" s="2"/>
      <c r="J2324" s="2"/>
    </row>
    <row r="2325">
      <c r="A2325" s="2"/>
      <c r="D2325" s="2"/>
      <c r="E2325" s="2"/>
      <c r="F2325" s="2"/>
      <c r="G2325" s="2"/>
      <c r="H2325" s="2"/>
      <c r="I2325" s="2"/>
      <c r="J2325" s="2"/>
    </row>
    <row r="2326">
      <c r="A2326" s="2"/>
      <c r="D2326" s="2"/>
      <c r="E2326" s="2"/>
      <c r="F2326" s="2"/>
      <c r="G2326" s="2"/>
      <c r="H2326" s="2"/>
      <c r="I2326" s="2"/>
      <c r="J2326" s="2"/>
    </row>
    <row r="2327">
      <c r="A2327" s="2"/>
      <c r="D2327" s="2"/>
      <c r="E2327" s="2"/>
      <c r="F2327" s="2"/>
      <c r="G2327" s="2"/>
      <c r="H2327" s="2"/>
      <c r="I2327" s="2"/>
      <c r="J2327" s="2"/>
    </row>
    <row r="2328">
      <c r="A2328" s="2"/>
      <c r="D2328" s="2"/>
      <c r="E2328" s="2"/>
      <c r="F2328" s="2"/>
      <c r="G2328" s="2"/>
      <c r="H2328" s="2"/>
      <c r="I2328" s="2"/>
      <c r="J2328" s="2"/>
    </row>
    <row r="2329">
      <c r="A2329" s="2"/>
      <c r="D2329" s="2"/>
      <c r="E2329" s="2"/>
      <c r="F2329" s="2"/>
      <c r="G2329" s="2"/>
      <c r="H2329" s="2"/>
      <c r="I2329" s="2"/>
      <c r="J2329" s="2"/>
    </row>
    <row r="2330">
      <c r="A2330" s="2"/>
      <c r="D2330" s="2"/>
      <c r="E2330" s="2"/>
      <c r="F2330" s="2"/>
      <c r="G2330" s="2"/>
      <c r="H2330" s="2"/>
      <c r="I2330" s="2"/>
      <c r="J2330" s="2"/>
    </row>
    <row r="2331">
      <c r="A2331" s="2"/>
      <c r="D2331" s="2"/>
      <c r="E2331" s="2"/>
      <c r="F2331" s="2"/>
      <c r="G2331" s="2"/>
      <c r="H2331" s="2"/>
      <c r="I2331" s="2"/>
      <c r="J2331" s="2"/>
    </row>
    <row r="2332">
      <c r="A2332" s="2"/>
      <c r="D2332" s="2"/>
      <c r="E2332" s="2"/>
      <c r="F2332" s="2"/>
      <c r="G2332" s="2"/>
      <c r="H2332" s="2"/>
      <c r="I2332" s="2"/>
      <c r="J2332" s="2"/>
    </row>
    <row r="2333">
      <c r="A2333" s="2"/>
      <c r="D2333" s="2"/>
      <c r="E2333" s="2"/>
      <c r="F2333" s="2"/>
      <c r="G2333" s="2"/>
      <c r="H2333" s="2"/>
      <c r="I2333" s="2"/>
      <c r="J2333" s="2"/>
    </row>
    <row r="2334">
      <c r="A2334" s="2"/>
      <c r="D2334" s="2"/>
      <c r="E2334" s="2"/>
      <c r="F2334" s="2"/>
      <c r="G2334" s="2"/>
      <c r="H2334" s="2"/>
      <c r="I2334" s="2"/>
      <c r="J2334" s="2"/>
    </row>
    <row r="2335">
      <c r="A2335" s="2"/>
      <c r="D2335" s="2"/>
      <c r="E2335" s="2"/>
      <c r="F2335" s="2"/>
      <c r="G2335" s="2"/>
      <c r="H2335" s="2"/>
      <c r="I2335" s="2"/>
      <c r="J2335" s="2"/>
    </row>
    <row r="2336">
      <c r="A2336" s="2"/>
      <c r="D2336" s="2"/>
      <c r="E2336" s="2"/>
      <c r="F2336" s="2"/>
      <c r="G2336" s="2"/>
      <c r="H2336" s="2"/>
      <c r="I2336" s="2"/>
      <c r="J2336" s="2"/>
    </row>
    <row r="2337">
      <c r="A2337" s="2"/>
      <c r="D2337" s="2"/>
      <c r="E2337" s="2"/>
      <c r="F2337" s="2"/>
      <c r="G2337" s="2"/>
      <c r="H2337" s="2"/>
      <c r="I2337" s="2"/>
      <c r="J2337" s="2"/>
    </row>
    <row r="2338">
      <c r="A2338" s="2"/>
      <c r="D2338" s="2"/>
      <c r="E2338" s="2"/>
      <c r="F2338" s="2"/>
      <c r="G2338" s="2"/>
      <c r="H2338" s="2"/>
      <c r="I2338" s="2"/>
      <c r="J2338" s="2"/>
    </row>
    <row r="2339">
      <c r="A2339" s="2"/>
      <c r="D2339" s="2"/>
      <c r="E2339" s="2"/>
      <c r="F2339" s="2"/>
      <c r="G2339" s="2"/>
      <c r="H2339" s="2"/>
      <c r="I2339" s="2"/>
      <c r="J2339" s="2"/>
    </row>
    <row r="2340">
      <c r="A2340" s="2"/>
      <c r="D2340" s="2"/>
      <c r="E2340" s="2"/>
      <c r="F2340" s="2"/>
      <c r="G2340" s="2"/>
      <c r="H2340" s="2"/>
      <c r="I2340" s="2"/>
      <c r="J2340" s="2"/>
    </row>
    <row r="2341">
      <c r="A2341" s="2"/>
      <c r="D2341" s="2"/>
      <c r="E2341" s="2"/>
      <c r="F2341" s="2"/>
      <c r="G2341" s="2"/>
      <c r="H2341" s="2"/>
      <c r="I2341" s="2"/>
      <c r="J2341" s="2"/>
    </row>
    <row r="2342">
      <c r="A2342" s="2"/>
      <c r="D2342" s="2"/>
      <c r="E2342" s="2"/>
      <c r="F2342" s="2"/>
      <c r="G2342" s="2"/>
      <c r="H2342" s="2"/>
      <c r="I2342" s="2"/>
      <c r="J2342" s="2"/>
    </row>
    <row r="2343">
      <c r="A2343" s="2"/>
      <c r="D2343" s="2"/>
      <c r="E2343" s="2"/>
      <c r="F2343" s="2"/>
      <c r="G2343" s="2"/>
      <c r="H2343" s="2"/>
      <c r="I2343" s="2"/>
      <c r="J2343" s="2"/>
    </row>
    <row r="2344">
      <c r="A2344" s="2"/>
      <c r="D2344" s="2"/>
      <c r="E2344" s="2"/>
      <c r="F2344" s="2"/>
      <c r="G2344" s="2"/>
      <c r="H2344" s="2"/>
      <c r="I2344" s="2"/>
      <c r="J2344" s="2"/>
    </row>
    <row r="2345">
      <c r="A2345" s="2"/>
      <c r="D2345" s="2"/>
      <c r="E2345" s="2"/>
      <c r="F2345" s="2"/>
      <c r="G2345" s="2"/>
      <c r="H2345" s="2"/>
      <c r="I2345" s="2"/>
      <c r="J2345" s="2"/>
    </row>
    <row r="2346">
      <c r="A2346" s="2"/>
      <c r="D2346" s="2"/>
      <c r="E2346" s="2"/>
      <c r="F2346" s="2"/>
      <c r="G2346" s="2"/>
      <c r="H2346" s="2"/>
      <c r="I2346" s="2"/>
      <c r="J2346" s="2"/>
    </row>
    <row r="2347">
      <c r="A2347" s="2"/>
      <c r="D2347" s="2"/>
      <c r="E2347" s="2"/>
      <c r="F2347" s="2"/>
      <c r="G2347" s="2"/>
      <c r="H2347" s="2"/>
      <c r="I2347" s="2"/>
      <c r="J2347" s="2"/>
    </row>
    <row r="2348">
      <c r="A2348" s="2"/>
      <c r="D2348" s="2"/>
      <c r="E2348" s="2"/>
      <c r="F2348" s="2"/>
      <c r="G2348" s="2"/>
      <c r="H2348" s="2"/>
      <c r="I2348" s="2"/>
      <c r="J2348" s="2"/>
    </row>
    <row r="2349">
      <c r="A2349" s="2"/>
      <c r="D2349" s="2"/>
      <c r="E2349" s="2"/>
      <c r="F2349" s="2"/>
      <c r="G2349" s="2"/>
      <c r="H2349" s="2"/>
      <c r="I2349" s="2"/>
      <c r="J2349" s="2"/>
    </row>
    <row r="2350">
      <c r="A2350" s="2"/>
      <c r="D2350" s="2"/>
      <c r="E2350" s="2"/>
      <c r="F2350" s="2"/>
      <c r="G2350" s="2"/>
      <c r="H2350" s="2"/>
      <c r="I2350" s="2"/>
      <c r="J2350" s="2"/>
    </row>
    <row r="2351">
      <c r="A2351" s="2"/>
      <c r="D2351" s="2"/>
      <c r="E2351" s="2"/>
      <c r="F2351" s="2"/>
      <c r="G2351" s="2"/>
      <c r="H2351" s="2"/>
      <c r="I2351" s="2"/>
      <c r="J2351" s="2"/>
    </row>
    <row r="2352">
      <c r="A2352" s="2"/>
      <c r="D2352" s="2"/>
      <c r="E2352" s="2"/>
      <c r="F2352" s="2"/>
      <c r="G2352" s="2"/>
      <c r="H2352" s="2"/>
      <c r="I2352" s="2"/>
      <c r="J2352" s="2"/>
    </row>
    <row r="2353">
      <c r="A2353" s="2"/>
      <c r="D2353" s="2"/>
      <c r="E2353" s="2"/>
      <c r="F2353" s="2"/>
      <c r="G2353" s="2"/>
      <c r="H2353" s="2"/>
      <c r="I2353" s="2"/>
      <c r="J2353" s="2"/>
    </row>
    <row r="2354">
      <c r="A2354" s="2"/>
      <c r="D2354" s="2"/>
      <c r="E2354" s="2"/>
      <c r="F2354" s="2"/>
      <c r="G2354" s="2"/>
      <c r="H2354" s="2"/>
      <c r="I2354" s="2"/>
      <c r="J2354" s="2"/>
    </row>
    <row r="2355">
      <c r="A2355" s="2"/>
      <c r="D2355" s="2"/>
      <c r="E2355" s="2"/>
      <c r="F2355" s="2"/>
      <c r="G2355" s="2"/>
      <c r="H2355" s="2"/>
      <c r="I2355" s="2"/>
      <c r="J2355" s="2"/>
    </row>
    <row r="2356">
      <c r="A2356" s="2"/>
      <c r="D2356" s="2"/>
      <c r="E2356" s="2"/>
      <c r="F2356" s="2"/>
      <c r="G2356" s="2"/>
      <c r="H2356" s="2"/>
      <c r="I2356" s="2"/>
      <c r="J2356" s="2"/>
    </row>
    <row r="2357">
      <c r="A2357" s="2"/>
      <c r="D2357" s="2"/>
      <c r="E2357" s="2"/>
      <c r="F2357" s="2"/>
      <c r="G2357" s="2"/>
      <c r="H2357" s="2"/>
      <c r="I2357" s="2"/>
      <c r="J2357" s="2"/>
    </row>
    <row r="2358">
      <c r="A2358" s="2"/>
      <c r="D2358" s="2"/>
      <c r="E2358" s="2"/>
      <c r="F2358" s="2"/>
      <c r="G2358" s="2"/>
      <c r="H2358" s="2"/>
      <c r="I2358" s="2"/>
      <c r="J2358" s="2"/>
    </row>
    <row r="2359">
      <c r="A2359" s="2"/>
      <c r="D2359" s="2"/>
      <c r="E2359" s="2"/>
      <c r="F2359" s="2"/>
      <c r="G2359" s="2"/>
      <c r="H2359" s="2"/>
      <c r="I2359" s="2"/>
      <c r="J2359" s="2"/>
    </row>
    <row r="2360">
      <c r="A2360" s="2"/>
      <c r="D2360" s="2"/>
      <c r="E2360" s="2"/>
      <c r="F2360" s="2"/>
      <c r="G2360" s="2"/>
      <c r="H2360" s="2"/>
      <c r="I2360" s="2"/>
      <c r="J2360" s="2"/>
    </row>
    <row r="2361">
      <c r="A2361" s="2"/>
      <c r="D2361" s="2"/>
      <c r="E2361" s="2"/>
      <c r="F2361" s="2"/>
      <c r="G2361" s="2"/>
      <c r="H2361" s="2"/>
      <c r="I2361" s="2"/>
      <c r="J2361" s="2"/>
    </row>
    <row r="2362">
      <c r="A2362" s="2"/>
      <c r="D2362" s="2"/>
      <c r="E2362" s="2"/>
      <c r="F2362" s="2"/>
      <c r="G2362" s="2"/>
      <c r="H2362" s="2"/>
      <c r="I2362" s="2"/>
      <c r="J2362" s="2"/>
    </row>
    <row r="2363">
      <c r="A2363" s="2"/>
      <c r="D2363" s="2"/>
      <c r="E2363" s="2"/>
      <c r="F2363" s="2"/>
      <c r="G2363" s="2"/>
      <c r="H2363" s="2"/>
      <c r="I2363" s="2"/>
      <c r="J2363" s="2"/>
    </row>
    <row r="2364">
      <c r="A2364" s="2"/>
      <c r="D2364" s="2"/>
      <c r="E2364" s="2"/>
      <c r="F2364" s="2"/>
      <c r="G2364" s="2"/>
      <c r="H2364" s="2"/>
      <c r="I2364" s="2"/>
      <c r="J2364" s="2"/>
    </row>
    <row r="2365">
      <c r="A2365" s="2"/>
      <c r="D2365" s="2"/>
      <c r="E2365" s="2"/>
      <c r="F2365" s="2"/>
      <c r="G2365" s="2"/>
      <c r="H2365" s="2"/>
      <c r="I2365" s="2"/>
      <c r="J2365" s="2"/>
    </row>
    <row r="2366">
      <c r="A2366" s="2"/>
      <c r="D2366" s="2"/>
      <c r="E2366" s="2"/>
      <c r="F2366" s="2"/>
      <c r="G2366" s="2"/>
      <c r="H2366" s="2"/>
      <c r="I2366" s="2"/>
      <c r="J2366" s="2"/>
    </row>
    <row r="2367">
      <c r="A2367" s="2"/>
      <c r="D2367" s="2"/>
      <c r="E2367" s="2"/>
      <c r="F2367" s="2"/>
      <c r="G2367" s="2"/>
      <c r="H2367" s="2"/>
      <c r="I2367" s="2"/>
      <c r="J2367" s="2"/>
    </row>
    <row r="2368">
      <c r="A2368" s="2"/>
      <c r="D2368" s="2"/>
      <c r="E2368" s="2"/>
      <c r="F2368" s="2"/>
      <c r="G2368" s="2"/>
      <c r="H2368" s="2"/>
      <c r="I2368" s="2"/>
      <c r="J2368" s="2"/>
    </row>
    <row r="2369">
      <c r="A2369" s="2"/>
      <c r="D2369" s="2"/>
      <c r="E2369" s="2"/>
      <c r="F2369" s="2"/>
      <c r="G2369" s="2"/>
      <c r="H2369" s="2"/>
      <c r="I2369" s="2"/>
      <c r="J2369" s="2"/>
    </row>
    <row r="2370">
      <c r="A2370" s="2"/>
      <c r="D2370" s="2"/>
      <c r="E2370" s="2"/>
      <c r="F2370" s="2"/>
      <c r="G2370" s="2"/>
      <c r="H2370" s="2"/>
      <c r="I2370" s="2"/>
      <c r="J2370" s="2"/>
    </row>
    <row r="2371">
      <c r="A2371" s="2"/>
      <c r="D2371" s="2"/>
      <c r="E2371" s="2"/>
      <c r="F2371" s="2"/>
      <c r="G2371" s="2"/>
      <c r="H2371" s="2"/>
      <c r="I2371" s="2"/>
      <c r="J2371" s="2"/>
    </row>
    <row r="2372">
      <c r="A2372" s="2"/>
      <c r="D2372" s="2"/>
      <c r="E2372" s="2"/>
      <c r="F2372" s="2"/>
      <c r="G2372" s="2"/>
      <c r="H2372" s="2"/>
      <c r="I2372" s="2"/>
      <c r="J2372" s="2"/>
    </row>
    <row r="2373">
      <c r="A2373" s="2"/>
      <c r="D2373" s="2"/>
      <c r="E2373" s="2"/>
      <c r="F2373" s="2"/>
      <c r="G2373" s="2"/>
      <c r="H2373" s="2"/>
      <c r="I2373" s="2"/>
      <c r="J2373" s="2"/>
    </row>
    <row r="2374">
      <c r="A2374" s="2"/>
      <c r="D2374" s="2"/>
      <c r="E2374" s="2"/>
      <c r="F2374" s="2"/>
      <c r="G2374" s="2"/>
      <c r="H2374" s="2"/>
      <c r="I2374" s="2"/>
      <c r="J2374" s="2"/>
    </row>
    <row r="2375">
      <c r="A2375" s="2"/>
      <c r="D2375" s="2"/>
      <c r="E2375" s="2"/>
      <c r="F2375" s="2"/>
      <c r="G2375" s="2"/>
      <c r="H2375" s="2"/>
      <c r="I2375" s="2"/>
      <c r="J2375" s="2"/>
    </row>
    <row r="2376">
      <c r="A2376" s="2"/>
      <c r="D2376" s="2"/>
      <c r="E2376" s="2"/>
      <c r="F2376" s="2"/>
      <c r="G2376" s="2"/>
      <c r="H2376" s="2"/>
      <c r="I2376" s="2"/>
      <c r="J2376" s="2"/>
    </row>
    <row r="2377">
      <c r="A2377" s="2"/>
      <c r="D2377" s="2"/>
      <c r="E2377" s="2"/>
      <c r="F2377" s="2"/>
      <c r="G2377" s="2"/>
      <c r="H2377" s="2"/>
      <c r="I2377" s="2"/>
      <c r="J2377" s="2"/>
    </row>
    <row r="2378">
      <c r="A2378" s="2"/>
      <c r="D2378" s="2"/>
      <c r="E2378" s="2"/>
      <c r="F2378" s="2"/>
      <c r="G2378" s="2"/>
      <c r="H2378" s="2"/>
      <c r="I2378" s="2"/>
      <c r="J2378" s="2"/>
    </row>
    <row r="2379">
      <c r="A2379" s="2"/>
      <c r="D2379" s="2"/>
      <c r="E2379" s="2"/>
      <c r="F2379" s="2"/>
      <c r="G2379" s="2"/>
      <c r="H2379" s="2"/>
      <c r="I2379" s="2"/>
      <c r="J2379" s="2"/>
    </row>
    <row r="2380">
      <c r="A2380" s="2"/>
      <c r="D2380" s="2"/>
      <c r="E2380" s="2"/>
      <c r="F2380" s="2"/>
      <c r="G2380" s="2"/>
      <c r="H2380" s="2"/>
      <c r="I2380" s="2"/>
      <c r="J2380" s="2"/>
    </row>
    <row r="2381">
      <c r="A2381" s="2"/>
      <c r="D2381" s="2"/>
      <c r="E2381" s="2"/>
      <c r="F2381" s="2"/>
      <c r="G2381" s="2"/>
      <c r="H2381" s="2"/>
      <c r="I2381" s="2"/>
      <c r="J2381" s="2"/>
    </row>
    <row r="2382">
      <c r="A2382" s="2"/>
      <c r="D2382" s="2"/>
      <c r="E2382" s="2"/>
      <c r="F2382" s="2"/>
      <c r="G2382" s="2"/>
      <c r="H2382" s="2"/>
      <c r="I2382" s="2"/>
      <c r="J2382" s="2"/>
    </row>
    <row r="2383">
      <c r="A2383" s="2"/>
      <c r="D2383" s="2"/>
      <c r="E2383" s="2"/>
      <c r="F2383" s="2"/>
      <c r="G2383" s="2"/>
      <c r="H2383" s="2"/>
      <c r="I2383" s="2"/>
      <c r="J2383" s="2"/>
    </row>
    <row r="2384">
      <c r="A2384" s="2"/>
      <c r="D2384" s="2"/>
      <c r="E2384" s="2"/>
      <c r="F2384" s="2"/>
      <c r="G2384" s="2"/>
      <c r="H2384" s="2"/>
      <c r="I2384" s="2"/>
      <c r="J2384" s="2"/>
    </row>
    <row r="2385">
      <c r="A2385" s="2"/>
      <c r="D2385" s="2"/>
      <c r="E2385" s="2"/>
      <c r="F2385" s="2"/>
      <c r="G2385" s="2"/>
      <c r="H2385" s="2"/>
      <c r="I2385" s="2"/>
      <c r="J2385" s="2"/>
    </row>
    <row r="2386">
      <c r="A2386" s="2"/>
      <c r="D2386" s="2"/>
      <c r="E2386" s="2"/>
      <c r="F2386" s="2"/>
      <c r="G2386" s="2"/>
      <c r="H2386" s="2"/>
      <c r="I2386" s="2"/>
      <c r="J2386" s="2"/>
    </row>
    <row r="2387">
      <c r="A2387" s="2"/>
      <c r="D2387" s="2"/>
      <c r="E2387" s="2"/>
      <c r="F2387" s="2"/>
      <c r="G2387" s="2"/>
      <c r="H2387" s="2"/>
      <c r="I2387" s="2"/>
      <c r="J2387" s="2"/>
    </row>
    <row r="2388">
      <c r="A2388" s="2"/>
      <c r="D2388" s="2"/>
      <c r="E2388" s="2"/>
      <c r="F2388" s="2"/>
      <c r="G2388" s="2"/>
      <c r="H2388" s="2"/>
      <c r="I2388" s="2"/>
      <c r="J2388" s="2"/>
    </row>
    <row r="2389">
      <c r="A2389" s="2"/>
      <c r="D2389" s="2"/>
      <c r="E2389" s="2"/>
      <c r="F2389" s="2"/>
      <c r="G2389" s="2"/>
      <c r="H2389" s="2"/>
      <c r="I2389" s="2"/>
      <c r="J2389" s="2"/>
    </row>
    <row r="2390">
      <c r="A2390" s="2"/>
      <c r="D2390" s="2"/>
      <c r="E2390" s="2"/>
      <c r="F2390" s="2"/>
      <c r="G2390" s="2"/>
      <c r="H2390" s="2"/>
      <c r="I2390" s="2"/>
      <c r="J2390" s="2"/>
    </row>
    <row r="2391">
      <c r="A2391" s="2"/>
      <c r="D2391" s="2"/>
      <c r="E2391" s="2"/>
      <c r="F2391" s="2"/>
      <c r="G2391" s="2"/>
      <c r="H2391" s="2"/>
      <c r="I2391" s="2"/>
      <c r="J2391" s="2"/>
    </row>
    <row r="2392">
      <c r="A2392" s="2"/>
      <c r="D2392" s="2"/>
      <c r="E2392" s="2"/>
      <c r="F2392" s="2"/>
      <c r="G2392" s="2"/>
      <c r="H2392" s="2"/>
      <c r="I2392" s="2"/>
      <c r="J2392" s="2"/>
    </row>
    <row r="2393">
      <c r="A2393" s="2"/>
      <c r="D2393" s="2"/>
      <c r="E2393" s="2"/>
      <c r="F2393" s="2"/>
      <c r="G2393" s="2"/>
      <c r="H2393" s="2"/>
      <c r="I2393" s="2"/>
      <c r="J2393" s="2"/>
    </row>
    <row r="2394">
      <c r="A2394" s="2"/>
      <c r="D2394" s="2"/>
      <c r="E2394" s="2"/>
      <c r="F2394" s="2"/>
      <c r="G2394" s="2"/>
      <c r="H2394" s="2"/>
      <c r="I2394" s="2"/>
      <c r="J2394" s="2"/>
    </row>
    <row r="2395">
      <c r="A2395" s="2"/>
      <c r="D2395" s="2"/>
      <c r="E2395" s="2"/>
      <c r="F2395" s="2"/>
      <c r="G2395" s="2"/>
      <c r="H2395" s="2"/>
      <c r="I2395" s="2"/>
      <c r="J2395" s="2"/>
    </row>
    <row r="2396">
      <c r="A2396" s="2"/>
      <c r="D2396" s="2"/>
      <c r="E2396" s="2"/>
      <c r="F2396" s="2"/>
      <c r="G2396" s="2"/>
      <c r="H2396" s="2"/>
      <c r="I2396" s="2"/>
      <c r="J2396" s="2"/>
    </row>
    <row r="2397">
      <c r="A2397" s="2"/>
      <c r="D2397" s="2"/>
      <c r="E2397" s="2"/>
      <c r="F2397" s="2"/>
      <c r="G2397" s="2"/>
      <c r="H2397" s="2"/>
      <c r="I2397" s="2"/>
      <c r="J2397" s="2"/>
    </row>
    <row r="2398">
      <c r="A2398" s="2"/>
      <c r="D2398" s="2"/>
      <c r="E2398" s="2"/>
      <c r="F2398" s="2"/>
      <c r="G2398" s="2"/>
      <c r="H2398" s="2"/>
      <c r="I2398" s="2"/>
      <c r="J2398" s="2"/>
    </row>
    <row r="2399">
      <c r="A2399" s="2"/>
      <c r="D2399" s="2"/>
      <c r="E2399" s="2"/>
      <c r="F2399" s="2"/>
      <c r="G2399" s="2"/>
      <c r="H2399" s="2"/>
      <c r="I2399" s="2"/>
      <c r="J2399" s="2"/>
    </row>
    <row r="2400">
      <c r="A2400" s="2"/>
      <c r="D2400" s="2"/>
      <c r="E2400" s="2"/>
      <c r="F2400" s="2"/>
      <c r="G2400" s="2"/>
      <c r="H2400" s="2"/>
      <c r="I2400" s="2"/>
      <c r="J2400" s="2"/>
    </row>
    <row r="2401">
      <c r="A2401" s="2"/>
      <c r="D2401" s="2"/>
      <c r="E2401" s="2"/>
      <c r="F2401" s="2"/>
      <c r="G2401" s="2"/>
      <c r="H2401" s="2"/>
      <c r="I2401" s="2"/>
      <c r="J2401" s="2"/>
    </row>
    <row r="2402">
      <c r="A2402" s="2"/>
      <c r="D2402" s="2"/>
      <c r="E2402" s="2"/>
      <c r="F2402" s="2"/>
      <c r="G2402" s="2"/>
      <c r="H2402" s="2"/>
      <c r="I2402" s="2"/>
      <c r="J2402" s="2"/>
    </row>
    <row r="2403">
      <c r="A2403" s="2"/>
      <c r="D2403" s="2"/>
      <c r="E2403" s="2"/>
      <c r="F2403" s="2"/>
      <c r="G2403" s="2"/>
      <c r="H2403" s="2"/>
      <c r="I2403" s="2"/>
      <c r="J2403" s="2"/>
    </row>
    <row r="2404">
      <c r="A2404" s="2"/>
      <c r="D2404" s="2"/>
      <c r="E2404" s="2"/>
      <c r="F2404" s="2"/>
      <c r="G2404" s="2"/>
      <c r="H2404" s="2"/>
      <c r="I2404" s="2"/>
      <c r="J2404" s="2"/>
    </row>
    <row r="2405">
      <c r="A2405" s="2"/>
      <c r="D2405" s="2"/>
      <c r="E2405" s="2"/>
      <c r="F2405" s="2"/>
      <c r="G2405" s="2"/>
      <c r="H2405" s="2"/>
      <c r="I2405" s="2"/>
      <c r="J2405" s="2"/>
    </row>
    <row r="2406">
      <c r="A2406" s="2"/>
      <c r="D2406" s="2"/>
      <c r="E2406" s="2"/>
      <c r="F2406" s="2"/>
      <c r="G2406" s="2"/>
      <c r="H2406" s="2"/>
      <c r="I2406" s="2"/>
      <c r="J2406" s="2"/>
    </row>
    <row r="2407">
      <c r="A2407" s="2"/>
      <c r="D2407" s="2"/>
      <c r="E2407" s="2"/>
      <c r="F2407" s="2"/>
      <c r="G2407" s="2"/>
      <c r="H2407" s="2"/>
      <c r="I2407" s="2"/>
      <c r="J2407" s="2"/>
    </row>
    <row r="2408">
      <c r="A2408" s="2"/>
      <c r="D2408" s="2"/>
      <c r="E2408" s="2"/>
      <c r="F2408" s="2"/>
      <c r="G2408" s="2"/>
      <c r="H2408" s="2"/>
      <c r="I2408" s="2"/>
      <c r="J2408" s="2"/>
    </row>
    <row r="2409">
      <c r="A2409" s="2"/>
      <c r="D2409" s="2"/>
      <c r="E2409" s="2"/>
      <c r="F2409" s="2"/>
      <c r="G2409" s="2"/>
      <c r="H2409" s="2"/>
      <c r="I2409" s="2"/>
      <c r="J2409" s="2"/>
    </row>
    <row r="2410">
      <c r="A2410" s="2"/>
      <c r="D2410" s="2"/>
      <c r="E2410" s="2"/>
      <c r="F2410" s="2"/>
      <c r="G2410" s="2"/>
      <c r="H2410" s="2"/>
      <c r="I2410" s="2"/>
      <c r="J2410" s="2"/>
    </row>
    <row r="2411">
      <c r="A2411" s="2"/>
      <c r="D2411" s="2"/>
      <c r="E2411" s="2"/>
      <c r="F2411" s="2"/>
      <c r="G2411" s="2"/>
      <c r="H2411" s="2"/>
      <c r="I2411" s="2"/>
      <c r="J2411" s="2"/>
    </row>
    <row r="2412">
      <c r="A2412" s="2"/>
      <c r="D2412" s="2"/>
      <c r="E2412" s="2"/>
      <c r="F2412" s="2"/>
      <c r="G2412" s="2"/>
      <c r="H2412" s="2"/>
      <c r="I2412" s="2"/>
      <c r="J2412" s="2"/>
    </row>
    <row r="2413">
      <c r="A2413" s="2"/>
      <c r="D2413" s="2"/>
      <c r="E2413" s="2"/>
      <c r="F2413" s="2"/>
      <c r="G2413" s="2"/>
      <c r="H2413" s="2"/>
      <c r="I2413" s="2"/>
      <c r="J2413" s="2"/>
    </row>
    <row r="2414">
      <c r="A2414" s="2"/>
      <c r="D2414" s="2"/>
      <c r="E2414" s="2"/>
      <c r="F2414" s="2"/>
      <c r="G2414" s="2"/>
      <c r="H2414" s="2"/>
      <c r="I2414" s="2"/>
      <c r="J2414" s="2"/>
    </row>
    <row r="2415">
      <c r="A2415" s="2"/>
      <c r="D2415" s="2"/>
      <c r="E2415" s="2"/>
      <c r="F2415" s="2"/>
      <c r="G2415" s="2"/>
      <c r="H2415" s="2"/>
      <c r="I2415" s="2"/>
      <c r="J2415" s="2"/>
    </row>
    <row r="2416">
      <c r="A2416" s="2"/>
      <c r="D2416" s="2"/>
      <c r="E2416" s="2"/>
      <c r="F2416" s="2"/>
      <c r="G2416" s="2"/>
      <c r="H2416" s="2"/>
      <c r="I2416" s="2"/>
      <c r="J2416" s="2"/>
    </row>
    <row r="2417">
      <c r="A2417" s="2"/>
      <c r="D2417" s="2"/>
      <c r="E2417" s="2"/>
      <c r="F2417" s="2"/>
      <c r="G2417" s="2"/>
      <c r="H2417" s="2"/>
      <c r="I2417" s="2"/>
      <c r="J2417" s="2"/>
    </row>
    <row r="2418">
      <c r="A2418" s="2"/>
      <c r="D2418" s="2"/>
      <c r="E2418" s="2"/>
      <c r="F2418" s="2"/>
      <c r="G2418" s="2"/>
      <c r="H2418" s="2"/>
      <c r="I2418" s="2"/>
      <c r="J2418" s="2"/>
    </row>
    <row r="2419">
      <c r="A2419" s="2"/>
      <c r="D2419" s="2"/>
      <c r="E2419" s="2"/>
      <c r="F2419" s="2"/>
      <c r="G2419" s="2"/>
      <c r="H2419" s="2"/>
      <c r="I2419" s="2"/>
      <c r="J2419" s="2"/>
    </row>
    <row r="2420">
      <c r="A2420" s="2"/>
      <c r="D2420" s="2"/>
      <c r="E2420" s="2"/>
      <c r="F2420" s="2"/>
      <c r="G2420" s="2"/>
      <c r="H2420" s="2"/>
      <c r="I2420" s="2"/>
      <c r="J2420" s="2"/>
    </row>
    <row r="2421">
      <c r="A2421" s="2"/>
      <c r="D2421" s="2"/>
      <c r="E2421" s="2"/>
      <c r="F2421" s="2"/>
      <c r="G2421" s="2"/>
      <c r="H2421" s="2"/>
      <c r="I2421" s="2"/>
      <c r="J2421" s="2"/>
    </row>
    <row r="2422">
      <c r="A2422" s="2"/>
      <c r="D2422" s="2"/>
      <c r="E2422" s="2"/>
      <c r="F2422" s="2"/>
      <c r="G2422" s="2"/>
      <c r="H2422" s="2"/>
      <c r="I2422" s="2"/>
      <c r="J2422" s="2"/>
    </row>
    <row r="2423">
      <c r="A2423" s="2"/>
      <c r="D2423" s="2"/>
      <c r="E2423" s="2"/>
      <c r="F2423" s="2"/>
      <c r="G2423" s="2"/>
      <c r="H2423" s="2"/>
      <c r="I2423" s="2"/>
      <c r="J2423" s="2"/>
    </row>
    <row r="2424">
      <c r="A2424" s="2"/>
      <c r="D2424" s="2"/>
      <c r="E2424" s="2"/>
      <c r="F2424" s="2"/>
      <c r="G2424" s="2"/>
      <c r="H2424" s="2"/>
      <c r="I2424" s="2"/>
      <c r="J2424" s="2"/>
    </row>
    <row r="2425">
      <c r="A2425" s="2"/>
      <c r="D2425" s="2"/>
      <c r="E2425" s="2"/>
      <c r="F2425" s="2"/>
      <c r="G2425" s="2"/>
      <c r="H2425" s="2"/>
      <c r="I2425" s="2"/>
      <c r="J2425" s="2"/>
    </row>
    <row r="2426">
      <c r="A2426" s="2"/>
      <c r="D2426" s="2"/>
      <c r="E2426" s="2"/>
      <c r="F2426" s="2"/>
      <c r="G2426" s="2"/>
      <c r="H2426" s="2"/>
      <c r="I2426" s="2"/>
      <c r="J2426" s="2"/>
    </row>
    <row r="2427">
      <c r="A2427" s="2"/>
      <c r="D2427" s="2"/>
      <c r="E2427" s="2"/>
      <c r="F2427" s="2"/>
      <c r="G2427" s="2"/>
      <c r="H2427" s="2"/>
      <c r="I2427" s="2"/>
      <c r="J2427" s="2"/>
    </row>
    <row r="2428">
      <c r="A2428" s="2"/>
      <c r="D2428" s="2"/>
      <c r="E2428" s="2"/>
      <c r="F2428" s="2"/>
      <c r="G2428" s="2"/>
      <c r="H2428" s="2"/>
      <c r="I2428" s="2"/>
      <c r="J2428" s="2"/>
    </row>
    <row r="2429">
      <c r="A2429" s="2"/>
      <c r="D2429" s="2"/>
      <c r="E2429" s="2"/>
      <c r="F2429" s="2"/>
      <c r="G2429" s="2"/>
      <c r="H2429" s="2"/>
      <c r="I2429" s="2"/>
      <c r="J2429" s="2"/>
    </row>
    <row r="2430">
      <c r="A2430" s="2"/>
      <c r="D2430" s="2"/>
      <c r="E2430" s="2"/>
      <c r="F2430" s="2"/>
      <c r="G2430" s="2"/>
      <c r="H2430" s="2"/>
      <c r="I2430" s="2"/>
      <c r="J2430" s="2"/>
    </row>
    <row r="2431">
      <c r="A2431" s="2"/>
      <c r="D2431" s="2"/>
      <c r="E2431" s="2"/>
      <c r="F2431" s="2"/>
      <c r="G2431" s="2"/>
      <c r="H2431" s="2"/>
      <c r="I2431" s="2"/>
      <c r="J2431" s="2"/>
    </row>
    <row r="2432">
      <c r="A2432" s="2"/>
      <c r="D2432" s="2"/>
      <c r="E2432" s="2"/>
      <c r="F2432" s="2"/>
      <c r="G2432" s="2"/>
      <c r="H2432" s="2"/>
      <c r="I2432" s="2"/>
      <c r="J2432" s="2"/>
    </row>
    <row r="2433">
      <c r="A2433" s="2"/>
      <c r="D2433" s="2"/>
      <c r="E2433" s="2"/>
      <c r="F2433" s="2"/>
      <c r="G2433" s="2"/>
      <c r="H2433" s="2"/>
      <c r="I2433" s="2"/>
      <c r="J2433" s="2"/>
    </row>
    <row r="2434">
      <c r="A2434" s="2"/>
      <c r="D2434" s="2"/>
      <c r="E2434" s="2"/>
      <c r="F2434" s="2"/>
      <c r="G2434" s="2"/>
      <c r="H2434" s="2"/>
      <c r="I2434" s="2"/>
      <c r="J2434" s="2"/>
    </row>
    <row r="2435">
      <c r="A2435" s="2"/>
      <c r="D2435" s="2"/>
      <c r="E2435" s="2"/>
      <c r="F2435" s="2"/>
      <c r="G2435" s="2"/>
      <c r="H2435" s="2"/>
      <c r="I2435" s="2"/>
      <c r="J2435" s="2"/>
    </row>
    <row r="2436">
      <c r="A2436" s="2"/>
      <c r="D2436" s="2"/>
      <c r="E2436" s="2"/>
      <c r="F2436" s="2"/>
      <c r="G2436" s="2"/>
      <c r="H2436" s="2"/>
      <c r="I2436" s="2"/>
      <c r="J2436" s="2"/>
    </row>
    <row r="2437">
      <c r="A2437" s="2"/>
      <c r="D2437" s="2"/>
      <c r="E2437" s="2"/>
      <c r="F2437" s="2"/>
      <c r="G2437" s="2"/>
      <c r="H2437" s="2"/>
      <c r="I2437" s="2"/>
      <c r="J2437" s="2"/>
    </row>
    <row r="2438">
      <c r="A2438" s="2"/>
      <c r="D2438" s="2"/>
      <c r="E2438" s="2"/>
      <c r="F2438" s="2"/>
      <c r="G2438" s="2"/>
      <c r="H2438" s="2"/>
      <c r="I2438" s="2"/>
      <c r="J2438" s="2"/>
    </row>
    <row r="2439">
      <c r="A2439" s="2"/>
      <c r="D2439" s="2"/>
      <c r="E2439" s="2"/>
      <c r="F2439" s="2"/>
      <c r="G2439" s="2"/>
      <c r="H2439" s="2"/>
      <c r="I2439" s="2"/>
      <c r="J2439" s="2"/>
    </row>
    <row r="2440">
      <c r="A2440" s="2"/>
      <c r="D2440" s="2"/>
      <c r="E2440" s="2"/>
      <c r="F2440" s="2"/>
      <c r="G2440" s="2"/>
      <c r="H2440" s="2"/>
      <c r="I2440" s="2"/>
      <c r="J2440" s="2"/>
    </row>
    <row r="2441">
      <c r="A2441" s="2"/>
      <c r="D2441" s="2"/>
      <c r="E2441" s="2"/>
      <c r="F2441" s="2"/>
      <c r="G2441" s="2"/>
      <c r="H2441" s="2"/>
      <c r="I2441" s="2"/>
      <c r="J2441" s="2"/>
    </row>
    <row r="2442">
      <c r="A2442" s="2"/>
      <c r="D2442" s="2"/>
      <c r="E2442" s="2"/>
      <c r="F2442" s="2"/>
      <c r="G2442" s="2"/>
      <c r="H2442" s="2"/>
      <c r="I2442" s="2"/>
      <c r="J2442" s="2"/>
    </row>
    <row r="2443">
      <c r="A2443" s="2"/>
      <c r="D2443" s="2"/>
      <c r="E2443" s="2"/>
      <c r="F2443" s="2"/>
      <c r="G2443" s="2"/>
      <c r="H2443" s="2"/>
      <c r="I2443" s="2"/>
      <c r="J2443" s="2"/>
    </row>
    <row r="2444">
      <c r="A2444" s="2"/>
      <c r="D2444" s="2"/>
      <c r="E2444" s="2"/>
      <c r="F2444" s="2"/>
      <c r="G2444" s="2"/>
      <c r="H2444" s="2"/>
      <c r="I2444" s="2"/>
      <c r="J2444" s="2"/>
    </row>
    <row r="2445">
      <c r="A2445" s="2"/>
      <c r="D2445" s="2"/>
      <c r="E2445" s="2"/>
      <c r="F2445" s="2"/>
      <c r="G2445" s="2"/>
      <c r="H2445" s="2"/>
      <c r="I2445" s="2"/>
      <c r="J2445" s="2"/>
    </row>
    <row r="2446">
      <c r="A2446" s="2"/>
      <c r="D2446" s="2"/>
      <c r="E2446" s="2"/>
      <c r="F2446" s="2"/>
      <c r="G2446" s="2"/>
      <c r="H2446" s="2"/>
      <c r="I2446" s="2"/>
      <c r="J2446" s="2"/>
    </row>
    <row r="2447">
      <c r="A2447" s="2"/>
      <c r="D2447" s="2"/>
      <c r="E2447" s="2"/>
      <c r="F2447" s="2"/>
      <c r="G2447" s="2"/>
      <c r="H2447" s="2"/>
      <c r="I2447" s="2"/>
      <c r="J2447" s="2"/>
    </row>
    <row r="2448">
      <c r="A2448" s="2"/>
      <c r="D2448" s="2"/>
      <c r="E2448" s="2"/>
      <c r="F2448" s="2"/>
      <c r="G2448" s="2"/>
      <c r="H2448" s="2"/>
      <c r="I2448" s="2"/>
      <c r="J2448" s="2"/>
    </row>
    <row r="2449">
      <c r="A2449" s="2"/>
      <c r="D2449" s="2"/>
      <c r="E2449" s="2"/>
      <c r="F2449" s="2"/>
      <c r="G2449" s="2"/>
      <c r="H2449" s="2"/>
      <c r="I2449" s="2"/>
      <c r="J2449" s="2"/>
    </row>
    <row r="2450">
      <c r="A2450" s="2"/>
      <c r="D2450" s="2"/>
      <c r="E2450" s="2"/>
      <c r="F2450" s="2"/>
      <c r="G2450" s="2"/>
      <c r="H2450" s="2"/>
      <c r="I2450" s="2"/>
      <c r="J2450" s="2"/>
    </row>
    <row r="2451">
      <c r="A2451" s="2"/>
      <c r="D2451" s="2"/>
      <c r="E2451" s="2"/>
      <c r="F2451" s="2"/>
      <c r="G2451" s="2"/>
      <c r="H2451" s="2"/>
      <c r="I2451" s="2"/>
      <c r="J2451" s="2"/>
    </row>
    <row r="2452">
      <c r="A2452" s="2"/>
      <c r="D2452" s="2"/>
      <c r="E2452" s="2"/>
      <c r="F2452" s="2"/>
      <c r="G2452" s="2"/>
      <c r="H2452" s="2"/>
      <c r="I2452" s="2"/>
      <c r="J2452" s="2"/>
    </row>
    <row r="2453">
      <c r="A2453" s="2"/>
      <c r="D2453" s="2"/>
      <c r="E2453" s="2"/>
      <c r="F2453" s="2"/>
      <c r="G2453" s="2"/>
      <c r="H2453" s="2"/>
      <c r="I2453" s="2"/>
      <c r="J2453" s="2"/>
    </row>
    <row r="2454">
      <c r="A2454" s="2"/>
      <c r="D2454" s="2"/>
      <c r="E2454" s="2"/>
      <c r="F2454" s="2"/>
      <c r="G2454" s="2"/>
      <c r="H2454" s="2"/>
      <c r="I2454" s="2"/>
      <c r="J2454" s="2"/>
    </row>
    <row r="2455">
      <c r="A2455" s="2"/>
      <c r="D2455" s="2"/>
      <c r="E2455" s="2"/>
      <c r="F2455" s="2"/>
      <c r="G2455" s="2"/>
      <c r="H2455" s="2"/>
      <c r="I2455" s="2"/>
      <c r="J2455" s="2"/>
    </row>
    <row r="2456">
      <c r="A2456" s="2"/>
      <c r="D2456" s="2"/>
      <c r="E2456" s="2"/>
      <c r="F2456" s="2"/>
      <c r="G2456" s="2"/>
      <c r="H2456" s="2"/>
      <c r="I2456" s="2"/>
      <c r="J2456" s="2"/>
    </row>
    <row r="2457">
      <c r="A2457" s="2"/>
      <c r="D2457" s="2"/>
      <c r="E2457" s="2"/>
      <c r="F2457" s="2"/>
      <c r="G2457" s="2"/>
      <c r="H2457" s="2"/>
      <c r="I2457" s="2"/>
      <c r="J2457" s="2"/>
    </row>
    <row r="2458">
      <c r="A2458" s="2"/>
      <c r="D2458" s="2"/>
      <c r="E2458" s="2"/>
      <c r="F2458" s="2"/>
      <c r="G2458" s="2"/>
      <c r="H2458" s="2"/>
      <c r="I2458" s="2"/>
      <c r="J2458" s="2"/>
    </row>
    <row r="2459">
      <c r="A2459" s="2"/>
      <c r="D2459" s="2"/>
      <c r="E2459" s="2"/>
      <c r="F2459" s="2"/>
      <c r="G2459" s="2"/>
      <c r="H2459" s="2"/>
      <c r="I2459" s="2"/>
      <c r="J2459" s="2"/>
    </row>
    <row r="2460">
      <c r="A2460" s="2"/>
      <c r="D2460" s="2"/>
      <c r="E2460" s="2"/>
      <c r="F2460" s="2"/>
      <c r="G2460" s="2"/>
      <c r="H2460" s="2"/>
      <c r="I2460" s="2"/>
      <c r="J2460" s="2"/>
    </row>
    <row r="2461">
      <c r="A2461" s="2"/>
      <c r="D2461" s="2"/>
      <c r="E2461" s="2"/>
      <c r="F2461" s="2"/>
      <c r="G2461" s="2"/>
      <c r="H2461" s="2"/>
      <c r="I2461" s="2"/>
      <c r="J2461" s="2"/>
    </row>
    <row r="2462">
      <c r="A2462" s="2"/>
      <c r="D2462" s="2"/>
      <c r="E2462" s="2"/>
      <c r="F2462" s="2"/>
      <c r="G2462" s="2"/>
      <c r="H2462" s="2"/>
      <c r="I2462" s="2"/>
      <c r="J2462" s="2"/>
    </row>
    <row r="2463">
      <c r="A2463" s="2"/>
      <c r="D2463" s="2"/>
      <c r="E2463" s="2"/>
      <c r="F2463" s="2"/>
      <c r="G2463" s="2"/>
      <c r="H2463" s="2"/>
      <c r="I2463" s="2"/>
      <c r="J2463" s="2"/>
    </row>
    <row r="2464">
      <c r="A2464" s="2"/>
      <c r="D2464" s="2"/>
      <c r="E2464" s="2"/>
      <c r="F2464" s="2"/>
      <c r="G2464" s="2"/>
      <c r="H2464" s="2"/>
      <c r="I2464" s="2"/>
      <c r="J2464" s="2"/>
    </row>
    <row r="2465">
      <c r="A2465" s="2"/>
      <c r="D2465" s="2"/>
      <c r="E2465" s="2"/>
      <c r="F2465" s="2"/>
      <c r="G2465" s="2"/>
      <c r="H2465" s="2"/>
      <c r="I2465" s="2"/>
      <c r="J2465" s="2"/>
    </row>
    <row r="2466">
      <c r="A2466" s="2"/>
      <c r="D2466" s="2"/>
      <c r="E2466" s="2"/>
      <c r="F2466" s="2"/>
      <c r="G2466" s="2"/>
      <c r="H2466" s="2"/>
      <c r="I2466" s="2"/>
      <c r="J2466" s="2"/>
    </row>
    <row r="2467">
      <c r="A2467" s="2"/>
      <c r="D2467" s="2"/>
      <c r="E2467" s="2"/>
      <c r="F2467" s="2"/>
      <c r="G2467" s="2"/>
      <c r="H2467" s="2"/>
      <c r="I2467" s="2"/>
      <c r="J2467" s="2"/>
    </row>
    <row r="2468">
      <c r="A2468" s="2"/>
      <c r="D2468" s="2"/>
      <c r="E2468" s="2"/>
      <c r="F2468" s="2"/>
      <c r="G2468" s="2"/>
      <c r="H2468" s="2"/>
      <c r="I2468" s="2"/>
      <c r="J2468" s="2"/>
    </row>
    <row r="2469">
      <c r="A2469" s="2"/>
      <c r="D2469" s="2"/>
      <c r="E2469" s="2"/>
      <c r="F2469" s="2"/>
      <c r="G2469" s="2"/>
      <c r="H2469" s="2"/>
      <c r="I2469" s="2"/>
      <c r="J2469" s="2"/>
    </row>
    <row r="2470">
      <c r="A2470" s="2"/>
      <c r="D2470" s="2"/>
      <c r="E2470" s="2"/>
      <c r="F2470" s="2"/>
      <c r="G2470" s="2"/>
      <c r="H2470" s="2"/>
      <c r="I2470" s="2"/>
      <c r="J2470" s="2"/>
    </row>
    <row r="2471">
      <c r="A2471" s="2"/>
      <c r="D2471" s="2"/>
      <c r="E2471" s="2"/>
      <c r="F2471" s="2"/>
      <c r="G2471" s="2"/>
      <c r="H2471" s="2"/>
      <c r="I2471" s="2"/>
      <c r="J2471" s="2"/>
    </row>
    <row r="2472">
      <c r="A2472" s="2"/>
      <c r="D2472" s="2"/>
      <c r="E2472" s="2"/>
      <c r="F2472" s="2"/>
      <c r="G2472" s="2"/>
      <c r="H2472" s="2"/>
      <c r="I2472" s="2"/>
      <c r="J2472" s="2"/>
    </row>
    <row r="2473">
      <c r="A2473" s="2"/>
      <c r="D2473" s="2"/>
      <c r="E2473" s="2"/>
      <c r="F2473" s="2"/>
      <c r="G2473" s="2"/>
      <c r="H2473" s="2"/>
      <c r="I2473" s="2"/>
      <c r="J2473" s="2"/>
    </row>
    <row r="2474">
      <c r="A2474" s="2"/>
      <c r="D2474" s="2"/>
      <c r="E2474" s="2"/>
      <c r="F2474" s="2"/>
      <c r="G2474" s="2"/>
      <c r="H2474" s="2"/>
      <c r="I2474" s="2"/>
      <c r="J2474" s="2"/>
    </row>
    <row r="2475">
      <c r="A2475" s="2"/>
      <c r="D2475" s="2"/>
      <c r="E2475" s="2"/>
      <c r="F2475" s="2"/>
      <c r="G2475" s="2"/>
      <c r="H2475" s="2"/>
      <c r="I2475" s="2"/>
      <c r="J2475" s="2"/>
    </row>
    <row r="2476">
      <c r="A2476" s="2"/>
      <c r="D2476" s="2"/>
      <c r="E2476" s="2"/>
      <c r="F2476" s="2"/>
      <c r="G2476" s="2"/>
      <c r="H2476" s="2"/>
      <c r="I2476" s="2"/>
      <c r="J2476" s="2"/>
    </row>
    <row r="2477">
      <c r="A2477" s="2"/>
      <c r="D2477" s="2"/>
      <c r="E2477" s="2"/>
      <c r="F2477" s="2"/>
      <c r="G2477" s="2"/>
      <c r="H2477" s="2"/>
      <c r="I2477" s="2"/>
      <c r="J2477" s="2"/>
    </row>
    <row r="2478">
      <c r="A2478" s="2"/>
      <c r="D2478" s="2"/>
      <c r="E2478" s="2"/>
      <c r="F2478" s="2"/>
      <c r="G2478" s="2"/>
      <c r="H2478" s="2"/>
      <c r="I2478" s="2"/>
      <c r="J2478" s="2"/>
    </row>
    <row r="2479">
      <c r="A2479" s="2"/>
      <c r="D2479" s="2"/>
      <c r="E2479" s="2"/>
      <c r="F2479" s="2"/>
      <c r="G2479" s="2"/>
      <c r="H2479" s="2"/>
      <c r="I2479" s="2"/>
      <c r="J2479" s="2"/>
    </row>
    <row r="2480">
      <c r="A2480" s="2"/>
      <c r="D2480" s="2"/>
      <c r="E2480" s="2"/>
      <c r="F2480" s="2"/>
      <c r="G2480" s="2"/>
      <c r="H2480" s="2"/>
      <c r="I2480" s="2"/>
      <c r="J2480" s="2"/>
    </row>
    <row r="2481">
      <c r="A2481" s="2"/>
      <c r="D2481" s="2"/>
      <c r="E2481" s="2"/>
      <c r="F2481" s="2"/>
      <c r="G2481" s="2"/>
      <c r="H2481" s="2"/>
      <c r="I2481" s="2"/>
      <c r="J2481" s="2"/>
    </row>
    <row r="2482">
      <c r="A2482" s="2"/>
      <c r="D2482" s="2"/>
      <c r="E2482" s="2"/>
      <c r="F2482" s="2"/>
      <c r="G2482" s="2"/>
      <c r="H2482" s="2"/>
      <c r="I2482" s="2"/>
      <c r="J2482" s="2"/>
    </row>
    <row r="2483">
      <c r="A2483" s="2"/>
      <c r="D2483" s="2"/>
      <c r="E2483" s="2"/>
      <c r="F2483" s="2"/>
      <c r="G2483" s="2"/>
      <c r="H2483" s="2"/>
      <c r="I2483" s="2"/>
      <c r="J2483" s="2"/>
    </row>
    <row r="2484">
      <c r="A2484" s="2"/>
      <c r="D2484" s="2"/>
      <c r="E2484" s="2"/>
      <c r="F2484" s="2"/>
      <c r="G2484" s="2"/>
      <c r="H2484" s="2"/>
      <c r="I2484" s="2"/>
      <c r="J2484" s="2"/>
    </row>
    <row r="2485">
      <c r="A2485" s="2"/>
      <c r="D2485" s="2"/>
      <c r="E2485" s="2"/>
      <c r="F2485" s="2"/>
      <c r="G2485" s="2"/>
      <c r="H2485" s="2"/>
      <c r="I2485" s="2"/>
      <c r="J2485" s="2"/>
    </row>
    <row r="2486">
      <c r="A2486" s="2"/>
      <c r="D2486" s="2"/>
      <c r="E2486" s="2"/>
      <c r="F2486" s="2"/>
      <c r="G2486" s="2"/>
      <c r="H2486" s="2"/>
      <c r="I2486" s="2"/>
      <c r="J2486" s="2"/>
    </row>
    <row r="2487">
      <c r="A2487" s="2"/>
      <c r="D2487" s="2"/>
      <c r="E2487" s="2"/>
      <c r="F2487" s="2"/>
      <c r="G2487" s="2"/>
      <c r="H2487" s="2"/>
      <c r="I2487" s="2"/>
      <c r="J2487" s="2"/>
    </row>
    <row r="2488">
      <c r="A2488" s="2"/>
      <c r="D2488" s="2"/>
      <c r="E2488" s="2"/>
      <c r="F2488" s="2"/>
      <c r="G2488" s="2"/>
      <c r="H2488" s="2"/>
      <c r="I2488" s="2"/>
      <c r="J2488" s="2"/>
    </row>
    <row r="2489">
      <c r="A2489" s="2"/>
      <c r="D2489" s="2"/>
      <c r="E2489" s="2"/>
      <c r="F2489" s="2"/>
      <c r="G2489" s="2"/>
      <c r="H2489" s="2"/>
      <c r="I2489" s="2"/>
      <c r="J2489" s="2"/>
    </row>
    <row r="2490">
      <c r="A2490" s="2"/>
      <c r="D2490" s="2"/>
      <c r="E2490" s="2"/>
      <c r="F2490" s="2"/>
      <c r="G2490" s="2"/>
      <c r="H2490" s="2"/>
      <c r="I2490" s="2"/>
      <c r="J2490" s="2"/>
    </row>
    <row r="2491">
      <c r="A2491" s="2"/>
      <c r="D2491" s="2"/>
      <c r="E2491" s="2"/>
      <c r="F2491" s="2"/>
      <c r="G2491" s="2"/>
      <c r="H2491" s="2"/>
      <c r="I2491" s="2"/>
      <c r="J2491" s="2"/>
    </row>
    <row r="2492">
      <c r="A2492" s="2"/>
      <c r="D2492" s="2"/>
      <c r="E2492" s="2"/>
      <c r="F2492" s="2"/>
      <c r="G2492" s="2"/>
      <c r="H2492" s="2"/>
      <c r="I2492" s="2"/>
      <c r="J2492" s="2"/>
    </row>
    <row r="2493">
      <c r="A2493" s="2"/>
      <c r="D2493" s="2"/>
      <c r="E2493" s="2"/>
      <c r="F2493" s="2"/>
      <c r="G2493" s="2"/>
      <c r="H2493" s="2"/>
      <c r="I2493" s="2"/>
      <c r="J2493" s="2"/>
    </row>
    <row r="2494">
      <c r="A2494" s="2"/>
      <c r="D2494" s="2"/>
      <c r="E2494" s="2"/>
      <c r="F2494" s="2"/>
      <c r="G2494" s="2"/>
      <c r="H2494" s="2"/>
      <c r="I2494" s="2"/>
      <c r="J2494" s="2"/>
    </row>
    <row r="2495">
      <c r="A2495" s="2"/>
      <c r="D2495" s="2"/>
      <c r="E2495" s="2"/>
      <c r="F2495" s="2"/>
      <c r="G2495" s="2"/>
      <c r="H2495" s="2"/>
      <c r="I2495" s="2"/>
      <c r="J2495" s="2"/>
    </row>
    <row r="2496">
      <c r="A2496" s="2"/>
      <c r="D2496" s="2"/>
      <c r="E2496" s="2"/>
      <c r="F2496" s="2"/>
      <c r="G2496" s="2"/>
      <c r="H2496" s="2"/>
      <c r="I2496" s="2"/>
      <c r="J2496" s="2"/>
    </row>
    <row r="2497">
      <c r="A2497" s="2"/>
      <c r="D2497" s="2"/>
      <c r="E2497" s="2"/>
      <c r="F2497" s="2"/>
      <c r="G2497" s="2"/>
      <c r="H2497" s="2"/>
      <c r="I2497" s="2"/>
      <c r="J2497" s="2"/>
    </row>
    <row r="2498">
      <c r="A2498" s="2"/>
      <c r="D2498" s="2"/>
      <c r="E2498" s="2"/>
      <c r="F2498" s="2"/>
      <c r="G2498" s="2"/>
      <c r="H2498" s="2"/>
      <c r="I2498" s="2"/>
      <c r="J2498" s="2"/>
    </row>
    <row r="2499">
      <c r="A2499" s="2"/>
      <c r="D2499" s="2"/>
      <c r="E2499" s="2"/>
      <c r="F2499" s="2"/>
      <c r="G2499" s="2"/>
      <c r="H2499" s="2"/>
      <c r="I2499" s="2"/>
      <c r="J2499" s="2"/>
    </row>
    <row r="2500">
      <c r="A2500" s="2"/>
      <c r="D2500" s="2"/>
      <c r="E2500" s="2"/>
      <c r="F2500" s="2"/>
      <c r="G2500" s="2"/>
      <c r="H2500" s="2"/>
      <c r="I2500" s="2"/>
      <c r="J2500" s="2"/>
    </row>
    <row r="2501">
      <c r="A2501" s="2"/>
      <c r="D2501" s="2"/>
      <c r="E2501" s="2"/>
      <c r="F2501" s="2"/>
      <c r="G2501" s="2"/>
      <c r="H2501" s="2"/>
      <c r="I2501" s="2"/>
      <c r="J2501" s="2"/>
    </row>
    <row r="2502">
      <c r="A2502" s="2"/>
      <c r="D2502" s="2"/>
      <c r="E2502" s="2"/>
      <c r="F2502" s="2"/>
      <c r="G2502" s="2"/>
      <c r="H2502" s="2"/>
      <c r="I2502" s="2"/>
      <c r="J2502" s="2"/>
    </row>
    <row r="2503">
      <c r="A2503" s="2"/>
      <c r="D2503" s="2"/>
      <c r="E2503" s="2"/>
      <c r="F2503" s="2"/>
      <c r="G2503" s="2"/>
      <c r="H2503" s="2"/>
      <c r="I2503" s="2"/>
      <c r="J2503" s="2"/>
    </row>
    <row r="2504">
      <c r="A2504" s="2"/>
      <c r="D2504" s="2"/>
      <c r="E2504" s="2"/>
      <c r="F2504" s="2"/>
      <c r="G2504" s="2"/>
      <c r="H2504" s="2"/>
      <c r="I2504" s="2"/>
      <c r="J2504" s="2"/>
    </row>
    <row r="2505">
      <c r="A2505" s="2"/>
      <c r="D2505" s="2"/>
      <c r="E2505" s="2"/>
      <c r="F2505" s="2"/>
      <c r="G2505" s="2"/>
      <c r="H2505" s="2"/>
      <c r="I2505" s="2"/>
      <c r="J2505" s="2"/>
    </row>
    <row r="2506">
      <c r="A2506" s="2"/>
      <c r="D2506" s="2"/>
      <c r="E2506" s="2"/>
      <c r="F2506" s="2"/>
      <c r="G2506" s="2"/>
      <c r="H2506" s="2"/>
      <c r="I2506" s="2"/>
      <c r="J2506" s="2"/>
    </row>
    <row r="2507">
      <c r="A2507" s="2"/>
      <c r="D2507" s="2"/>
      <c r="E2507" s="2"/>
      <c r="F2507" s="2"/>
      <c r="G2507" s="2"/>
      <c r="H2507" s="2"/>
      <c r="I2507" s="2"/>
      <c r="J2507" s="2"/>
    </row>
    <row r="2508">
      <c r="A2508" s="2"/>
      <c r="D2508" s="2"/>
      <c r="E2508" s="2"/>
      <c r="F2508" s="2"/>
      <c r="G2508" s="2"/>
      <c r="H2508" s="2"/>
      <c r="I2508" s="2"/>
      <c r="J2508" s="2"/>
    </row>
    <row r="2509">
      <c r="A2509" s="2"/>
      <c r="D2509" s="2"/>
      <c r="E2509" s="2"/>
      <c r="F2509" s="2"/>
      <c r="G2509" s="2"/>
      <c r="H2509" s="2"/>
      <c r="I2509" s="2"/>
      <c r="J2509" s="2"/>
    </row>
    <row r="2510">
      <c r="A2510" s="2"/>
      <c r="D2510" s="2"/>
      <c r="E2510" s="2"/>
      <c r="F2510" s="2"/>
      <c r="G2510" s="2"/>
      <c r="H2510" s="2"/>
      <c r="I2510" s="2"/>
      <c r="J2510" s="2"/>
    </row>
    <row r="2511">
      <c r="A2511" s="2"/>
      <c r="D2511" s="2"/>
      <c r="E2511" s="2"/>
      <c r="F2511" s="2"/>
      <c r="G2511" s="2"/>
      <c r="H2511" s="2"/>
      <c r="I2511" s="2"/>
      <c r="J2511" s="2"/>
    </row>
    <row r="2512">
      <c r="A2512" s="2"/>
      <c r="D2512" s="2"/>
      <c r="E2512" s="2"/>
      <c r="F2512" s="2"/>
      <c r="G2512" s="2"/>
      <c r="H2512" s="2"/>
      <c r="I2512" s="2"/>
      <c r="J2512" s="2"/>
    </row>
    <row r="2513">
      <c r="A2513" s="2"/>
      <c r="D2513" s="2"/>
      <c r="E2513" s="2"/>
      <c r="F2513" s="2"/>
      <c r="G2513" s="2"/>
      <c r="H2513" s="2"/>
      <c r="I2513" s="2"/>
      <c r="J2513" s="2"/>
    </row>
    <row r="2514">
      <c r="A2514" s="2"/>
      <c r="D2514" s="2"/>
      <c r="E2514" s="2"/>
      <c r="F2514" s="2"/>
      <c r="G2514" s="2"/>
      <c r="H2514" s="2"/>
      <c r="I2514" s="2"/>
      <c r="J2514" s="2"/>
    </row>
    <row r="2515">
      <c r="A2515" s="2"/>
      <c r="D2515" s="2"/>
      <c r="E2515" s="2"/>
      <c r="F2515" s="2"/>
      <c r="G2515" s="2"/>
      <c r="H2515" s="2"/>
      <c r="I2515" s="2"/>
      <c r="J2515" s="2"/>
    </row>
    <row r="2516">
      <c r="A2516" s="2"/>
      <c r="D2516" s="2"/>
      <c r="E2516" s="2"/>
      <c r="F2516" s="2"/>
      <c r="G2516" s="2"/>
      <c r="H2516" s="2"/>
      <c r="I2516" s="2"/>
      <c r="J2516" s="2"/>
    </row>
    <row r="2517">
      <c r="A2517" s="2"/>
      <c r="D2517" s="2"/>
      <c r="E2517" s="2"/>
      <c r="F2517" s="2"/>
      <c r="G2517" s="2"/>
      <c r="H2517" s="2"/>
      <c r="I2517" s="2"/>
      <c r="J2517" s="2"/>
    </row>
    <row r="2518">
      <c r="A2518" s="2"/>
      <c r="D2518" s="2"/>
      <c r="E2518" s="2"/>
      <c r="F2518" s="2"/>
      <c r="G2518" s="2"/>
      <c r="H2518" s="2"/>
      <c r="I2518" s="2"/>
      <c r="J2518" s="2"/>
    </row>
    <row r="2519">
      <c r="A2519" s="2"/>
      <c r="D2519" s="2"/>
      <c r="E2519" s="2"/>
      <c r="F2519" s="2"/>
      <c r="G2519" s="2"/>
      <c r="H2519" s="2"/>
      <c r="I2519" s="2"/>
      <c r="J2519" s="2"/>
    </row>
    <row r="2520">
      <c r="A2520" s="2"/>
      <c r="D2520" s="2"/>
      <c r="E2520" s="2"/>
      <c r="F2520" s="2"/>
      <c r="G2520" s="2"/>
      <c r="H2520" s="2"/>
      <c r="I2520" s="2"/>
      <c r="J2520" s="2"/>
    </row>
    <row r="2521">
      <c r="A2521" s="2"/>
      <c r="D2521" s="2"/>
      <c r="E2521" s="2"/>
      <c r="F2521" s="2"/>
      <c r="G2521" s="2"/>
      <c r="H2521" s="2"/>
      <c r="I2521" s="2"/>
      <c r="J2521" s="2"/>
    </row>
    <row r="2522">
      <c r="A2522" s="2"/>
      <c r="D2522" s="2"/>
      <c r="E2522" s="2"/>
      <c r="F2522" s="2"/>
      <c r="G2522" s="2"/>
      <c r="H2522" s="2"/>
      <c r="I2522" s="2"/>
      <c r="J2522" s="2"/>
    </row>
    <row r="2523">
      <c r="A2523" s="2"/>
      <c r="D2523" s="2"/>
      <c r="E2523" s="2"/>
      <c r="F2523" s="2"/>
      <c r="G2523" s="2"/>
      <c r="H2523" s="2"/>
      <c r="I2523" s="2"/>
      <c r="J2523" s="2"/>
    </row>
    <row r="2524">
      <c r="A2524" s="2"/>
      <c r="D2524" s="2"/>
      <c r="E2524" s="2"/>
      <c r="F2524" s="2"/>
      <c r="G2524" s="2"/>
      <c r="H2524" s="2"/>
      <c r="I2524" s="2"/>
      <c r="J2524" s="2"/>
    </row>
    <row r="2525">
      <c r="A2525" s="2"/>
      <c r="D2525" s="2"/>
      <c r="E2525" s="2"/>
      <c r="F2525" s="2"/>
      <c r="G2525" s="2"/>
      <c r="H2525" s="2"/>
      <c r="I2525" s="2"/>
      <c r="J2525" s="2"/>
    </row>
    <row r="2526">
      <c r="A2526" s="2"/>
      <c r="D2526" s="2"/>
      <c r="E2526" s="2"/>
      <c r="F2526" s="2"/>
      <c r="G2526" s="2"/>
      <c r="H2526" s="2"/>
      <c r="I2526" s="2"/>
      <c r="J2526" s="2"/>
    </row>
    <row r="2527">
      <c r="A2527" s="2"/>
      <c r="D2527" s="2"/>
      <c r="E2527" s="2"/>
      <c r="F2527" s="2"/>
      <c r="G2527" s="2"/>
      <c r="H2527" s="2"/>
      <c r="I2527" s="2"/>
      <c r="J2527" s="2"/>
    </row>
    <row r="2528">
      <c r="A2528" s="2"/>
      <c r="D2528" s="2"/>
      <c r="E2528" s="2"/>
      <c r="F2528" s="2"/>
      <c r="G2528" s="2"/>
      <c r="H2528" s="2"/>
      <c r="I2528" s="2"/>
      <c r="J2528" s="2"/>
    </row>
    <row r="2529">
      <c r="A2529" s="2"/>
      <c r="D2529" s="2"/>
      <c r="E2529" s="2"/>
      <c r="F2529" s="2"/>
      <c r="G2529" s="2"/>
      <c r="H2529" s="2"/>
      <c r="I2529" s="2"/>
      <c r="J2529" s="2"/>
    </row>
    <row r="2530">
      <c r="A2530" s="2"/>
      <c r="D2530" s="2"/>
      <c r="E2530" s="2"/>
      <c r="F2530" s="2"/>
      <c r="G2530" s="2"/>
      <c r="H2530" s="2"/>
      <c r="I2530" s="2"/>
      <c r="J2530" s="2"/>
    </row>
    <row r="2531">
      <c r="A2531" s="2"/>
      <c r="D2531" s="2"/>
      <c r="E2531" s="2"/>
      <c r="F2531" s="2"/>
      <c r="G2531" s="2"/>
      <c r="H2531" s="2"/>
      <c r="I2531" s="2"/>
      <c r="J2531" s="2"/>
    </row>
    <row r="2532">
      <c r="A2532" s="2"/>
      <c r="D2532" s="2"/>
      <c r="E2532" s="2"/>
      <c r="F2532" s="2"/>
      <c r="G2532" s="2"/>
      <c r="H2532" s="2"/>
      <c r="I2532" s="2"/>
      <c r="J2532" s="2"/>
    </row>
    <row r="2533">
      <c r="A2533" s="2"/>
      <c r="D2533" s="2"/>
      <c r="E2533" s="2"/>
      <c r="F2533" s="2"/>
      <c r="G2533" s="2"/>
      <c r="H2533" s="2"/>
      <c r="I2533" s="2"/>
      <c r="J2533" s="2"/>
    </row>
    <row r="2534">
      <c r="A2534" s="2"/>
      <c r="D2534" s="2"/>
      <c r="E2534" s="2"/>
      <c r="F2534" s="2"/>
      <c r="G2534" s="2"/>
      <c r="H2534" s="2"/>
      <c r="I2534" s="2"/>
      <c r="J2534" s="2"/>
    </row>
    <row r="2535">
      <c r="A2535" s="2"/>
      <c r="D2535" s="2"/>
      <c r="E2535" s="2"/>
      <c r="F2535" s="2"/>
      <c r="G2535" s="2"/>
      <c r="H2535" s="2"/>
      <c r="I2535" s="2"/>
      <c r="J2535" s="2"/>
    </row>
    <row r="2536">
      <c r="A2536" s="2"/>
      <c r="D2536" s="2"/>
      <c r="E2536" s="2"/>
      <c r="F2536" s="2"/>
      <c r="G2536" s="2"/>
      <c r="H2536" s="2"/>
      <c r="I2536" s="2"/>
      <c r="J2536" s="2"/>
    </row>
    <row r="2537">
      <c r="A2537" s="2"/>
      <c r="D2537" s="2"/>
      <c r="E2537" s="2"/>
      <c r="F2537" s="2"/>
      <c r="G2537" s="2"/>
      <c r="H2537" s="2"/>
      <c r="I2537" s="2"/>
      <c r="J2537" s="2"/>
    </row>
    <row r="2538">
      <c r="A2538" s="2"/>
      <c r="D2538" s="2"/>
      <c r="E2538" s="2"/>
      <c r="F2538" s="2"/>
      <c r="G2538" s="2"/>
      <c r="H2538" s="2"/>
      <c r="I2538" s="2"/>
      <c r="J2538" s="2"/>
    </row>
    <row r="2539">
      <c r="A2539" s="2"/>
      <c r="D2539" s="2"/>
      <c r="E2539" s="2"/>
      <c r="F2539" s="2"/>
      <c r="G2539" s="2"/>
      <c r="H2539" s="2"/>
      <c r="I2539" s="2"/>
      <c r="J2539" s="2"/>
    </row>
    <row r="2540">
      <c r="A2540" s="2"/>
      <c r="D2540" s="2"/>
      <c r="E2540" s="2"/>
      <c r="F2540" s="2"/>
      <c r="G2540" s="2"/>
      <c r="H2540" s="2"/>
      <c r="I2540" s="2"/>
      <c r="J2540" s="2"/>
    </row>
    <row r="2541">
      <c r="A2541" s="2"/>
      <c r="D2541" s="2"/>
      <c r="E2541" s="2"/>
      <c r="F2541" s="2"/>
      <c r="G2541" s="2"/>
      <c r="H2541" s="2"/>
      <c r="I2541" s="2"/>
      <c r="J2541" s="2"/>
    </row>
    <row r="2542">
      <c r="A2542" s="2"/>
      <c r="D2542" s="2"/>
      <c r="E2542" s="2"/>
      <c r="F2542" s="2"/>
      <c r="G2542" s="2"/>
      <c r="H2542" s="2"/>
      <c r="I2542" s="2"/>
      <c r="J2542" s="2"/>
    </row>
    <row r="2543">
      <c r="A2543" s="2"/>
      <c r="D2543" s="2"/>
      <c r="E2543" s="2"/>
      <c r="F2543" s="2"/>
      <c r="G2543" s="2"/>
      <c r="H2543" s="2"/>
      <c r="I2543" s="2"/>
      <c r="J2543" s="2"/>
    </row>
    <row r="2544">
      <c r="A2544" s="2"/>
      <c r="D2544" s="2"/>
      <c r="E2544" s="2"/>
      <c r="F2544" s="2"/>
      <c r="G2544" s="2"/>
      <c r="H2544" s="2"/>
      <c r="I2544" s="2"/>
      <c r="J2544" s="2"/>
    </row>
    <row r="2545">
      <c r="A2545" s="2"/>
      <c r="D2545" s="2"/>
      <c r="E2545" s="2"/>
      <c r="F2545" s="2"/>
      <c r="G2545" s="2"/>
      <c r="H2545" s="2"/>
      <c r="I2545" s="2"/>
      <c r="J2545" s="2"/>
    </row>
    <row r="2546">
      <c r="A2546" s="2"/>
      <c r="D2546" s="2"/>
      <c r="E2546" s="2"/>
      <c r="F2546" s="2"/>
      <c r="G2546" s="2"/>
      <c r="H2546" s="2"/>
      <c r="I2546" s="2"/>
      <c r="J2546" s="2"/>
    </row>
    <row r="2547">
      <c r="A2547" s="2"/>
      <c r="D2547" s="2"/>
      <c r="E2547" s="2"/>
      <c r="F2547" s="2"/>
      <c r="G2547" s="2"/>
      <c r="H2547" s="2"/>
      <c r="I2547" s="2"/>
      <c r="J2547" s="2"/>
    </row>
    <row r="2548">
      <c r="A2548" s="2"/>
      <c r="D2548" s="2"/>
      <c r="E2548" s="2"/>
      <c r="F2548" s="2"/>
      <c r="G2548" s="2"/>
      <c r="H2548" s="2"/>
      <c r="I2548" s="2"/>
      <c r="J2548" s="2"/>
    </row>
    <row r="2549">
      <c r="A2549" s="2"/>
      <c r="D2549" s="2"/>
      <c r="E2549" s="2"/>
      <c r="F2549" s="2"/>
      <c r="G2549" s="2"/>
      <c r="H2549" s="2"/>
      <c r="I2549" s="2"/>
      <c r="J2549" s="2"/>
    </row>
    <row r="2550">
      <c r="A2550" s="2"/>
      <c r="D2550" s="2"/>
      <c r="E2550" s="2"/>
      <c r="F2550" s="2"/>
      <c r="G2550" s="2"/>
      <c r="H2550" s="2"/>
      <c r="I2550" s="2"/>
      <c r="J2550" s="2"/>
    </row>
    <row r="2551">
      <c r="A2551" s="2"/>
      <c r="D2551" s="2"/>
      <c r="E2551" s="2"/>
      <c r="F2551" s="2"/>
      <c r="G2551" s="2"/>
      <c r="H2551" s="2"/>
      <c r="I2551" s="2"/>
      <c r="J2551" s="2"/>
    </row>
    <row r="2552">
      <c r="A2552" s="2"/>
      <c r="D2552" s="2"/>
      <c r="E2552" s="2"/>
      <c r="F2552" s="2"/>
      <c r="G2552" s="2"/>
      <c r="H2552" s="2"/>
      <c r="I2552" s="2"/>
      <c r="J2552" s="2"/>
    </row>
    <row r="2553">
      <c r="A2553" s="2"/>
      <c r="D2553" s="2"/>
      <c r="E2553" s="2"/>
      <c r="F2553" s="2"/>
      <c r="G2553" s="2"/>
      <c r="H2553" s="2"/>
      <c r="I2553" s="2"/>
      <c r="J2553" s="2"/>
    </row>
    <row r="2554">
      <c r="A2554" s="2"/>
      <c r="D2554" s="2"/>
      <c r="E2554" s="2"/>
      <c r="F2554" s="2"/>
      <c r="G2554" s="2"/>
      <c r="H2554" s="2"/>
      <c r="I2554" s="2"/>
      <c r="J2554" s="2"/>
    </row>
    <row r="2555">
      <c r="A2555" s="2"/>
      <c r="D2555" s="2"/>
      <c r="E2555" s="2"/>
      <c r="F2555" s="2"/>
      <c r="G2555" s="2"/>
      <c r="H2555" s="2"/>
      <c r="I2555" s="2"/>
      <c r="J2555" s="2"/>
    </row>
    <row r="2556">
      <c r="A2556" s="2"/>
      <c r="D2556" s="2"/>
      <c r="E2556" s="2"/>
      <c r="F2556" s="2"/>
      <c r="G2556" s="2"/>
      <c r="H2556" s="2"/>
      <c r="I2556" s="2"/>
      <c r="J2556" s="2"/>
    </row>
    <row r="2557">
      <c r="A2557" s="2"/>
      <c r="D2557" s="2"/>
      <c r="E2557" s="2"/>
      <c r="F2557" s="2"/>
      <c r="G2557" s="2"/>
      <c r="H2557" s="2"/>
      <c r="I2557" s="2"/>
      <c r="J2557" s="2"/>
    </row>
    <row r="2558">
      <c r="A2558" s="2"/>
      <c r="D2558" s="2"/>
      <c r="E2558" s="2"/>
      <c r="F2558" s="2"/>
      <c r="G2558" s="2"/>
      <c r="H2558" s="2"/>
      <c r="I2558" s="2"/>
      <c r="J2558" s="2"/>
    </row>
    <row r="2559">
      <c r="A2559" s="2"/>
      <c r="D2559" s="2"/>
      <c r="E2559" s="2"/>
      <c r="F2559" s="2"/>
      <c r="G2559" s="2"/>
      <c r="H2559" s="2"/>
      <c r="I2559" s="2"/>
      <c r="J2559" s="2"/>
    </row>
    <row r="2560">
      <c r="A2560" s="2"/>
      <c r="D2560" s="2"/>
      <c r="E2560" s="2"/>
      <c r="F2560" s="2"/>
      <c r="G2560" s="2"/>
      <c r="H2560" s="2"/>
      <c r="I2560" s="2"/>
      <c r="J2560" s="2"/>
    </row>
    <row r="2561">
      <c r="A2561" s="2"/>
      <c r="D2561" s="2"/>
      <c r="E2561" s="2"/>
      <c r="F2561" s="2"/>
      <c r="G2561" s="2"/>
      <c r="H2561" s="2"/>
      <c r="I2561" s="2"/>
      <c r="J2561" s="2"/>
    </row>
    <row r="2562">
      <c r="A2562" s="2"/>
      <c r="D2562" s="2"/>
      <c r="E2562" s="2"/>
      <c r="F2562" s="2"/>
      <c r="G2562" s="2"/>
      <c r="H2562" s="2"/>
      <c r="I2562" s="2"/>
      <c r="J2562" s="2"/>
    </row>
    <row r="2563">
      <c r="A2563" s="2"/>
      <c r="D2563" s="2"/>
      <c r="E2563" s="2"/>
      <c r="F2563" s="2"/>
      <c r="G2563" s="2"/>
      <c r="H2563" s="2"/>
      <c r="I2563" s="2"/>
      <c r="J2563" s="2"/>
    </row>
    <row r="2564">
      <c r="A2564" s="2"/>
      <c r="D2564" s="2"/>
      <c r="E2564" s="2"/>
      <c r="F2564" s="2"/>
      <c r="G2564" s="2"/>
      <c r="H2564" s="2"/>
      <c r="I2564" s="2"/>
      <c r="J2564" s="2"/>
    </row>
    <row r="2565">
      <c r="A2565" s="2"/>
      <c r="D2565" s="2"/>
      <c r="E2565" s="2"/>
      <c r="F2565" s="2"/>
      <c r="G2565" s="2"/>
      <c r="H2565" s="2"/>
      <c r="I2565" s="2"/>
      <c r="J2565" s="2"/>
    </row>
    <row r="2566">
      <c r="A2566" s="2"/>
      <c r="D2566" s="2"/>
      <c r="E2566" s="2"/>
      <c r="F2566" s="2"/>
      <c r="G2566" s="2"/>
      <c r="H2566" s="2"/>
      <c r="I2566" s="2"/>
      <c r="J2566" s="2"/>
    </row>
    <row r="2567">
      <c r="A2567" s="2"/>
      <c r="D2567" s="2"/>
      <c r="E2567" s="2"/>
      <c r="F2567" s="2"/>
      <c r="G2567" s="2"/>
      <c r="H2567" s="2"/>
      <c r="I2567" s="2"/>
      <c r="J2567" s="2"/>
    </row>
    <row r="2568">
      <c r="A2568" s="2"/>
      <c r="D2568" s="2"/>
      <c r="E2568" s="2"/>
      <c r="F2568" s="2"/>
      <c r="G2568" s="2"/>
      <c r="H2568" s="2"/>
      <c r="I2568" s="2"/>
      <c r="J2568" s="2"/>
    </row>
    <row r="2569">
      <c r="A2569" s="2"/>
      <c r="D2569" s="2"/>
      <c r="E2569" s="2"/>
      <c r="F2569" s="2"/>
      <c r="G2569" s="2"/>
      <c r="H2569" s="2"/>
      <c r="I2569" s="2"/>
      <c r="J2569" s="2"/>
    </row>
    <row r="2570">
      <c r="A2570" s="2"/>
      <c r="D2570" s="2"/>
      <c r="E2570" s="2"/>
      <c r="F2570" s="2"/>
      <c r="G2570" s="2"/>
      <c r="H2570" s="2"/>
      <c r="I2570" s="2"/>
      <c r="J2570" s="2"/>
    </row>
    <row r="2571">
      <c r="A2571" s="2"/>
      <c r="D2571" s="2"/>
      <c r="E2571" s="2"/>
      <c r="F2571" s="2"/>
      <c r="G2571" s="2"/>
      <c r="H2571" s="2"/>
      <c r="I2571" s="2"/>
      <c r="J2571" s="2"/>
    </row>
    <row r="2572">
      <c r="A2572" s="2"/>
      <c r="D2572" s="2"/>
      <c r="E2572" s="2"/>
      <c r="F2572" s="2"/>
      <c r="G2572" s="2"/>
      <c r="H2572" s="2"/>
      <c r="I2572" s="2"/>
      <c r="J2572" s="2"/>
    </row>
    <row r="2573">
      <c r="A2573" s="2"/>
      <c r="D2573" s="2"/>
      <c r="E2573" s="2"/>
      <c r="F2573" s="2"/>
      <c r="G2573" s="2"/>
      <c r="H2573" s="2"/>
      <c r="I2573" s="2"/>
      <c r="J2573" s="2"/>
    </row>
    <row r="2574">
      <c r="A2574" s="2"/>
      <c r="D2574" s="2"/>
      <c r="E2574" s="2"/>
      <c r="F2574" s="2"/>
      <c r="G2574" s="2"/>
      <c r="H2574" s="2"/>
      <c r="I2574" s="2"/>
      <c r="J2574" s="2"/>
    </row>
    <row r="2575">
      <c r="A2575" s="2"/>
      <c r="D2575" s="2"/>
      <c r="E2575" s="2"/>
      <c r="F2575" s="2"/>
      <c r="G2575" s="2"/>
      <c r="H2575" s="2"/>
      <c r="I2575" s="2"/>
      <c r="J2575" s="2"/>
    </row>
    <row r="2576">
      <c r="A2576" s="2"/>
      <c r="D2576" s="2"/>
      <c r="E2576" s="2"/>
      <c r="F2576" s="2"/>
      <c r="G2576" s="2"/>
      <c r="H2576" s="2"/>
      <c r="I2576" s="2"/>
      <c r="J2576" s="2"/>
    </row>
    <row r="2577">
      <c r="A2577" s="2"/>
      <c r="D2577" s="2"/>
      <c r="E2577" s="2"/>
      <c r="F2577" s="2"/>
      <c r="G2577" s="2"/>
      <c r="H2577" s="2"/>
      <c r="I2577" s="2"/>
      <c r="J2577" s="2"/>
    </row>
    <row r="2578">
      <c r="A2578" s="2"/>
      <c r="D2578" s="2"/>
      <c r="E2578" s="2"/>
      <c r="F2578" s="2"/>
      <c r="G2578" s="2"/>
      <c r="H2578" s="2"/>
      <c r="I2578" s="2"/>
      <c r="J2578" s="2"/>
    </row>
    <row r="2579">
      <c r="A2579" s="2"/>
      <c r="D2579" s="2"/>
      <c r="E2579" s="2"/>
      <c r="F2579" s="2"/>
      <c r="G2579" s="2"/>
      <c r="H2579" s="2"/>
      <c r="I2579" s="2"/>
      <c r="J2579" s="2"/>
    </row>
    <row r="2580">
      <c r="A2580" s="2"/>
      <c r="D2580" s="2"/>
      <c r="E2580" s="2"/>
      <c r="F2580" s="2"/>
      <c r="G2580" s="2"/>
      <c r="H2580" s="2"/>
      <c r="I2580" s="2"/>
      <c r="J2580" s="2"/>
    </row>
    <row r="2581">
      <c r="A2581" s="2"/>
      <c r="D2581" s="2"/>
      <c r="E2581" s="2"/>
      <c r="F2581" s="2"/>
      <c r="G2581" s="2"/>
      <c r="H2581" s="2"/>
      <c r="I2581" s="2"/>
      <c r="J2581" s="2"/>
    </row>
    <row r="2582">
      <c r="A2582" s="2"/>
      <c r="D2582" s="2"/>
      <c r="E2582" s="2"/>
      <c r="F2582" s="2"/>
      <c r="G2582" s="2"/>
      <c r="H2582" s="2"/>
      <c r="I2582" s="2"/>
      <c r="J2582" s="2"/>
    </row>
    <row r="2583">
      <c r="A2583" s="2"/>
      <c r="D2583" s="2"/>
      <c r="E2583" s="2"/>
      <c r="F2583" s="2"/>
      <c r="G2583" s="2"/>
      <c r="H2583" s="2"/>
      <c r="I2583" s="2"/>
      <c r="J2583" s="2"/>
    </row>
    <row r="2584">
      <c r="A2584" s="2"/>
      <c r="D2584" s="2"/>
      <c r="E2584" s="2"/>
      <c r="F2584" s="2"/>
      <c r="G2584" s="2"/>
      <c r="H2584" s="2"/>
      <c r="I2584" s="2"/>
      <c r="J2584" s="2"/>
    </row>
    <row r="2585">
      <c r="A2585" s="2"/>
      <c r="D2585" s="2"/>
      <c r="E2585" s="2"/>
      <c r="F2585" s="2"/>
      <c r="G2585" s="2"/>
      <c r="H2585" s="2"/>
      <c r="I2585" s="2"/>
      <c r="J2585" s="2"/>
    </row>
    <row r="2586">
      <c r="A2586" s="2"/>
      <c r="D2586" s="2"/>
      <c r="E2586" s="2"/>
      <c r="F2586" s="2"/>
      <c r="G2586" s="2"/>
      <c r="H2586" s="2"/>
      <c r="I2586" s="2"/>
      <c r="J2586" s="2"/>
    </row>
    <row r="2587">
      <c r="A2587" s="2"/>
      <c r="D2587" s="2"/>
      <c r="E2587" s="2"/>
      <c r="F2587" s="2"/>
      <c r="G2587" s="2"/>
      <c r="H2587" s="2"/>
      <c r="I2587" s="2"/>
      <c r="J2587" s="2"/>
    </row>
    <row r="2588">
      <c r="A2588" s="2"/>
      <c r="D2588" s="2"/>
      <c r="E2588" s="2"/>
      <c r="F2588" s="2"/>
      <c r="G2588" s="2"/>
      <c r="H2588" s="2"/>
      <c r="I2588" s="2"/>
      <c r="J2588" s="2"/>
    </row>
    <row r="2589">
      <c r="A2589" s="2"/>
      <c r="D2589" s="2"/>
      <c r="E2589" s="2"/>
      <c r="F2589" s="2"/>
      <c r="G2589" s="2"/>
      <c r="H2589" s="2"/>
      <c r="I2589" s="2"/>
      <c r="J2589" s="2"/>
    </row>
    <row r="2590">
      <c r="A2590" s="2"/>
      <c r="D2590" s="2"/>
      <c r="E2590" s="2"/>
      <c r="F2590" s="2"/>
      <c r="G2590" s="2"/>
      <c r="H2590" s="2"/>
      <c r="I2590" s="2"/>
      <c r="J2590" s="2"/>
    </row>
    <row r="2591">
      <c r="A2591" s="2"/>
      <c r="D2591" s="2"/>
      <c r="E2591" s="2"/>
      <c r="F2591" s="2"/>
      <c r="G2591" s="2"/>
      <c r="H2591" s="2"/>
      <c r="I2591" s="2"/>
      <c r="J2591" s="2"/>
    </row>
    <row r="2592">
      <c r="A2592" s="2"/>
      <c r="D2592" s="2"/>
      <c r="E2592" s="2"/>
      <c r="F2592" s="2"/>
      <c r="G2592" s="2"/>
      <c r="H2592" s="2"/>
      <c r="I2592" s="2"/>
      <c r="J2592" s="2"/>
    </row>
    <row r="2593">
      <c r="A2593" s="2"/>
      <c r="D2593" s="2"/>
      <c r="E2593" s="2"/>
      <c r="F2593" s="2"/>
      <c r="G2593" s="2"/>
      <c r="H2593" s="2"/>
      <c r="I2593" s="2"/>
      <c r="J2593" s="2"/>
    </row>
    <row r="2594">
      <c r="A2594" s="2"/>
      <c r="D2594" s="2"/>
      <c r="E2594" s="2"/>
      <c r="F2594" s="2"/>
      <c r="G2594" s="2"/>
      <c r="H2594" s="2"/>
      <c r="I2594" s="2"/>
      <c r="J2594" s="2"/>
    </row>
    <row r="2595">
      <c r="A2595" s="2"/>
      <c r="D2595" s="2"/>
      <c r="E2595" s="2"/>
      <c r="F2595" s="2"/>
      <c r="G2595" s="2"/>
      <c r="H2595" s="2"/>
      <c r="I2595" s="2"/>
      <c r="J2595" s="2"/>
    </row>
    <row r="2596">
      <c r="A2596" s="2"/>
      <c r="D2596" s="2"/>
      <c r="E2596" s="2"/>
      <c r="F2596" s="2"/>
      <c r="G2596" s="2"/>
      <c r="H2596" s="2"/>
      <c r="I2596" s="2"/>
      <c r="J2596" s="2"/>
    </row>
    <row r="2597">
      <c r="A2597" s="2"/>
      <c r="D2597" s="2"/>
      <c r="E2597" s="2"/>
      <c r="F2597" s="2"/>
      <c r="G2597" s="2"/>
      <c r="H2597" s="2"/>
      <c r="I2597" s="2"/>
      <c r="J2597" s="2"/>
    </row>
    <row r="2598">
      <c r="A2598" s="2"/>
      <c r="D2598" s="2"/>
      <c r="E2598" s="2"/>
      <c r="F2598" s="2"/>
      <c r="G2598" s="2"/>
      <c r="H2598" s="2"/>
      <c r="I2598" s="2"/>
      <c r="J2598" s="2"/>
    </row>
    <row r="2599">
      <c r="A2599" s="2"/>
      <c r="D2599" s="2"/>
      <c r="E2599" s="2"/>
      <c r="F2599" s="2"/>
      <c r="G2599" s="2"/>
      <c r="H2599" s="2"/>
      <c r="I2599" s="2"/>
      <c r="J2599" s="2"/>
    </row>
    <row r="2600">
      <c r="A2600" s="2"/>
      <c r="D2600" s="2"/>
      <c r="E2600" s="2"/>
      <c r="F2600" s="2"/>
      <c r="G2600" s="2"/>
      <c r="H2600" s="2"/>
      <c r="I2600" s="2"/>
      <c r="J2600" s="2"/>
    </row>
    <row r="2601">
      <c r="A2601" s="2"/>
      <c r="D2601" s="2"/>
      <c r="E2601" s="2"/>
      <c r="F2601" s="2"/>
      <c r="G2601" s="2"/>
      <c r="H2601" s="2"/>
      <c r="I2601" s="2"/>
      <c r="J2601" s="2"/>
    </row>
    <row r="2602">
      <c r="A2602" s="2"/>
      <c r="D2602" s="2"/>
      <c r="E2602" s="2"/>
      <c r="F2602" s="2"/>
      <c r="G2602" s="2"/>
      <c r="H2602" s="2"/>
      <c r="I2602" s="2"/>
      <c r="J2602" s="2"/>
    </row>
    <row r="2603">
      <c r="A2603" s="2"/>
      <c r="D2603" s="2"/>
      <c r="E2603" s="2"/>
      <c r="F2603" s="2"/>
      <c r="G2603" s="2"/>
      <c r="H2603" s="2"/>
      <c r="I2603" s="2"/>
      <c r="J2603" s="2"/>
    </row>
    <row r="2604">
      <c r="A2604" s="2"/>
      <c r="D2604" s="2"/>
      <c r="E2604" s="2"/>
      <c r="F2604" s="2"/>
      <c r="G2604" s="2"/>
      <c r="H2604" s="2"/>
      <c r="I2604" s="2"/>
      <c r="J2604" s="2"/>
    </row>
    <row r="2605">
      <c r="A2605" s="2"/>
      <c r="D2605" s="2"/>
      <c r="E2605" s="2"/>
      <c r="F2605" s="2"/>
      <c r="G2605" s="2"/>
      <c r="H2605" s="2"/>
      <c r="I2605" s="2"/>
      <c r="J2605" s="2"/>
    </row>
    <row r="2606">
      <c r="A2606" s="2"/>
      <c r="D2606" s="2"/>
      <c r="E2606" s="2"/>
      <c r="F2606" s="2"/>
      <c r="G2606" s="2"/>
      <c r="H2606" s="2"/>
      <c r="I2606" s="2"/>
      <c r="J2606" s="2"/>
    </row>
    <row r="2607">
      <c r="A2607" s="2"/>
      <c r="D2607" s="2"/>
      <c r="E2607" s="2"/>
      <c r="F2607" s="2"/>
      <c r="G2607" s="2"/>
      <c r="H2607" s="2"/>
      <c r="I2607" s="2"/>
      <c r="J2607" s="2"/>
    </row>
    <row r="2608">
      <c r="A2608" s="2"/>
      <c r="D2608" s="2"/>
      <c r="E2608" s="2"/>
      <c r="F2608" s="2"/>
      <c r="G2608" s="2"/>
      <c r="H2608" s="2"/>
      <c r="I2608" s="2"/>
      <c r="J2608" s="2"/>
    </row>
    <row r="2609">
      <c r="A2609" s="2"/>
      <c r="D2609" s="2"/>
      <c r="E2609" s="2"/>
      <c r="F2609" s="2"/>
      <c r="G2609" s="2"/>
      <c r="H2609" s="2"/>
      <c r="I2609" s="2"/>
      <c r="J2609" s="2"/>
    </row>
    <row r="2610">
      <c r="A2610" s="2"/>
      <c r="D2610" s="2"/>
      <c r="E2610" s="2"/>
      <c r="F2610" s="2"/>
      <c r="G2610" s="2"/>
      <c r="H2610" s="2"/>
      <c r="I2610" s="2"/>
      <c r="J2610" s="2"/>
    </row>
    <row r="2611">
      <c r="A2611" s="2"/>
      <c r="D2611" s="2"/>
      <c r="E2611" s="2"/>
      <c r="F2611" s="2"/>
      <c r="G2611" s="2"/>
      <c r="H2611" s="2"/>
      <c r="I2611" s="2"/>
      <c r="J2611" s="2"/>
    </row>
    <row r="2612">
      <c r="A2612" s="2"/>
      <c r="D2612" s="2"/>
      <c r="E2612" s="2"/>
      <c r="F2612" s="2"/>
      <c r="G2612" s="2"/>
      <c r="H2612" s="2"/>
      <c r="I2612" s="2"/>
      <c r="J2612" s="2"/>
    </row>
    <row r="2613">
      <c r="A2613" s="2"/>
      <c r="D2613" s="2"/>
      <c r="E2613" s="2"/>
      <c r="F2613" s="2"/>
      <c r="G2613" s="2"/>
      <c r="H2613" s="2"/>
      <c r="I2613" s="2"/>
      <c r="J2613" s="2"/>
    </row>
    <row r="2614">
      <c r="A2614" s="2"/>
      <c r="D2614" s="2"/>
      <c r="E2614" s="2"/>
      <c r="F2614" s="2"/>
      <c r="G2614" s="2"/>
      <c r="H2614" s="2"/>
      <c r="I2614" s="2"/>
      <c r="J2614" s="2"/>
    </row>
    <row r="2615">
      <c r="A2615" s="2"/>
      <c r="D2615" s="2"/>
      <c r="E2615" s="2"/>
      <c r="F2615" s="2"/>
      <c r="G2615" s="2"/>
      <c r="H2615" s="2"/>
      <c r="I2615" s="2"/>
      <c r="J2615" s="2"/>
    </row>
    <row r="2616">
      <c r="A2616" s="2"/>
      <c r="D2616" s="2"/>
      <c r="E2616" s="2"/>
      <c r="F2616" s="2"/>
      <c r="G2616" s="2"/>
      <c r="H2616" s="2"/>
      <c r="I2616" s="2"/>
      <c r="J2616" s="2"/>
    </row>
    <row r="2617">
      <c r="A2617" s="2"/>
      <c r="D2617" s="2"/>
      <c r="E2617" s="2"/>
      <c r="F2617" s="2"/>
      <c r="G2617" s="2"/>
      <c r="H2617" s="2"/>
      <c r="I2617" s="2"/>
      <c r="J2617" s="2"/>
    </row>
    <row r="2618">
      <c r="A2618" s="2"/>
      <c r="D2618" s="2"/>
      <c r="E2618" s="2"/>
      <c r="F2618" s="2"/>
      <c r="G2618" s="2"/>
      <c r="H2618" s="2"/>
      <c r="I2618" s="2"/>
      <c r="J2618" s="2"/>
    </row>
    <row r="2619">
      <c r="A2619" s="2"/>
      <c r="D2619" s="2"/>
      <c r="E2619" s="2"/>
      <c r="F2619" s="2"/>
      <c r="G2619" s="2"/>
      <c r="H2619" s="2"/>
      <c r="I2619" s="2"/>
      <c r="J2619" s="2"/>
    </row>
    <row r="2620">
      <c r="A2620" s="2"/>
      <c r="D2620" s="2"/>
      <c r="E2620" s="2"/>
      <c r="F2620" s="2"/>
      <c r="G2620" s="2"/>
      <c r="H2620" s="2"/>
      <c r="I2620" s="2"/>
      <c r="J2620" s="2"/>
    </row>
    <row r="2621">
      <c r="A2621" s="2"/>
      <c r="D2621" s="2"/>
      <c r="E2621" s="2"/>
      <c r="F2621" s="2"/>
      <c r="G2621" s="2"/>
      <c r="H2621" s="2"/>
      <c r="I2621" s="2"/>
      <c r="J2621" s="2"/>
    </row>
    <row r="2622">
      <c r="A2622" s="2"/>
      <c r="D2622" s="2"/>
      <c r="E2622" s="2"/>
      <c r="F2622" s="2"/>
      <c r="G2622" s="2"/>
      <c r="H2622" s="2"/>
      <c r="I2622" s="2"/>
      <c r="J2622" s="2"/>
    </row>
    <row r="2623">
      <c r="A2623" s="2"/>
      <c r="D2623" s="2"/>
      <c r="E2623" s="2"/>
      <c r="F2623" s="2"/>
      <c r="G2623" s="2"/>
      <c r="H2623" s="2"/>
      <c r="I2623" s="2"/>
      <c r="J2623" s="2"/>
    </row>
    <row r="2624">
      <c r="A2624" s="2"/>
      <c r="D2624" s="2"/>
      <c r="E2624" s="2"/>
      <c r="F2624" s="2"/>
      <c r="G2624" s="2"/>
      <c r="H2624" s="2"/>
      <c r="I2624" s="2"/>
      <c r="J2624" s="2"/>
    </row>
    <row r="2625">
      <c r="A2625" s="2"/>
      <c r="D2625" s="2"/>
      <c r="E2625" s="2"/>
      <c r="F2625" s="2"/>
      <c r="G2625" s="2"/>
      <c r="H2625" s="2"/>
      <c r="I2625" s="2"/>
      <c r="J2625" s="2"/>
    </row>
    <row r="2626">
      <c r="A2626" s="2"/>
      <c r="D2626" s="2"/>
      <c r="E2626" s="2"/>
      <c r="F2626" s="2"/>
      <c r="G2626" s="2"/>
      <c r="H2626" s="2"/>
      <c r="I2626" s="2"/>
      <c r="J2626" s="2"/>
    </row>
    <row r="2627">
      <c r="A2627" s="2"/>
      <c r="D2627" s="2"/>
      <c r="E2627" s="2"/>
      <c r="F2627" s="2"/>
      <c r="G2627" s="2"/>
      <c r="H2627" s="2"/>
      <c r="I2627" s="2"/>
      <c r="J2627" s="2"/>
    </row>
    <row r="2628">
      <c r="A2628" s="2"/>
      <c r="D2628" s="2"/>
      <c r="E2628" s="2"/>
      <c r="F2628" s="2"/>
      <c r="G2628" s="2"/>
      <c r="H2628" s="2"/>
      <c r="I2628" s="2"/>
      <c r="J2628" s="2"/>
    </row>
    <row r="2629">
      <c r="A2629" s="2"/>
      <c r="D2629" s="2"/>
      <c r="E2629" s="2"/>
      <c r="F2629" s="2"/>
      <c r="G2629" s="2"/>
      <c r="H2629" s="2"/>
      <c r="I2629" s="2"/>
      <c r="J2629" s="2"/>
    </row>
    <row r="2630">
      <c r="A2630" s="2"/>
      <c r="D2630" s="2"/>
      <c r="E2630" s="2"/>
      <c r="F2630" s="2"/>
      <c r="G2630" s="2"/>
      <c r="H2630" s="2"/>
      <c r="I2630" s="2"/>
      <c r="J2630" s="2"/>
    </row>
    <row r="2631">
      <c r="A2631" s="2"/>
      <c r="D2631" s="2"/>
      <c r="E2631" s="2"/>
      <c r="F2631" s="2"/>
      <c r="G2631" s="2"/>
      <c r="H2631" s="2"/>
      <c r="I2631" s="2"/>
      <c r="J2631" s="2"/>
    </row>
    <row r="2632">
      <c r="A2632" s="2"/>
      <c r="D2632" s="2"/>
      <c r="E2632" s="2"/>
      <c r="F2632" s="2"/>
      <c r="G2632" s="2"/>
      <c r="H2632" s="2"/>
      <c r="I2632" s="2"/>
      <c r="J2632" s="2"/>
    </row>
    <row r="2633">
      <c r="A2633" s="2"/>
      <c r="D2633" s="2"/>
      <c r="E2633" s="2"/>
      <c r="F2633" s="2"/>
      <c r="G2633" s="2"/>
      <c r="H2633" s="2"/>
      <c r="I2633" s="2"/>
      <c r="J2633" s="2"/>
    </row>
    <row r="2634">
      <c r="A2634" s="2"/>
      <c r="D2634" s="2"/>
      <c r="E2634" s="2"/>
      <c r="F2634" s="2"/>
      <c r="G2634" s="2"/>
      <c r="H2634" s="2"/>
      <c r="I2634" s="2"/>
      <c r="J2634" s="2"/>
    </row>
    <row r="2635">
      <c r="A2635" s="2"/>
      <c r="D2635" s="2"/>
      <c r="E2635" s="2"/>
      <c r="F2635" s="2"/>
      <c r="G2635" s="2"/>
      <c r="H2635" s="2"/>
      <c r="I2635" s="2"/>
      <c r="J2635" s="2"/>
    </row>
    <row r="2636">
      <c r="A2636" s="2"/>
      <c r="D2636" s="2"/>
      <c r="E2636" s="2"/>
      <c r="F2636" s="2"/>
      <c r="G2636" s="2"/>
      <c r="H2636" s="2"/>
      <c r="I2636" s="2"/>
      <c r="J2636" s="2"/>
    </row>
    <row r="2637">
      <c r="A2637" s="2"/>
      <c r="D2637" s="2"/>
      <c r="E2637" s="2"/>
      <c r="F2637" s="2"/>
      <c r="G2637" s="2"/>
      <c r="H2637" s="2"/>
      <c r="I2637" s="2"/>
      <c r="J2637" s="2"/>
    </row>
    <row r="2638">
      <c r="A2638" s="2"/>
      <c r="D2638" s="2"/>
      <c r="E2638" s="2"/>
      <c r="F2638" s="2"/>
      <c r="G2638" s="2"/>
      <c r="H2638" s="2"/>
      <c r="I2638" s="2"/>
      <c r="J2638" s="2"/>
    </row>
    <row r="2639">
      <c r="A2639" s="2"/>
      <c r="D2639" s="2"/>
      <c r="E2639" s="2"/>
      <c r="F2639" s="2"/>
      <c r="G2639" s="2"/>
      <c r="H2639" s="2"/>
      <c r="I2639" s="2"/>
      <c r="J2639" s="2"/>
    </row>
    <row r="2640">
      <c r="A2640" s="2"/>
      <c r="D2640" s="2"/>
      <c r="E2640" s="2"/>
      <c r="F2640" s="2"/>
      <c r="G2640" s="2"/>
      <c r="H2640" s="2"/>
      <c r="I2640" s="2"/>
      <c r="J2640" s="2"/>
    </row>
    <row r="2641">
      <c r="A2641" s="2"/>
      <c r="D2641" s="2"/>
      <c r="E2641" s="2"/>
      <c r="F2641" s="2"/>
      <c r="G2641" s="2"/>
      <c r="H2641" s="2"/>
      <c r="I2641" s="2"/>
      <c r="J2641" s="2"/>
    </row>
    <row r="2642">
      <c r="A2642" s="2"/>
      <c r="D2642" s="2"/>
      <c r="E2642" s="2"/>
      <c r="F2642" s="2"/>
      <c r="G2642" s="2"/>
      <c r="H2642" s="2"/>
      <c r="I2642" s="2"/>
      <c r="J2642" s="2"/>
    </row>
    <row r="2643">
      <c r="A2643" s="2"/>
      <c r="D2643" s="2"/>
      <c r="E2643" s="2"/>
      <c r="F2643" s="2"/>
      <c r="G2643" s="2"/>
      <c r="H2643" s="2"/>
      <c r="I2643" s="2"/>
      <c r="J2643" s="2"/>
    </row>
    <row r="2644">
      <c r="A2644" s="2"/>
      <c r="D2644" s="2"/>
      <c r="E2644" s="2"/>
      <c r="F2644" s="2"/>
      <c r="G2644" s="2"/>
      <c r="H2644" s="2"/>
      <c r="I2644" s="2"/>
      <c r="J2644" s="2"/>
    </row>
    <row r="2645">
      <c r="A2645" s="2"/>
      <c r="D2645" s="2"/>
      <c r="E2645" s="2"/>
      <c r="F2645" s="2"/>
      <c r="G2645" s="2"/>
      <c r="H2645" s="2"/>
      <c r="I2645" s="2"/>
      <c r="J2645" s="2"/>
    </row>
    <row r="2646">
      <c r="A2646" s="2"/>
      <c r="D2646" s="2"/>
      <c r="E2646" s="2"/>
      <c r="F2646" s="2"/>
      <c r="G2646" s="2"/>
      <c r="H2646" s="2"/>
      <c r="I2646" s="2"/>
      <c r="J2646" s="2"/>
    </row>
    <row r="2647">
      <c r="A2647" s="2"/>
      <c r="D2647" s="2"/>
      <c r="E2647" s="2"/>
      <c r="F2647" s="2"/>
      <c r="G2647" s="2"/>
      <c r="H2647" s="2"/>
      <c r="I2647" s="2"/>
      <c r="J2647" s="2"/>
    </row>
    <row r="2648">
      <c r="A2648" s="2"/>
      <c r="D2648" s="2"/>
      <c r="E2648" s="2"/>
      <c r="F2648" s="2"/>
      <c r="G2648" s="2"/>
      <c r="H2648" s="2"/>
      <c r="I2648" s="2"/>
      <c r="J2648" s="2"/>
    </row>
    <row r="2649">
      <c r="A2649" s="2"/>
      <c r="D2649" s="2"/>
      <c r="E2649" s="2"/>
      <c r="F2649" s="2"/>
      <c r="G2649" s="2"/>
      <c r="H2649" s="2"/>
      <c r="I2649" s="2"/>
      <c r="J2649" s="2"/>
    </row>
    <row r="2650">
      <c r="A2650" s="2"/>
      <c r="D2650" s="2"/>
      <c r="E2650" s="2"/>
      <c r="F2650" s="2"/>
      <c r="G2650" s="2"/>
      <c r="H2650" s="2"/>
      <c r="I2650" s="2"/>
      <c r="J2650" s="2"/>
    </row>
    <row r="2651">
      <c r="A2651" s="2"/>
      <c r="D2651" s="2"/>
      <c r="E2651" s="2"/>
      <c r="F2651" s="2"/>
      <c r="G2651" s="2"/>
      <c r="H2651" s="2"/>
      <c r="I2651" s="2"/>
      <c r="J2651" s="2"/>
    </row>
    <row r="2652">
      <c r="A2652" s="2"/>
      <c r="D2652" s="2"/>
      <c r="E2652" s="2"/>
      <c r="F2652" s="2"/>
      <c r="G2652" s="2"/>
      <c r="H2652" s="2"/>
      <c r="I2652" s="2"/>
      <c r="J2652" s="2"/>
    </row>
    <row r="2653">
      <c r="A2653" s="2"/>
      <c r="D2653" s="2"/>
      <c r="E2653" s="2"/>
      <c r="F2653" s="2"/>
      <c r="G2653" s="2"/>
      <c r="H2653" s="2"/>
      <c r="I2653" s="2"/>
      <c r="J2653" s="2"/>
    </row>
    <row r="2654">
      <c r="A2654" s="2"/>
      <c r="D2654" s="2"/>
      <c r="E2654" s="2"/>
      <c r="F2654" s="2"/>
      <c r="G2654" s="2"/>
      <c r="H2654" s="2"/>
      <c r="I2654" s="2"/>
      <c r="J2654" s="2"/>
    </row>
    <row r="2655">
      <c r="A2655" s="2"/>
      <c r="D2655" s="2"/>
      <c r="E2655" s="2"/>
      <c r="F2655" s="2"/>
      <c r="G2655" s="2"/>
      <c r="H2655" s="2"/>
      <c r="I2655" s="2"/>
      <c r="J2655" s="2"/>
    </row>
    <row r="2656">
      <c r="A2656" s="2"/>
      <c r="D2656" s="2"/>
      <c r="E2656" s="2"/>
      <c r="F2656" s="2"/>
      <c r="G2656" s="2"/>
      <c r="H2656" s="2"/>
      <c r="I2656" s="2"/>
      <c r="J2656" s="2"/>
    </row>
    <row r="2657">
      <c r="A2657" s="2"/>
      <c r="D2657" s="2"/>
      <c r="E2657" s="2"/>
      <c r="F2657" s="2"/>
      <c r="G2657" s="2"/>
      <c r="H2657" s="2"/>
      <c r="I2657" s="2"/>
      <c r="J2657" s="2"/>
    </row>
    <row r="2658">
      <c r="A2658" s="2"/>
      <c r="D2658" s="2"/>
      <c r="E2658" s="2"/>
      <c r="F2658" s="2"/>
      <c r="G2658" s="2"/>
      <c r="H2658" s="2"/>
      <c r="I2658" s="2"/>
      <c r="J2658" s="2"/>
    </row>
    <row r="2659">
      <c r="A2659" s="2"/>
      <c r="D2659" s="2"/>
      <c r="E2659" s="2"/>
      <c r="F2659" s="2"/>
      <c r="G2659" s="2"/>
      <c r="H2659" s="2"/>
      <c r="I2659" s="2"/>
      <c r="J2659" s="2"/>
    </row>
    <row r="2660">
      <c r="A2660" s="2"/>
      <c r="D2660" s="2"/>
      <c r="E2660" s="2"/>
      <c r="F2660" s="2"/>
      <c r="G2660" s="2"/>
      <c r="H2660" s="2"/>
      <c r="I2660" s="2"/>
      <c r="J2660" s="2"/>
    </row>
    <row r="2661">
      <c r="A2661" s="2"/>
      <c r="D2661" s="2"/>
      <c r="E2661" s="2"/>
      <c r="F2661" s="2"/>
      <c r="G2661" s="2"/>
      <c r="H2661" s="2"/>
      <c r="I2661" s="2"/>
      <c r="J2661" s="2"/>
    </row>
    <row r="2662">
      <c r="A2662" s="2"/>
      <c r="D2662" s="2"/>
      <c r="E2662" s="2"/>
      <c r="F2662" s="2"/>
      <c r="G2662" s="2"/>
      <c r="H2662" s="2"/>
      <c r="I2662" s="2"/>
      <c r="J2662" s="2"/>
    </row>
    <row r="2663">
      <c r="A2663" s="2"/>
      <c r="D2663" s="2"/>
      <c r="E2663" s="2"/>
      <c r="F2663" s="2"/>
      <c r="G2663" s="2"/>
      <c r="H2663" s="2"/>
      <c r="I2663" s="2"/>
      <c r="J2663" s="2"/>
    </row>
    <row r="2664">
      <c r="A2664" s="2"/>
      <c r="D2664" s="2"/>
      <c r="E2664" s="2"/>
      <c r="F2664" s="2"/>
      <c r="G2664" s="2"/>
      <c r="H2664" s="2"/>
      <c r="I2664" s="2"/>
      <c r="J2664" s="2"/>
    </row>
    <row r="2665">
      <c r="A2665" s="2"/>
      <c r="D2665" s="2"/>
      <c r="E2665" s="2"/>
      <c r="F2665" s="2"/>
      <c r="G2665" s="2"/>
      <c r="H2665" s="2"/>
      <c r="I2665" s="2"/>
      <c r="J2665" s="2"/>
    </row>
    <row r="2666">
      <c r="A2666" s="2"/>
      <c r="D2666" s="2"/>
      <c r="E2666" s="2"/>
      <c r="F2666" s="2"/>
      <c r="G2666" s="2"/>
      <c r="H2666" s="2"/>
      <c r="I2666" s="2"/>
      <c r="J2666" s="2"/>
    </row>
    <row r="2667">
      <c r="A2667" s="2"/>
      <c r="D2667" s="2"/>
      <c r="E2667" s="2"/>
      <c r="F2667" s="2"/>
      <c r="G2667" s="2"/>
      <c r="H2667" s="2"/>
      <c r="I2667" s="2"/>
      <c r="J2667" s="2"/>
    </row>
    <row r="2668">
      <c r="A2668" s="2"/>
      <c r="D2668" s="2"/>
      <c r="E2668" s="2"/>
      <c r="F2668" s="2"/>
      <c r="G2668" s="2"/>
      <c r="H2668" s="2"/>
      <c r="I2668" s="2"/>
      <c r="J2668" s="2"/>
    </row>
    <row r="2669">
      <c r="A2669" s="2"/>
      <c r="D2669" s="2"/>
      <c r="E2669" s="2"/>
      <c r="F2669" s="2"/>
      <c r="G2669" s="2"/>
      <c r="H2669" s="2"/>
      <c r="I2669" s="2"/>
      <c r="J2669" s="2"/>
    </row>
    <row r="2670">
      <c r="A2670" s="2"/>
      <c r="D2670" s="2"/>
      <c r="E2670" s="2"/>
      <c r="F2670" s="2"/>
      <c r="G2670" s="2"/>
      <c r="H2670" s="2"/>
      <c r="I2670" s="2"/>
      <c r="J2670" s="2"/>
    </row>
    <row r="2671">
      <c r="A2671" s="2"/>
      <c r="D2671" s="2"/>
      <c r="E2671" s="2"/>
      <c r="F2671" s="2"/>
      <c r="G2671" s="2"/>
      <c r="H2671" s="2"/>
      <c r="I2671" s="2"/>
      <c r="J2671" s="2"/>
    </row>
    <row r="2672">
      <c r="A2672" s="2"/>
      <c r="D2672" s="2"/>
      <c r="E2672" s="2"/>
      <c r="F2672" s="2"/>
      <c r="G2672" s="2"/>
      <c r="H2672" s="2"/>
      <c r="I2672" s="2"/>
      <c r="J2672" s="2"/>
    </row>
    <row r="2673">
      <c r="A2673" s="2"/>
      <c r="D2673" s="2"/>
      <c r="E2673" s="2"/>
      <c r="F2673" s="2"/>
      <c r="G2673" s="2"/>
      <c r="H2673" s="2"/>
      <c r="I2673" s="2"/>
      <c r="J2673" s="2"/>
    </row>
    <row r="2674">
      <c r="A2674" s="2"/>
      <c r="D2674" s="2"/>
      <c r="E2674" s="2"/>
      <c r="F2674" s="2"/>
      <c r="G2674" s="2"/>
      <c r="H2674" s="2"/>
      <c r="I2674" s="2"/>
      <c r="J2674" s="2"/>
    </row>
    <row r="2675">
      <c r="A2675" s="2"/>
      <c r="D2675" s="2"/>
      <c r="E2675" s="2"/>
      <c r="F2675" s="2"/>
      <c r="G2675" s="2"/>
      <c r="H2675" s="2"/>
      <c r="I2675" s="2"/>
      <c r="J2675" s="2"/>
    </row>
    <row r="2676">
      <c r="A2676" s="2"/>
      <c r="D2676" s="2"/>
      <c r="E2676" s="2"/>
      <c r="F2676" s="2"/>
      <c r="G2676" s="2"/>
      <c r="H2676" s="2"/>
      <c r="I2676" s="2"/>
      <c r="J2676" s="2"/>
    </row>
    <row r="2677">
      <c r="A2677" s="2"/>
      <c r="D2677" s="2"/>
      <c r="E2677" s="2"/>
      <c r="F2677" s="2"/>
      <c r="G2677" s="2"/>
      <c r="H2677" s="2"/>
      <c r="I2677" s="2"/>
      <c r="J2677" s="2"/>
    </row>
    <row r="2678">
      <c r="A2678" s="2"/>
      <c r="D2678" s="2"/>
      <c r="E2678" s="2"/>
      <c r="F2678" s="2"/>
      <c r="G2678" s="2"/>
      <c r="H2678" s="2"/>
      <c r="I2678" s="2"/>
      <c r="J2678" s="2"/>
    </row>
    <row r="2679">
      <c r="A2679" s="2"/>
      <c r="D2679" s="2"/>
      <c r="E2679" s="2"/>
      <c r="F2679" s="2"/>
      <c r="G2679" s="2"/>
      <c r="H2679" s="2"/>
      <c r="I2679" s="2"/>
      <c r="J2679" s="2"/>
    </row>
    <row r="2680">
      <c r="A2680" s="2"/>
      <c r="D2680" s="2"/>
      <c r="E2680" s="2"/>
      <c r="F2680" s="2"/>
      <c r="G2680" s="2"/>
      <c r="H2680" s="2"/>
      <c r="I2680" s="2"/>
      <c r="J2680" s="2"/>
    </row>
    <row r="2681">
      <c r="A2681" s="2"/>
      <c r="D2681" s="2"/>
      <c r="E2681" s="2"/>
      <c r="F2681" s="2"/>
      <c r="G2681" s="2"/>
      <c r="H2681" s="2"/>
      <c r="I2681" s="2"/>
      <c r="J2681" s="2"/>
    </row>
    <row r="2682">
      <c r="A2682" s="2"/>
      <c r="D2682" s="2"/>
      <c r="E2682" s="2"/>
      <c r="F2682" s="2"/>
      <c r="G2682" s="2"/>
      <c r="H2682" s="2"/>
      <c r="I2682" s="2"/>
      <c r="J2682" s="2"/>
    </row>
    <row r="2683">
      <c r="A2683" s="2"/>
      <c r="D2683" s="2"/>
      <c r="E2683" s="2"/>
      <c r="F2683" s="2"/>
      <c r="G2683" s="2"/>
      <c r="H2683" s="2"/>
      <c r="I2683" s="2"/>
      <c r="J2683" s="2"/>
    </row>
    <row r="2684">
      <c r="A2684" s="2"/>
      <c r="D2684" s="2"/>
      <c r="E2684" s="2"/>
      <c r="F2684" s="2"/>
      <c r="G2684" s="2"/>
      <c r="H2684" s="2"/>
      <c r="I2684" s="2"/>
      <c r="J2684" s="2"/>
    </row>
    <row r="2685">
      <c r="A2685" s="2"/>
      <c r="D2685" s="2"/>
      <c r="E2685" s="2"/>
      <c r="F2685" s="2"/>
      <c r="G2685" s="2"/>
      <c r="H2685" s="2"/>
      <c r="I2685" s="2"/>
      <c r="J2685" s="2"/>
    </row>
    <row r="2686">
      <c r="A2686" s="2"/>
      <c r="D2686" s="2"/>
      <c r="E2686" s="2"/>
      <c r="F2686" s="2"/>
      <c r="G2686" s="2"/>
      <c r="H2686" s="2"/>
      <c r="I2686" s="2"/>
      <c r="J2686" s="2"/>
    </row>
    <row r="2687">
      <c r="A2687" s="2"/>
      <c r="D2687" s="2"/>
      <c r="E2687" s="2"/>
      <c r="F2687" s="2"/>
      <c r="G2687" s="2"/>
      <c r="H2687" s="2"/>
      <c r="I2687" s="2"/>
      <c r="J2687" s="2"/>
    </row>
    <row r="2688">
      <c r="A2688" s="2"/>
      <c r="D2688" s="2"/>
      <c r="E2688" s="2"/>
      <c r="F2688" s="2"/>
      <c r="G2688" s="2"/>
      <c r="H2688" s="2"/>
      <c r="I2688" s="2"/>
      <c r="J2688" s="2"/>
    </row>
    <row r="2689">
      <c r="A2689" s="2"/>
      <c r="D2689" s="2"/>
      <c r="E2689" s="2"/>
      <c r="F2689" s="2"/>
      <c r="G2689" s="2"/>
      <c r="H2689" s="2"/>
      <c r="I2689" s="2"/>
      <c r="J2689" s="2"/>
    </row>
    <row r="2690">
      <c r="A2690" s="2"/>
      <c r="D2690" s="2"/>
      <c r="E2690" s="2"/>
      <c r="F2690" s="2"/>
      <c r="G2690" s="2"/>
      <c r="H2690" s="2"/>
      <c r="I2690" s="2"/>
      <c r="J2690" s="2"/>
    </row>
    <row r="2691">
      <c r="A2691" s="2"/>
      <c r="D2691" s="2"/>
      <c r="E2691" s="2"/>
      <c r="F2691" s="2"/>
      <c r="G2691" s="2"/>
      <c r="H2691" s="2"/>
      <c r="I2691" s="2"/>
      <c r="J2691" s="2"/>
    </row>
    <row r="2692">
      <c r="A2692" s="2"/>
      <c r="D2692" s="2"/>
      <c r="E2692" s="2"/>
      <c r="F2692" s="2"/>
      <c r="G2692" s="2"/>
      <c r="H2692" s="2"/>
      <c r="I2692" s="2"/>
      <c r="J2692" s="2"/>
    </row>
    <row r="2693">
      <c r="A2693" s="2"/>
      <c r="D2693" s="2"/>
      <c r="E2693" s="2"/>
      <c r="F2693" s="2"/>
      <c r="G2693" s="2"/>
      <c r="H2693" s="2"/>
      <c r="I2693" s="2"/>
      <c r="J2693" s="2"/>
    </row>
    <row r="2694">
      <c r="A2694" s="2"/>
      <c r="D2694" s="2"/>
      <c r="E2694" s="2"/>
      <c r="F2694" s="2"/>
      <c r="G2694" s="2"/>
      <c r="H2694" s="2"/>
      <c r="I2694" s="2"/>
      <c r="J2694" s="2"/>
    </row>
    <row r="2695">
      <c r="A2695" s="2"/>
      <c r="D2695" s="2"/>
      <c r="E2695" s="2"/>
      <c r="F2695" s="2"/>
      <c r="G2695" s="2"/>
      <c r="H2695" s="2"/>
      <c r="I2695" s="2"/>
      <c r="J2695" s="2"/>
    </row>
    <row r="2696">
      <c r="A2696" s="2"/>
      <c r="D2696" s="2"/>
      <c r="E2696" s="2"/>
      <c r="F2696" s="2"/>
      <c r="G2696" s="2"/>
      <c r="H2696" s="2"/>
      <c r="I2696" s="2"/>
      <c r="J2696" s="2"/>
    </row>
    <row r="2697">
      <c r="A2697" s="2"/>
      <c r="D2697" s="2"/>
      <c r="E2697" s="2"/>
      <c r="F2697" s="2"/>
      <c r="G2697" s="2"/>
      <c r="H2697" s="2"/>
      <c r="I2697" s="2"/>
      <c r="J2697" s="2"/>
    </row>
    <row r="2698">
      <c r="A2698" s="2"/>
      <c r="D2698" s="2"/>
      <c r="E2698" s="2"/>
      <c r="F2698" s="2"/>
      <c r="G2698" s="2"/>
      <c r="H2698" s="2"/>
      <c r="I2698" s="2"/>
      <c r="J2698" s="2"/>
    </row>
    <row r="2699">
      <c r="A2699" s="2"/>
      <c r="D2699" s="2"/>
      <c r="E2699" s="2"/>
      <c r="F2699" s="2"/>
      <c r="G2699" s="2"/>
      <c r="H2699" s="2"/>
      <c r="I2699" s="2"/>
      <c r="J2699" s="2"/>
    </row>
    <row r="2700">
      <c r="A2700" s="2"/>
      <c r="D2700" s="2"/>
      <c r="E2700" s="2"/>
      <c r="F2700" s="2"/>
      <c r="G2700" s="2"/>
      <c r="H2700" s="2"/>
      <c r="I2700" s="2"/>
      <c r="J2700" s="2"/>
    </row>
    <row r="2701">
      <c r="A2701" s="2"/>
      <c r="D2701" s="2"/>
      <c r="E2701" s="2"/>
      <c r="F2701" s="2"/>
      <c r="G2701" s="2"/>
      <c r="H2701" s="2"/>
      <c r="I2701" s="2"/>
      <c r="J2701" s="2"/>
    </row>
    <row r="2702">
      <c r="A2702" s="2"/>
      <c r="D2702" s="2"/>
      <c r="E2702" s="2"/>
      <c r="F2702" s="2"/>
      <c r="G2702" s="2"/>
      <c r="H2702" s="2"/>
      <c r="I2702" s="2"/>
      <c r="J2702" s="2"/>
    </row>
    <row r="2703">
      <c r="A2703" s="2"/>
      <c r="D2703" s="2"/>
      <c r="E2703" s="2"/>
      <c r="F2703" s="2"/>
      <c r="G2703" s="2"/>
      <c r="H2703" s="2"/>
      <c r="I2703" s="2"/>
      <c r="J2703" s="2"/>
    </row>
    <row r="2704">
      <c r="A2704" s="2"/>
      <c r="D2704" s="2"/>
      <c r="E2704" s="2"/>
      <c r="F2704" s="2"/>
      <c r="G2704" s="2"/>
      <c r="H2704" s="2"/>
      <c r="I2704" s="2"/>
      <c r="J2704" s="2"/>
    </row>
    <row r="2705">
      <c r="A2705" s="2"/>
      <c r="D2705" s="2"/>
      <c r="E2705" s="2"/>
      <c r="F2705" s="2"/>
      <c r="G2705" s="2"/>
      <c r="H2705" s="2"/>
      <c r="I2705" s="2"/>
      <c r="J2705" s="2"/>
    </row>
    <row r="2706">
      <c r="A2706" s="2"/>
      <c r="D2706" s="2"/>
      <c r="E2706" s="2"/>
      <c r="F2706" s="2"/>
      <c r="G2706" s="2"/>
      <c r="H2706" s="2"/>
      <c r="I2706" s="2"/>
      <c r="J2706" s="2"/>
    </row>
    <row r="2707">
      <c r="A2707" s="2"/>
      <c r="D2707" s="2"/>
      <c r="E2707" s="2"/>
      <c r="F2707" s="2"/>
      <c r="G2707" s="2"/>
      <c r="H2707" s="2"/>
      <c r="I2707" s="2"/>
      <c r="J2707" s="2"/>
    </row>
    <row r="2708">
      <c r="A2708" s="2"/>
      <c r="D2708" s="2"/>
      <c r="E2708" s="2"/>
      <c r="F2708" s="2"/>
      <c r="G2708" s="2"/>
      <c r="H2708" s="2"/>
      <c r="I2708" s="2"/>
      <c r="J2708" s="2"/>
    </row>
    <row r="2709">
      <c r="A2709" s="2"/>
      <c r="D2709" s="2"/>
      <c r="E2709" s="2"/>
      <c r="F2709" s="2"/>
      <c r="G2709" s="2"/>
      <c r="H2709" s="2"/>
      <c r="I2709" s="2"/>
      <c r="J2709" s="2"/>
    </row>
    <row r="2710">
      <c r="A2710" s="2"/>
      <c r="D2710" s="2"/>
      <c r="E2710" s="2"/>
      <c r="F2710" s="2"/>
      <c r="G2710" s="2"/>
      <c r="H2710" s="2"/>
      <c r="I2710" s="2"/>
      <c r="J2710" s="2"/>
    </row>
    <row r="2711">
      <c r="A2711" s="2"/>
      <c r="D2711" s="2"/>
      <c r="E2711" s="2"/>
      <c r="F2711" s="2"/>
      <c r="G2711" s="2"/>
      <c r="H2711" s="2"/>
      <c r="I2711" s="2"/>
      <c r="J2711" s="2"/>
    </row>
    <row r="2712">
      <c r="A2712" s="2"/>
      <c r="D2712" s="2"/>
      <c r="E2712" s="2"/>
      <c r="F2712" s="2"/>
      <c r="G2712" s="2"/>
      <c r="H2712" s="2"/>
      <c r="I2712" s="2"/>
      <c r="J2712" s="2"/>
    </row>
    <row r="2713">
      <c r="A2713" s="2"/>
      <c r="D2713" s="2"/>
      <c r="E2713" s="2"/>
      <c r="F2713" s="2"/>
      <c r="G2713" s="2"/>
      <c r="H2713" s="2"/>
      <c r="I2713" s="2"/>
      <c r="J2713" s="2"/>
    </row>
    <row r="2714">
      <c r="A2714" s="2"/>
      <c r="D2714" s="2"/>
      <c r="E2714" s="2"/>
      <c r="F2714" s="2"/>
      <c r="G2714" s="2"/>
      <c r="H2714" s="2"/>
      <c r="I2714" s="2"/>
      <c r="J2714" s="2"/>
    </row>
    <row r="2715">
      <c r="A2715" s="2"/>
      <c r="D2715" s="2"/>
      <c r="E2715" s="2"/>
      <c r="F2715" s="2"/>
      <c r="G2715" s="2"/>
      <c r="H2715" s="2"/>
      <c r="I2715" s="2"/>
      <c r="J2715" s="2"/>
    </row>
    <row r="2716">
      <c r="A2716" s="2"/>
      <c r="D2716" s="2"/>
      <c r="E2716" s="2"/>
      <c r="F2716" s="2"/>
      <c r="G2716" s="2"/>
      <c r="H2716" s="2"/>
      <c r="I2716" s="2"/>
      <c r="J2716" s="2"/>
    </row>
    <row r="2717">
      <c r="A2717" s="2"/>
      <c r="D2717" s="2"/>
      <c r="E2717" s="2"/>
      <c r="F2717" s="2"/>
      <c r="G2717" s="2"/>
      <c r="H2717" s="2"/>
      <c r="I2717" s="2"/>
      <c r="J2717" s="2"/>
    </row>
    <row r="2718">
      <c r="A2718" s="2"/>
      <c r="D2718" s="2"/>
      <c r="E2718" s="2"/>
      <c r="F2718" s="2"/>
      <c r="G2718" s="2"/>
      <c r="H2718" s="2"/>
      <c r="I2718" s="2"/>
      <c r="J2718" s="2"/>
    </row>
    <row r="2719">
      <c r="A2719" s="2"/>
      <c r="D2719" s="2"/>
      <c r="E2719" s="2"/>
      <c r="F2719" s="2"/>
      <c r="G2719" s="2"/>
      <c r="H2719" s="2"/>
      <c r="I2719" s="2"/>
      <c r="J2719" s="2"/>
    </row>
    <row r="2720">
      <c r="A2720" s="2"/>
      <c r="D2720" s="2"/>
      <c r="E2720" s="2"/>
      <c r="F2720" s="2"/>
      <c r="G2720" s="2"/>
      <c r="H2720" s="2"/>
      <c r="I2720" s="2"/>
      <c r="J2720" s="2"/>
    </row>
    <row r="2721">
      <c r="A2721" s="2"/>
      <c r="D2721" s="2"/>
      <c r="E2721" s="2"/>
      <c r="F2721" s="2"/>
      <c r="G2721" s="2"/>
      <c r="H2721" s="2"/>
      <c r="I2721" s="2"/>
      <c r="J2721" s="2"/>
    </row>
    <row r="2722">
      <c r="A2722" s="2"/>
      <c r="D2722" s="2"/>
      <c r="E2722" s="2"/>
      <c r="F2722" s="2"/>
      <c r="G2722" s="2"/>
      <c r="H2722" s="2"/>
      <c r="I2722" s="2"/>
      <c r="J2722" s="2"/>
    </row>
    <row r="2723">
      <c r="A2723" s="2"/>
      <c r="D2723" s="2"/>
      <c r="E2723" s="2"/>
      <c r="F2723" s="2"/>
      <c r="G2723" s="2"/>
      <c r="H2723" s="2"/>
      <c r="I2723" s="2"/>
      <c r="J2723" s="2"/>
    </row>
    <row r="2724">
      <c r="A2724" s="2"/>
      <c r="D2724" s="2"/>
      <c r="E2724" s="2"/>
      <c r="F2724" s="2"/>
      <c r="G2724" s="2"/>
      <c r="H2724" s="2"/>
      <c r="I2724" s="2"/>
      <c r="J2724" s="2"/>
    </row>
    <row r="2725">
      <c r="A2725" s="2"/>
      <c r="D2725" s="2"/>
      <c r="E2725" s="2"/>
      <c r="F2725" s="2"/>
      <c r="G2725" s="2"/>
      <c r="H2725" s="2"/>
      <c r="I2725" s="2"/>
      <c r="J2725" s="2"/>
    </row>
    <row r="2726">
      <c r="A2726" s="2"/>
      <c r="D2726" s="2"/>
      <c r="E2726" s="2"/>
      <c r="F2726" s="2"/>
      <c r="G2726" s="2"/>
      <c r="H2726" s="2"/>
      <c r="I2726" s="2"/>
      <c r="J2726" s="2"/>
    </row>
    <row r="2727">
      <c r="A2727" s="2"/>
      <c r="D2727" s="2"/>
      <c r="E2727" s="2"/>
      <c r="F2727" s="2"/>
      <c r="G2727" s="2"/>
      <c r="H2727" s="2"/>
      <c r="I2727" s="2"/>
      <c r="J2727" s="2"/>
    </row>
    <row r="2728">
      <c r="A2728" s="2"/>
      <c r="D2728" s="2"/>
      <c r="E2728" s="2"/>
      <c r="F2728" s="2"/>
      <c r="G2728" s="2"/>
      <c r="H2728" s="2"/>
      <c r="I2728" s="2"/>
      <c r="J2728" s="2"/>
    </row>
    <row r="2729">
      <c r="A2729" s="2"/>
      <c r="D2729" s="2"/>
      <c r="E2729" s="2"/>
      <c r="F2729" s="2"/>
      <c r="G2729" s="2"/>
      <c r="H2729" s="2"/>
      <c r="I2729" s="2"/>
      <c r="J2729" s="2"/>
    </row>
    <row r="2730">
      <c r="A2730" s="2"/>
      <c r="D2730" s="2"/>
      <c r="E2730" s="2"/>
      <c r="F2730" s="2"/>
      <c r="G2730" s="2"/>
      <c r="H2730" s="2"/>
      <c r="I2730" s="2"/>
      <c r="J2730" s="2"/>
    </row>
    <row r="2731">
      <c r="A2731" s="2"/>
      <c r="D2731" s="2"/>
      <c r="E2731" s="2"/>
      <c r="F2731" s="2"/>
      <c r="G2731" s="2"/>
      <c r="H2731" s="2"/>
      <c r="I2731" s="2"/>
      <c r="J2731" s="2"/>
    </row>
    <row r="2732">
      <c r="A2732" s="2"/>
      <c r="D2732" s="2"/>
      <c r="E2732" s="2"/>
      <c r="F2732" s="2"/>
      <c r="G2732" s="2"/>
      <c r="H2732" s="2"/>
      <c r="I2732" s="2"/>
      <c r="J2732" s="2"/>
    </row>
    <row r="2733">
      <c r="A2733" s="2"/>
      <c r="D2733" s="2"/>
      <c r="E2733" s="2"/>
      <c r="F2733" s="2"/>
      <c r="G2733" s="2"/>
      <c r="H2733" s="2"/>
      <c r="I2733" s="2"/>
      <c r="J2733" s="2"/>
    </row>
    <row r="2734">
      <c r="A2734" s="2"/>
      <c r="D2734" s="2"/>
      <c r="E2734" s="2"/>
      <c r="F2734" s="2"/>
      <c r="G2734" s="2"/>
      <c r="H2734" s="2"/>
      <c r="I2734" s="2"/>
      <c r="J2734" s="2"/>
    </row>
    <row r="2735">
      <c r="A2735" s="2"/>
      <c r="D2735" s="2"/>
      <c r="E2735" s="2"/>
      <c r="F2735" s="2"/>
      <c r="G2735" s="2"/>
      <c r="H2735" s="2"/>
      <c r="I2735" s="2"/>
      <c r="J2735" s="2"/>
    </row>
    <row r="2736">
      <c r="A2736" s="2"/>
      <c r="D2736" s="2"/>
      <c r="E2736" s="2"/>
      <c r="F2736" s="2"/>
      <c r="G2736" s="2"/>
      <c r="H2736" s="2"/>
      <c r="I2736" s="2"/>
      <c r="J2736" s="2"/>
    </row>
    <row r="2737">
      <c r="A2737" s="2"/>
      <c r="D2737" s="2"/>
      <c r="E2737" s="2"/>
      <c r="F2737" s="2"/>
      <c r="G2737" s="2"/>
      <c r="H2737" s="2"/>
      <c r="I2737" s="2"/>
      <c r="J2737" s="2"/>
    </row>
    <row r="2738">
      <c r="A2738" s="2"/>
      <c r="D2738" s="2"/>
      <c r="E2738" s="2"/>
      <c r="F2738" s="2"/>
      <c r="G2738" s="2"/>
      <c r="H2738" s="2"/>
      <c r="I2738" s="2"/>
      <c r="J2738" s="2"/>
    </row>
    <row r="2739">
      <c r="A2739" s="2"/>
      <c r="D2739" s="2"/>
      <c r="E2739" s="2"/>
      <c r="F2739" s="2"/>
      <c r="G2739" s="2"/>
      <c r="H2739" s="2"/>
      <c r="I2739" s="2"/>
      <c r="J2739" s="2"/>
    </row>
    <row r="2740">
      <c r="A2740" s="2"/>
      <c r="D2740" s="2"/>
      <c r="E2740" s="2"/>
      <c r="F2740" s="2"/>
      <c r="G2740" s="2"/>
      <c r="H2740" s="2"/>
      <c r="I2740" s="2"/>
      <c r="J2740" s="2"/>
    </row>
    <row r="2741">
      <c r="A2741" s="2"/>
      <c r="D2741" s="2"/>
      <c r="E2741" s="2"/>
      <c r="F2741" s="2"/>
      <c r="G2741" s="2"/>
      <c r="H2741" s="2"/>
      <c r="I2741" s="2"/>
      <c r="J2741" s="2"/>
    </row>
    <row r="2742">
      <c r="A2742" s="2"/>
      <c r="D2742" s="2"/>
      <c r="E2742" s="2"/>
      <c r="F2742" s="2"/>
      <c r="G2742" s="2"/>
      <c r="H2742" s="2"/>
      <c r="I2742" s="2"/>
      <c r="J2742" s="2"/>
    </row>
    <row r="2743">
      <c r="A2743" s="2"/>
      <c r="D2743" s="2"/>
      <c r="E2743" s="2"/>
      <c r="F2743" s="2"/>
      <c r="G2743" s="2"/>
      <c r="H2743" s="2"/>
      <c r="I2743" s="2"/>
      <c r="J2743" s="2"/>
    </row>
    <row r="2744">
      <c r="A2744" s="2"/>
      <c r="D2744" s="2"/>
      <c r="E2744" s="2"/>
      <c r="F2744" s="2"/>
      <c r="G2744" s="2"/>
      <c r="H2744" s="2"/>
      <c r="I2744" s="2"/>
      <c r="J2744" s="2"/>
    </row>
    <row r="2745">
      <c r="A2745" s="2"/>
      <c r="D2745" s="2"/>
      <c r="E2745" s="2"/>
      <c r="F2745" s="2"/>
      <c r="G2745" s="2"/>
      <c r="H2745" s="2"/>
      <c r="I2745" s="2"/>
      <c r="J2745" s="2"/>
    </row>
    <row r="2746">
      <c r="A2746" s="2"/>
      <c r="D2746" s="2"/>
      <c r="E2746" s="2"/>
      <c r="F2746" s="2"/>
      <c r="G2746" s="2"/>
      <c r="H2746" s="2"/>
      <c r="I2746" s="2"/>
      <c r="J2746" s="2"/>
    </row>
    <row r="2747">
      <c r="A2747" s="2"/>
      <c r="D2747" s="2"/>
      <c r="E2747" s="2"/>
      <c r="F2747" s="2"/>
      <c r="G2747" s="2"/>
      <c r="H2747" s="2"/>
      <c r="I2747" s="2"/>
      <c r="J2747" s="2"/>
    </row>
    <row r="2748">
      <c r="A2748" s="2"/>
      <c r="D2748" s="2"/>
      <c r="E2748" s="2"/>
      <c r="F2748" s="2"/>
      <c r="G2748" s="2"/>
      <c r="H2748" s="2"/>
      <c r="I2748" s="2"/>
      <c r="J2748" s="2"/>
    </row>
    <row r="2749">
      <c r="A2749" s="2"/>
      <c r="D2749" s="2"/>
      <c r="E2749" s="2"/>
      <c r="F2749" s="2"/>
      <c r="G2749" s="2"/>
      <c r="H2749" s="2"/>
      <c r="I2749" s="2"/>
      <c r="J2749" s="2"/>
    </row>
    <row r="2750">
      <c r="A2750" s="2"/>
      <c r="D2750" s="2"/>
      <c r="E2750" s="2"/>
      <c r="F2750" s="2"/>
      <c r="G2750" s="2"/>
      <c r="H2750" s="2"/>
      <c r="I2750" s="2"/>
      <c r="J2750" s="2"/>
    </row>
    <row r="2751">
      <c r="A2751" s="2"/>
      <c r="D2751" s="2"/>
      <c r="E2751" s="2"/>
      <c r="F2751" s="2"/>
      <c r="G2751" s="2"/>
      <c r="H2751" s="2"/>
      <c r="I2751" s="2"/>
      <c r="J2751" s="2"/>
    </row>
    <row r="2752">
      <c r="A2752" s="2"/>
      <c r="D2752" s="2"/>
      <c r="E2752" s="2"/>
      <c r="F2752" s="2"/>
      <c r="G2752" s="2"/>
      <c r="H2752" s="2"/>
      <c r="I2752" s="2"/>
      <c r="J2752" s="2"/>
    </row>
    <row r="2753">
      <c r="A2753" s="2"/>
      <c r="D2753" s="2"/>
      <c r="E2753" s="2"/>
      <c r="F2753" s="2"/>
      <c r="G2753" s="2"/>
      <c r="H2753" s="2"/>
      <c r="I2753" s="2"/>
      <c r="J2753" s="2"/>
    </row>
    <row r="2754">
      <c r="A2754" s="2"/>
      <c r="D2754" s="2"/>
      <c r="E2754" s="2"/>
      <c r="F2754" s="2"/>
      <c r="G2754" s="2"/>
      <c r="H2754" s="2"/>
      <c r="I2754" s="2"/>
      <c r="J2754" s="2"/>
    </row>
    <row r="2755">
      <c r="A2755" s="2"/>
      <c r="D2755" s="2"/>
      <c r="E2755" s="2"/>
      <c r="F2755" s="2"/>
      <c r="G2755" s="2"/>
      <c r="H2755" s="2"/>
      <c r="I2755" s="2"/>
      <c r="J2755" s="2"/>
    </row>
    <row r="2756">
      <c r="A2756" s="2"/>
      <c r="D2756" s="2"/>
      <c r="E2756" s="2"/>
      <c r="F2756" s="2"/>
      <c r="G2756" s="2"/>
      <c r="H2756" s="2"/>
      <c r="I2756" s="2"/>
      <c r="J2756" s="2"/>
    </row>
    <row r="2757">
      <c r="A2757" s="2"/>
      <c r="D2757" s="2"/>
      <c r="E2757" s="2"/>
      <c r="F2757" s="2"/>
      <c r="G2757" s="2"/>
      <c r="H2757" s="2"/>
      <c r="I2757" s="2"/>
      <c r="J2757" s="2"/>
    </row>
    <row r="2758">
      <c r="A2758" s="2"/>
      <c r="D2758" s="2"/>
      <c r="E2758" s="2"/>
      <c r="F2758" s="2"/>
      <c r="G2758" s="2"/>
      <c r="H2758" s="2"/>
      <c r="I2758" s="2"/>
      <c r="J2758" s="2"/>
    </row>
    <row r="2759">
      <c r="A2759" s="2"/>
      <c r="D2759" s="2"/>
      <c r="E2759" s="2"/>
      <c r="F2759" s="2"/>
      <c r="G2759" s="2"/>
      <c r="H2759" s="2"/>
      <c r="I2759" s="2"/>
      <c r="J2759" s="2"/>
    </row>
    <row r="2760">
      <c r="A2760" s="2"/>
      <c r="D2760" s="2"/>
      <c r="E2760" s="2"/>
      <c r="F2760" s="2"/>
      <c r="G2760" s="2"/>
      <c r="H2760" s="2"/>
      <c r="I2760" s="2"/>
      <c r="J2760" s="2"/>
    </row>
    <row r="2761">
      <c r="A2761" s="2"/>
      <c r="D2761" s="2"/>
      <c r="E2761" s="2"/>
      <c r="F2761" s="2"/>
      <c r="G2761" s="2"/>
      <c r="H2761" s="2"/>
      <c r="I2761" s="2"/>
      <c r="J2761" s="2"/>
    </row>
    <row r="2762">
      <c r="A2762" s="2"/>
      <c r="D2762" s="2"/>
      <c r="E2762" s="2"/>
      <c r="F2762" s="2"/>
      <c r="G2762" s="2"/>
      <c r="H2762" s="2"/>
      <c r="I2762" s="2"/>
      <c r="J2762" s="2"/>
    </row>
    <row r="2763">
      <c r="A2763" s="2"/>
      <c r="D2763" s="2"/>
      <c r="E2763" s="2"/>
      <c r="F2763" s="2"/>
      <c r="G2763" s="2"/>
      <c r="H2763" s="2"/>
      <c r="I2763" s="2"/>
      <c r="J2763" s="2"/>
    </row>
    <row r="2764">
      <c r="A2764" s="2"/>
      <c r="D2764" s="2"/>
      <c r="E2764" s="2"/>
      <c r="F2764" s="2"/>
      <c r="G2764" s="2"/>
      <c r="H2764" s="2"/>
      <c r="I2764" s="2"/>
      <c r="J2764" s="2"/>
    </row>
    <row r="2765">
      <c r="A2765" s="2"/>
      <c r="D2765" s="2"/>
      <c r="E2765" s="2"/>
      <c r="F2765" s="2"/>
      <c r="G2765" s="2"/>
      <c r="H2765" s="2"/>
      <c r="I2765" s="2"/>
      <c r="J2765" s="2"/>
    </row>
    <row r="2766">
      <c r="A2766" s="2"/>
      <c r="D2766" s="2"/>
      <c r="E2766" s="2"/>
      <c r="F2766" s="2"/>
      <c r="G2766" s="2"/>
      <c r="H2766" s="2"/>
      <c r="I2766" s="2"/>
      <c r="J2766" s="2"/>
    </row>
    <row r="2767">
      <c r="A2767" s="2"/>
      <c r="D2767" s="2"/>
      <c r="E2767" s="2"/>
      <c r="F2767" s="2"/>
      <c r="G2767" s="2"/>
      <c r="H2767" s="2"/>
      <c r="I2767" s="2"/>
      <c r="J2767" s="2"/>
    </row>
    <row r="2768">
      <c r="A2768" s="2"/>
      <c r="D2768" s="2"/>
      <c r="E2768" s="2"/>
      <c r="F2768" s="2"/>
      <c r="G2768" s="2"/>
      <c r="H2768" s="2"/>
      <c r="I2768" s="2"/>
      <c r="J2768" s="2"/>
    </row>
    <row r="2769">
      <c r="A2769" s="2"/>
      <c r="D2769" s="2"/>
      <c r="E2769" s="2"/>
      <c r="F2769" s="2"/>
      <c r="G2769" s="2"/>
      <c r="H2769" s="2"/>
      <c r="I2769" s="2"/>
      <c r="J2769" s="2"/>
    </row>
    <row r="2770">
      <c r="A2770" s="2"/>
      <c r="D2770" s="2"/>
      <c r="E2770" s="2"/>
      <c r="F2770" s="2"/>
      <c r="G2770" s="2"/>
      <c r="H2770" s="2"/>
      <c r="I2770" s="2"/>
      <c r="J2770" s="2"/>
    </row>
    <row r="2771">
      <c r="A2771" s="2"/>
      <c r="D2771" s="2"/>
      <c r="E2771" s="2"/>
      <c r="F2771" s="2"/>
      <c r="G2771" s="2"/>
      <c r="H2771" s="2"/>
      <c r="I2771" s="2"/>
      <c r="J2771" s="2"/>
    </row>
    <row r="2772">
      <c r="A2772" s="2"/>
      <c r="D2772" s="2"/>
      <c r="E2772" s="2"/>
      <c r="F2772" s="2"/>
      <c r="G2772" s="2"/>
      <c r="H2772" s="2"/>
      <c r="I2772" s="2"/>
      <c r="J2772" s="2"/>
    </row>
    <row r="2773">
      <c r="A2773" s="2"/>
      <c r="D2773" s="2"/>
      <c r="E2773" s="2"/>
      <c r="F2773" s="2"/>
      <c r="G2773" s="2"/>
      <c r="H2773" s="2"/>
      <c r="I2773" s="2"/>
      <c r="J2773" s="2"/>
    </row>
    <row r="2774">
      <c r="A2774" s="2"/>
      <c r="D2774" s="2"/>
      <c r="E2774" s="2"/>
      <c r="F2774" s="2"/>
      <c r="G2774" s="2"/>
      <c r="H2774" s="2"/>
      <c r="I2774" s="2"/>
      <c r="J2774" s="2"/>
    </row>
    <row r="2775">
      <c r="A2775" s="2"/>
      <c r="D2775" s="2"/>
      <c r="E2775" s="2"/>
      <c r="F2775" s="2"/>
      <c r="G2775" s="2"/>
      <c r="H2775" s="2"/>
      <c r="I2775" s="2"/>
      <c r="J2775" s="2"/>
    </row>
    <row r="2776">
      <c r="A2776" s="2"/>
      <c r="D2776" s="2"/>
      <c r="E2776" s="2"/>
      <c r="F2776" s="2"/>
      <c r="G2776" s="2"/>
      <c r="H2776" s="2"/>
      <c r="I2776" s="2"/>
      <c r="J2776" s="2"/>
    </row>
    <row r="2777">
      <c r="A2777" s="2"/>
      <c r="D2777" s="2"/>
      <c r="E2777" s="2"/>
      <c r="F2777" s="2"/>
      <c r="G2777" s="2"/>
      <c r="H2777" s="2"/>
      <c r="I2777" s="2"/>
      <c r="J2777" s="2"/>
    </row>
    <row r="2778">
      <c r="A2778" s="2"/>
      <c r="D2778" s="2"/>
      <c r="E2778" s="2"/>
      <c r="F2778" s="2"/>
      <c r="G2778" s="2"/>
      <c r="H2778" s="2"/>
      <c r="I2778" s="2"/>
      <c r="J2778" s="2"/>
    </row>
    <row r="2779">
      <c r="A2779" s="2"/>
      <c r="D2779" s="2"/>
      <c r="E2779" s="2"/>
      <c r="F2779" s="2"/>
      <c r="G2779" s="2"/>
      <c r="H2779" s="2"/>
      <c r="I2779" s="2"/>
      <c r="J2779" s="2"/>
    </row>
    <row r="2780">
      <c r="A2780" s="2"/>
      <c r="D2780" s="2"/>
      <c r="E2780" s="2"/>
      <c r="F2780" s="2"/>
      <c r="G2780" s="2"/>
      <c r="H2780" s="2"/>
      <c r="I2780" s="2"/>
      <c r="J2780" s="2"/>
    </row>
    <row r="2781">
      <c r="A2781" s="2"/>
      <c r="D2781" s="2"/>
      <c r="E2781" s="2"/>
      <c r="F2781" s="2"/>
      <c r="G2781" s="2"/>
      <c r="H2781" s="2"/>
      <c r="I2781" s="2"/>
      <c r="J2781" s="2"/>
    </row>
    <row r="2782">
      <c r="A2782" s="2"/>
      <c r="D2782" s="2"/>
      <c r="E2782" s="2"/>
      <c r="F2782" s="2"/>
      <c r="G2782" s="2"/>
      <c r="H2782" s="2"/>
      <c r="I2782" s="2"/>
      <c r="J2782" s="2"/>
    </row>
    <row r="2783">
      <c r="A2783" s="2"/>
      <c r="D2783" s="2"/>
      <c r="E2783" s="2"/>
      <c r="F2783" s="2"/>
      <c r="G2783" s="2"/>
      <c r="H2783" s="2"/>
      <c r="I2783" s="2"/>
      <c r="J2783" s="2"/>
    </row>
    <row r="2784">
      <c r="A2784" s="2"/>
      <c r="D2784" s="2"/>
      <c r="E2784" s="2"/>
      <c r="F2784" s="2"/>
      <c r="G2784" s="2"/>
      <c r="H2784" s="2"/>
      <c r="I2784" s="2"/>
      <c r="J2784" s="2"/>
    </row>
    <row r="2785">
      <c r="A2785" s="2"/>
      <c r="D2785" s="2"/>
      <c r="E2785" s="2"/>
      <c r="F2785" s="2"/>
      <c r="G2785" s="2"/>
      <c r="H2785" s="2"/>
      <c r="I2785" s="2"/>
      <c r="J2785" s="2"/>
    </row>
    <row r="2786">
      <c r="A2786" s="2"/>
      <c r="D2786" s="2"/>
      <c r="E2786" s="2"/>
      <c r="F2786" s="2"/>
      <c r="G2786" s="2"/>
      <c r="H2786" s="2"/>
      <c r="I2786" s="2"/>
      <c r="J2786" s="2"/>
    </row>
    <row r="2787">
      <c r="A2787" s="2"/>
      <c r="D2787" s="2"/>
      <c r="E2787" s="2"/>
      <c r="F2787" s="2"/>
      <c r="G2787" s="2"/>
      <c r="H2787" s="2"/>
      <c r="I2787" s="2"/>
      <c r="J2787" s="2"/>
    </row>
    <row r="2788">
      <c r="A2788" s="2"/>
      <c r="D2788" s="2"/>
      <c r="E2788" s="2"/>
      <c r="F2788" s="2"/>
      <c r="G2788" s="2"/>
      <c r="H2788" s="2"/>
      <c r="I2788" s="2"/>
      <c r="J2788" s="2"/>
    </row>
    <row r="2789">
      <c r="A2789" s="2"/>
      <c r="D2789" s="2"/>
      <c r="E2789" s="2"/>
      <c r="F2789" s="2"/>
      <c r="G2789" s="2"/>
      <c r="H2789" s="2"/>
      <c r="I2789" s="2"/>
      <c r="J2789" s="2"/>
    </row>
    <row r="2790">
      <c r="A2790" s="2"/>
      <c r="D2790" s="2"/>
      <c r="E2790" s="2"/>
      <c r="F2790" s="2"/>
      <c r="G2790" s="2"/>
      <c r="H2790" s="2"/>
      <c r="I2790" s="2"/>
      <c r="J2790" s="2"/>
    </row>
    <row r="2791">
      <c r="A2791" s="2"/>
      <c r="D2791" s="2"/>
      <c r="E2791" s="2"/>
      <c r="F2791" s="2"/>
      <c r="G2791" s="2"/>
      <c r="H2791" s="2"/>
      <c r="I2791" s="2"/>
      <c r="J2791" s="2"/>
    </row>
    <row r="2792">
      <c r="A2792" s="2"/>
      <c r="D2792" s="2"/>
      <c r="E2792" s="2"/>
      <c r="F2792" s="2"/>
      <c r="G2792" s="2"/>
      <c r="H2792" s="2"/>
      <c r="I2792" s="2"/>
      <c r="J2792" s="2"/>
    </row>
    <row r="2793">
      <c r="A2793" s="2"/>
      <c r="D2793" s="2"/>
      <c r="E2793" s="2"/>
      <c r="F2793" s="2"/>
      <c r="G2793" s="2"/>
      <c r="H2793" s="2"/>
      <c r="I2793" s="2"/>
      <c r="J2793" s="2"/>
    </row>
    <row r="2794">
      <c r="A2794" s="2"/>
      <c r="D2794" s="2"/>
      <c r="E2794" s="2"/>
      <c r="F2794" s="2"/>
      <c r="G2794" s="2"/>
      <c r="H2794" s="2"/>
      <c r="I2794" s="2"/>
      <c r="J2794" s="2"/>
    </row>
    <row r="2795">
      <c r="A2795" s="2"/>
      <c r="D2795" s="2"/>
      <c r="E2795" s="2"/>
      <c r="F2795" s="2"/>
      <c r="G2795" s="2"/>
      <c r="H2795" s="2"/>
      <c r="I2795" s="2"/>
      <c r="J2795" s="2"/>
    </row>
    <row r="2796">
      <c r="A2796" s="2"/>
      <c r="D2796" s="2"/>
      <c r="E2796" s="2"/>
      <c r="F2796" s="2"/>
      <c r="G2796" s="2"/>
      <c r="H2796" s="2"/>
      <c r="I2796" s="2"/>
      <c r="J2796" s="2"/>
    </row>
    <row r="2797">
      <c r="A2797" s="2"/>
      <c r="D2797" s="2"/>
      <c r="E2797" s="2"/>
      <c r="F2797" s="2"/>
      <c r="G2797" s="2"/>
      <c r="H2797" s="2"/>
      <c r="I2797" s="2"/>
      <c r="J2797" s="2"/>
    </row>
    <row r="2798">
      <c r="A2798" s="2"/>
      <c r="D2798" s="2"/>
      <c r="E2798" s="2"/>
      <c r="F2798" s="2"/>
      <c r="G2798" s="2"/>
      <c r="H2798" s="2"/>
      <c r="I2798" s="2"/>
      <c r="J2798" s="2"/>
    </row>
    <row r="2799">
      <c r="A2799" s="2"/>
      <c r="D2799" s="2"/>
      <c r="E2799" s="2"/>
      <c r="F2799" s="2"/>
      <c r="G2799" s="2"/>
      <c r="H2799" s="2"/>
      <c r="I2799" s="2"/>
      <c r="J2799" s="2"/>
    </row>
    <row r="2800">
      <c r="A2800" s="2"/>
      <c r="D2800" s="2"/>
      <c r="E2800" s="2"/>
      <c r="F2800" s="2"/>
      <c r="G2800" s="2"/>
      <c r="H2800" s="2"/>
      <c r="I2800" s="2"/>
      <c r="J2800" s="2"/>
    </row>
    <row r="2801">
      <c r="A2801" s="2"/>
      <c r="D2801" s="2"/>
      <c r="E2801" s="2"/>
      <c r="F2801" s="2"/>
      <c r="G2801" s="2"/>
      <c r="H2801" s="2"/>
      <c r="I2801" s="2"/>
      <c r="J2801" s="2"/>
    </row>
    <row r="2802">
      <c r="A2802" s="2"/>
      <c r="D2802" s="2"/>
      <c r="E2802" s="2"/>
      <c r="F2802" s="2"/>
      <c r="G2802" s="2"/>
      <c r="H2802" s="2"/>
      <c r="I2802" s="2"/>
      <c r="J2802" s="2"/>
    </row>
    <row r="2803">
      <c r="A2803" s="2"/>
      <c r="D2803" s="2"/>
      <c r="E2803" s="2"/>
      <c r="F2803" s="2"/>
      <c r="G2803" s="2"/>
      <c r="H2803" s="2"/>
      <c r="I2803" s="2"/>
      <c r="J2803" s="2"/>
    </row>
    <row r="2804">
      <c r="A2804" s="2"/>
      <c r="D2804" s="2"/>
      <c r="E2804" s="2"/>
      <c r="F2804" s="2"/>
      <c r="G2804" s="2"/>
      <c r="H2804" s="2"/>
      <c r="I2804" s="2"/>
      <c r="J2804" s="2"/>
    </row>
    <row r="2805">
      <c r="A2805" s="2"/>
      <c r="D2805" s="2"/>
      <c r="E2805" s="2"/>
      <c r="F2805" s="2"/>
      <c r="G2805" s="2"/>
      <c r="H2805" s="2"/>
      <c r="I2805" s="2"/>
      <c r="J2805" s="2"/>
    </row>
    <row r="2806">
      <c r="A2806" s="2"/>
      <c r="D2806" s="2"/>
      <c r="E2806" s="2"/>
      <c r="F2806" s="2"/>
      <c r="G2806" s="2"/>
      <c r="H2806" s="2"/>
      <c r="I2806" s="2"/>
      <c r="J2806" s="2"/>
    </row>
    <row r="2807">
      <c r="A2807" s="2"/>
      <c r="D2807" s="2"/>
      <c r="E2807" s="2"/>
      <c r="F2807" s="2"/>
      <c r="G2807" s="2"/>
      <c r="H2807" s="2"/>
      <c r="I2807" s="2"/>
      <c r="J2807" s="2"/>
    </row>
    <row r="2808">
      <c r="A2808" s="2"/>
      <c r="D2808" s="2"/>
      <c r="E2808" s="2"/>
      <c r="F2808" s="2"/>
      <c r="G2808" s="2"/>
      <c r="H2808" s="2"/>
      <c r="I2808" s="2"/>
      <c r="J2808" s="2"/>
    </row>
    <row r="2809">
      <c r="A2809" s="2"/>
      <c r="D2809" s="2"/>
      <c r="E2809" s="2"/>
      <c r="F2809" s="2"/>
      <c r="G2809" s="2"/>
      <c r="H2809" s="2"/>
      <c r="I2809" s="2"/>
      <c r="J2809" s="2"/>
    </row>
    <row r="2810">
      <c r="A2810" s="2"/>
      <c r="D2810" s="2"/>
      <c r="E2810" s="2"/>
      <c r="F2810" s="2"/>
      <c r="G2810" s="2"/>
      <c r="H2810" s="2"/>
      <c r="I2810" s="2"/>
      <c r="J2810" s="2"/>
    </row>
    <row r="2811">
      <c r="A2811" s="2"/>
      <c r="D2811" s="2"/>
      <c r="E2811" s="2"/>
      <c r="F2811" s="2"/>
      <c r="G2811" s="2"/>
      <c r="H2811" s="2"/>
      <c r="I2811" s="2"/>
      <c r="J2811" s="2"/>
    </row>
    <row r="2812">
      <c r="A2812" s="2"/>
      <c r="D2812" s="2"/>
      <c r="E2812" s="2"/>
      <c r="F2812" s="2"/>
      <c r="G2812" s="2"/>
      <c r="H2812" s="2"/>
      <c r="I2812" s="2"/>
      <c r="J2812" s="2"/>
    </row>
    <row r="2813">
      <c r="A2813" s="2"/>
      <c r="D2813" s="2"/>
      <c r="E2813" s="2"/>
      <c r="F2813" s="2"/>
      <c r="G2813" s="2"/>
      <c r="H2813" s="2"/>
      <c r="I2813" s="2"/>
      <c r="J2813" s="2"/>
    </row>
    <row r="2814">
      <c r="A2814" s="2"/>
      <c r="D2814" s="2"/>
      <c r="E2814" s="2"/>
      <c r="F2814" s="2"/>
      <c r="G2814" s="2"/>
      <c r="H2814" s="2"/>
      <c r="I2814" s="2"/>
      <c r="J2814" s="2"/>
    </row>
    <row r="2815">
      <c r="A2815" s="2"/>
      <c r="D2815" s="2"/>
      <c r="E2815" s="2"/>
      <c r="F2815" s="2"/>
      <c r="G2815" s="2"/>
      <c r="H2815" s="2"/>
      <c r="I2815" s="2"/>
      <c r="J2815" s="2"/>
    </row>
    <row r="2816">
      <c r="A2816" s="2"/>
      <c r="D2816" s="2"/>
      <c r="E2816" s="2"/>
      <c r="F2816" s="2"/>
      <c r="G2816" s="2"/>
      <c r="H2816" s="2"/>
      <c r="I2816" s="2"/>
      <c r="J2816" s="2"/>
    </row>
    <row r="2817">
      <c r="A2817" s="2"/>
      <c r="D2817" s="2"/>
      <c r="E2817" s="2"/>
      <c r="F2817" s="2"/>
      <c r="G2817" s="2"/>
      <c r="H2817" s="2"/>
      <c r="I2817" s="2"/>
      <c r="J2817" s="2"/>
    </row>
    <row r="2818">
      <c r="A2818" s="2"/>
      <c r="D2818" s="2"/>
      <c r="E2818" s="2"/>
      <c r="F2818" s="2"/>
      <c r="G2818" s="2"/>
      <c r="H2818" s="2"/>
      <c r="I2818" s="2"/>
      <c r="J2818" s="2"/>
    </row>
    <row r="2819">
      <c r="A2819" s="2"/>
      <c r="D2819" s="2"/>
      <c r="E2819" s="2"/>
      <c r="F2819" s="2"/>
      <c r="G2819" s="2"/>
      <c r="H2819" s="2"/>
      <c r="I2819" s="2"/>
      <c r="J2819" s="2"/>
    </row>
    <row r="2820">
      <c r="A2820" s="2"/>
      <c r="D2820" s="2"/>
      <c r="E2820" s="2"/>
      <c r="F2820" s="2"/>
      <c r="G2820" s="2"/>
      <c r="H2820" s="2"/>
      <c r="I2820" s="2"/>
      <c r="J2820" s="2"/>
    </row>
    <row r="2821">
      <c r="A2821" s="2"/>
      <c r="D2821" s="2"/>
      <c r="E2821" s="2"/>
      <c r="F2821" s="2"/>
      <c r="G2821" s="2"/>
      <c r="H2821" s="2"/>
      <c r="I2821" s="2"/>
      <c r="J2821" s="2"/>
    </row>
    <row r="2822">
      <c r="A2822" s="2"/>
      <c r="D2822" s="2"/>
      <c r="E2822" s="2"/>
      <c r="F2822" s="2"/>
      <c r="G2822" s="2"/>
      <c r="H2822" s="2"/>
      <c r="I2822" s="2"/>
      <c r="J2822" s="2"/>
    </row>
    <row r="2823">
      <c r="A2823" s="2"/>
      <c r="D2823" s="2"/>
      <c r="E2823" s="2"/>
      <c r="F2823" s="2"/>
      <c r="G2823" s="2"/>
      <c r="H2823" s="2"/>
      <c r="I2823" s="2"/>
      <c r="J2823" s="2"/>
    </row>
    <row r="2824">
      <c r="A2824" s="2"/>
      <c r="D2824" s="2"/>
      <c r="E2824" s="2"/>
      <c r="F2824" s="2"/>
      <c r="G2824" s="2"/>
      <c r="H2824" s="2"/>
      <c r="I2824" s="2"/>
      <c r="J2824" s="2"/>
    </row>
    <row r="2825">
      <c r="A2825" s="2"/>
      <c r="D2825" s="2"/>
      <c r="E2825" s="2"/>
      <c r="F2825" s="2"/>
      <c r="G2825" s="2"/>
      <c r="H2825" s="2"/>
      <c r="I2825" s="2"/>
      <c r="J2825" s="2"/>
    </row>
    <row r="2826">
      <c r="A2826" s="2"/>
      <c r="D2826" s="2"/>
      <c r="E2826" s="2"/>
      <c r="F2826" s="2"/>
      <c r="G2826" s="2"/>
      <c r="H2826" s="2"/>
      <c r="I2826" s="2"/>
      <c r="J2826" s="2"/>
    </row>
    <row r="2827">
      <c r="A2827" s="2"/>
      <c r="D2827" s="2"/>
      <c r="E2827" s="2"/>
      <c r="F2827" s="2"/>
      <c r="G2827" s="2"/>
      <c r="H2827" s="2"/>
      <c r="I2827" s="2"/>
      <c r="J2827" s="2"/>
    </row>
    <row r="2828">
      <c r="A2828" s="2"/>
      <c r="D2828" s="2"/>
      <c r="E2828" s="2"/>
      <c r="F2828" s="2"/>
      <c r="G2828" s="2"/>
      <c r="H2828" s="2"/>
      <c r="I2828" s="2"/>
      <c r="J2828" s="2"/>
    </row>
    <row r="2829">
      <c r="A2829" s="2"/>
      <c r="D2829" s="2"/>
      <c r="E2829" s="2"/>
      <c r="F2829" s="2"/>
      <c r="G2829" s="2"/>
      <c r="H2829" s="2"/>
      <c r="I2829" s="2"/>
      <c r="J2829" s="2"/>
    </row>
    <row r="2830">
      <c r="A2830" s="2"/>
      <c r="D2830" s="2"/>
      <c r="E2830" s="2"/>
      <c r="F2830" s="2"/>
      <c r="G2830" s="2"/>
      <c r="H2830" s="2"/>
      <c r="I2830" s="2"/>
      <c r="J2830" s="2"/>
    </row>
    <row r="2831">
      <c r="A2831" s="2"/>
      <c r="D2831" s="2"/>
      <c r="E2831" s="2"/>
      <c r="F2831" s="2"/>
      <c r="G2831" s="2"/>
      <c r="H2831" s="2"/>
      <c r="I2831" s="2"/>
      <c r="J2831" s="2"/>
    </row>
    <row r="2832">
      <c r="A2832" s="2"/>
      <c r="D2832" s="2"/>
      <c r="E2832" s="2"/>
      <c r="F2832" s="2"/>
      <c r="G2832" s="2"/>
      <c r="H2832" s="2"/>
      <c r="I2832" s="2"/>
      <c r="J2832" s="2"/>
    </row>
    <row r="2833">
      <c r="A2833" s="2"/>
      <c r="D2833" s="2"/>
      <c r="E2833" s="2"/>
      <c r="F2833" s="2"/>
      <c r="G2833" s="2"/>
      <c r="H2833" s="2"/>
      <c r="I2833" s="2"/>
      <c r="J2833" s="2"/>
    </row>
    <row r="2834">
      <c r="A2834" s="2"/>
      <c r="D2834" s="2"/>
      <c r="E2834" s="2"/>
      <c r="F2834" s="2"/>
      <c r="G2834" s="2"/>
      <c r="H2834" s="2"/>
      <c r="I2834" s="2"/>
      <c r="J2834" s="2"/>
    </row>
    <row r="2835">
      <c r="A2835" s="2"/>
      <c r="D2835" s="2"/>
      <c r="E2835" s="2"/>
      <c r="F2835" s="2"/>
      <c r="G2835" s="2"/>
      <c r="H2835" s="2"/>
      <c r="I2835" s="2"/>
      <c r="J2835" s="2"/>
    </row>
    <row r="2836">
      <c r="A2836" s="2"/>
      <c r="D2836" s="2"/>
      <c r="E2836" s="2"/>
      <c r="F2836" s="2"/>
      <c r="G2836" s="2"/>
      <c r="H2836" s="2"/>
      <c r="I2836" s="2"/>
      <c r="J2836" s="2"/>
    </row>
    <row r="2837">
      <c r="A2837" s="2"/>
      <c r="D2837" s="2"/>
      <c r="E2837" s="2"/>
      <c r="F2837" s="2"/>
      <c r="G2837" s="2"/>
      <c r="H2837" s="2"/>
      <c r="I2837" s="2"/>
      <c r="J2837" s="2"/>
    </row>
    <row r="2838">
      <c r="A2838" s="2"/>
      <c r="D2838" s="2"/>
      <c r="E2838" s="2"/>
      <c r="F2838" s="2"/>
      <c r="G2838" s="2"/>
      <c r="H2838" s="2"/>
      <c r="I2838" s="2"/>
      <c r="J2838" s="2"/>
    </row>
    <row r="2839">
      <c r="A2839" s="2"/>
      <c r="D2839" s="2"/>
      <c r="E2839" s="2"/>
      <c r="F2839" s="2"/>
      <c r="G2839" s="2"/>
      <c r="H2839" s="2"/>
      <c r="I2839" s="2"/>
      <c r="J2839" s="2"/>
    </row>
    <row r="2840">
      <c r="A2840" s="2"/>
      <c r="D2840" s="2"/>
      <c r="E2840" s="2"/>
      <c r="F2840" s="2"/>
      <c r="G2840" s="2"/>
      <c r="H2840" s="2"/>
      <c r="I2840" s="2"/>
      <c r="J2840" s="2"/>
    </row>
    <row r="2841">
      <c r="A2841" s="2"/>
      <c r="D2841" s="2"/>
      <c r="E2841" s="2"/>
      <c r="F2841" s="2"/>
      <c r="G2841" s="2"/>
      <c r="H2841" s="2"/>
      <c r="I2841" s="2"/>
      <c r="J2841" s="2"/>
    </row>
    <row r="2842">
      <c r="A2842" s="2"/>
      <c r="D2842" s="2"/>
      <c r="E2842" s="2"/>
      <c r="F2842" s="2"/>
      <c r="G2842" s="2"/>
      <c r="H2842" s="2"/>
      <c r="I2842" s="2"/>
      <c r="J2842" s="2"/>
    </row>
    <row r="2843">
      <c r="A2843" s="2"/>
      <c r="D2843" s="2"/>
      <c r="E2843" s="2"/>
      <c r="F2843" s="2"/>
      <c r="G2843" s="2"/>
      <c r="H2843" s="2"/>
      <c r="I2843" s="2"/>
      <c r="J2843" s="2"/>
    </row>
    <row r="2844">
      <c r="A2844" s="2"/>
      <c r="D2844" s="2"/>
      <c r="E2844" s="2"/>
      <c r="F2844" s="2"/>
      <c r="G2844" s="2"/>
      <c r="H2844" s="2"/>
      <c r="I2844" s="2"/>
      <c r="J2844" s="2"/>
    </row>
    <row r="2845">
      <c r="A2845" s="2"/>
      <c r="D2845" s="2"/>
      <c r="E2845" s="2"/>
      <c r="F2845" s="2"/>
      <c r="G2845" s="2"/>
      <c r="H2845" s="2"/>
      <c r="I2845" s="2"/>
      <c r="J2845" s="2"/>
    </row>
    <row r="2846">
      <c r="A2846" s="2"/>
      <c r="D2846" s="2"/>
      <c r="E2846" s="2"/>
      <c r="F2846" s="2"/>
      <c r="G2846" s="2"/>
      <c r="H2846" s="2"/>
      <c r="I2846" s="2"/>
      <c r="J2846" s="2"/>
    </row>
    <row r="2847">
      <c r="A2847" s="2"/>
      <c r="D2847" s="2"/>
      <c r="E2847" s="2"/>
      <c r="F2847" s="2"/>
      <c r="G2847" s="2"/>
      <c r="H2847" s="2"/>
      <c r="I2847" s="2"/>
      <c r="J2847" s="2"/>
    </row>
    <row r="2848">
      <c r="A2848" s="2"/>
      <c r="D2848" s="2"/>
      <c r="E2848" s="2"/>
      <c r="F2848" s="2"/>
      <c r="G2848" s="2"/>
      <c r="H2848" s="2"/>
      <c r="I2848" s="2"/>
      <c r="J2848" s="2"/>
    </row>
    <row r="2849">
      <c r="A2849" s="2"/>
      <c r="D2849" s="2"/>
      <c r="E2849" s="2"/>
      <c r="F2849" s="2"/>
      <c r="G2849" s="2"/>
      <c r="H2849" s="2"/>
      <c r="I2849" s="2"/>
      <c r="J2849" s="2"/>
    </row>
    <row r="2850">
      <c r="A2850" s="2"/>
      <c r="D2850" s="2"/>
      <c r="E2850" s="2"/>
      <c r="F2850" s="2"/>
      <c r="G2850" s="2"/>
      <c r="H2850" s="2"/>
      <c r="I2850" s="2"/>
      <c r="J2850" s="2"/>
    </row>
    <row r="2851">
      <c r="A2851" s="2"/>
      <c r="D2851" s="2"/>
      <c r="E2851" s="2"/>
      <c r="F2851" s="2"/>
      <c r="G2851" s="2"/>
      <c r="H2851" s="2"/>
      <c r="I2851" s="2"/>
      <c r="J2851" s="2"/>
    </row>
    <row r="2852">
      <c r="A2852" s="2"/>
      <c r="D2852" s="2"/>
      <c r="E2852" s="2"/>
      <c r="F2852" s="2"/>
      <c r="G2852" s="2"/>
      <c r="H2852" s="2"/>
      <c r="I2852" s="2"/>
      <c r="J2852" s="2"/>
    </row>
    <row r="2853">
      <c r="A2853" s="2"/>
      <c r="D2853" s="2"/>
      <c r="E2853" s="2"/>
      <c r="F2853" s="2"/>
      <c r="G2853" s="2"/>
      <c r="H2853" s="2"/>
      <c r="I2853" s="2"/>
      <c r="J2853" s="2"/>
    </row>
    <row r="2854">
      <c r="A2854" s="2"/>
      <c r="D2854" s="2"/>
      <c r="E2854" s="2"/>
      <c r="F2854" s="2"/>
      <c r="G2854" s="2"/>
      <c r="H2854" s="2"/>
      <c r="I2854" s="2"/>
      <c r="J2854" s="2"/>
    </row>
    <row r="2855">
      <c r="A2855" s="2"/>
      <c r="D2855" s="2"/>
      <c r="E2855" s="2"/>
      <c r="F2855" s="2"/>
      <c r="G2855" s="2"/>
      <c r="H2855" s="2"/>
      <c r="I2855" s="2"/>
      <c r="J2855" s="2"/>
    </row>
    <row r="2856">
      <c r="A2856" s="2"/>
      <c r="D2856" s="2"/>
      <c r="E2856" s="2"/>
      <c r="F2856" s="2"/>
      <c r="G2856" s="2"/>
      <c r="H2856" s="2"/>
      <c r="I2856" s="2"/>
      <c r="J2856" s="2"/>
    </row>
    <row r="2857">
      <c r="A2857" s="2"/>
      <c r="D2857" s="2"/>
      <c r="E2857" s="2"/>
      <c r="F2857" s="2"/>
      <c r="G2857" s="2"/>
      <c r="H2857" s="2"/>
      <c r="I2857" s="2"/>
      <c r="J2857" s="2"/>
    </row>
    <row r="2858">
      <c r="A2858" s="2"/>
      <c r="D2858" s="2"/>
      <c r="E2858" s="2"/>
      <c r="F2858" s="2"/>
      <c r="G2858" s="2"/>
      <c r="H2858" s="2"/>
      <c r="I2858" s="2"/>
      <c r="J2858" s="2"/>
    </row>
    <row r="2859">
      <c r="A2859" s="2"/>
      <c r="D2859" s="2"/>
      <c r="E2859" s="2"/>
      <c r="F2859" s="2"/>
      <c r="G2859" s="2"/>
      <c r="H2859" s="2"/>
      <c r="I2859" s="2"/>
      <c r="J2859" s="2"/>
    </row>
    <row r="2860">
      <c r="A2860" s="2"/>
      <c r="D2860" s="2"/>
      <c r="E2860" s="2"/>
      <c r="F2860" s="2"/>
      <c r="G2860" s="2"/>
      <c r="H2860" s="2"/>
      <c r="I2860" s="2"/>
      <c r="J2860" s="2"/>
    </row>
    <row r="2861">
      <c r="A2861" s="2"/>
      <c r="D2861" s="2"/>
      <c r="E2861" s="2"/>
      <c r="F2861" s="2"/>
      <c r="G2861" s="2"/>
      <c r="H2861" s="2"/>
      <c r="I2861" s="2"/>
      <c r="J2861" s="2"/>
    </row>
    <row r="2862">
      <c r="A2862" s="2"/>
      <c r="D2862" s="2"/>
      <c r="E2862" s="2"/>
      <c r="F2862" s="2"/>
      <c r="G2862" s="2"/>
      <c r="H2862" s="2"/>
      <c r="I2862" s="2"/>
      <c r="J2862" s="2"/>
    </row>
    <row r="2863">
      <c r="A2863" s="2"/>
      <c r="D2863" s="2"/>
      <c r="E2863" s="2"/>
      <c r="F2863" s="2"/>
      <c r="G2863" s="2"/>
      <c r="H2863" s="2"/>
      <c r="I2863" s="2"/>
      <c r="J2863" s="2"/>
    </row>
    <row r="2864">
      <c r="A2864" s="2"/>
      <c r="D2864" s="2"/>
      <c r="E2864" s="2"/>
      <c r="F2864" s="2"/>
      <c r="G2864" s="2"/>
      <c r="H2864" s="2"/>
      <c r="I2864" s="2"/>
      <c r="J2864" s="2"/>
    </row>
    <row r="2865">
      <c r="A2865" s="2"/>
      <c r="D2865" s="2"/>
      <c r="E2865" s="2"/>
      <c r="F2865" s="2"/>
      <c r="G2865" s="2"/>
      <c r="H2865" s="2"/>
      <c r="I2865" s="2"/>
      <c r="J2865" s="2"/>
    </row>
    <row r="2866">
      <c r="A2866" s="2"/>
      <c r="D2866" s="2"/>
      <c r="E2866" s="2"/>
      <c r="F2866" s="2"/>
      <c r="G2866" s="2"/>
      <c r="H2866" s="2"/>
      <c r="I2866" s="2"/>
      <c r="J2866" s="2"/>
    </row>
    <row r="2867">
      <c r="A2867" s="2"/>
      <c r="D2867" s="2"/>
      <c r="E2867" s="2"/>
      <c r="F2867" s="2"/>
      <c r="G2867" s="2"/>
      <c r="H2867" s="2"/>
      <c r="I2867" s="2"/>
      <c r="J2867" s="2"/>
    </row>
    <row r="2868">
      <c r="A2868" s="2"/>
      <c r="D2868" s="2"/>
      <c r="E2868" s="2"/>
      <c r="F2868" s="2"/>
      <c r="G2868" s="2"/>
      <c r="H2868" s="2"/>
      <c r="I2868" s="2"/>
      <c r="J2868" s="2"/>
    </row>
    <row r="2869">
      <c r="A2869" s="2"/>
      <c r="D2869" s="2"/>
      <c r="E2869" s="2"/>
      <c r="F2869" s="2"/>
      <c r="G2869" s="2"/>
      <c r="H2869" s="2"/>
      <c r="I2869" s="2"/>
      <c r="J2869" s="2"/>
    </row>
    <row r="2870">
      <c r="A2870" s="2"/>
      <c r="D2870" s="2"/>
      <c r="E2870" s="2"/>
      <c r="F2870" s="2"/>
      <c r="G2870" s="2"/>
      <c r="H2870" s="2"/>
      <c r="I2870" s="2"/>
      <c r="J2870" s="2"/>
    </row>
    <row r="2871">
      <c r="A2871" s="2"/>
      <c r="D2871" s="2"/>
      <c r="E2871" s="2"/>
      <c r="F2871" s="2"/>
      <c r="G2871" s="2"/>
      <c r="H2871" s="2"/>
      <c r="I2871" s="2"/>
      <c r="J2871" s="2"/>
    </row>
    <row r="2872">
      <c r="A2872" s="2"/>
      <c r="D2872" s="2"/>
      <c r="E2872" s="2"/>
      <c r="F2872" s="2"/>
      <c r="G2872" s="2"/>
      <c r="H2872" s="2"/>
      <c r="I2872" s="2"/>
      <c r="J2872" s="2"/>
    </row>
    <row r="2873">
      <c r="A2873" s="2"/>
      <c r="D2873" s="2"/>
      <c r="E2873" s="2"/>
      <c r="F2873" s="2"/>
      <c r="G2873" s="2"/>
      <c r="H2873" s="2"/>
      <c r="I2873" s="2"/>
      <c r="J2873" s="2"/>
    </row>
    <row r="2874">
      <c r="A2874" s="2"/>
      <c r="D2874" s="2"/>
      <c r="E2874" s="2"/>
      <c r="F2874" s="2"/>
      <c r="G2874" s="2"/>
      <c r="H2874" s="2"/>
      <c r="I2874" s="2"/>
      <c r="J2874" s="2"/>
    </row>
    <row r="2875">
      <c r="A2875" s="2"/>
      <c r="D2875" s="2"/>
      <c r="E2875" s="2"/>
      <c r="F2875" s="2"/>
      <c r="G2875" s="2"/>
      <c r="H2875" s="2"/>
      <c r="I2875" s="2"/>
      <c r="J2875" s="2"/>
    </row>
    <row r="2876">
      <c r="A2876" s="2"/>
      <c r="D2876" s="2"/>
      <c r="E2876" s="2"/>
      <c r="F2876" s="2"/>
      <c r="G2876" s="2"/>
      <c r="H2876" s="2"/>
      <c r="I2876" s="2"/>
      <c r="J2876" s="2"/>
    </row>
    <row r="2877">
      <c r="A2877" s="2"/>
      <c r="D2877" s="2"/>
      <c r="E2877" s="2"/>
      <c r="F2877" s="2"/>
      <c r="G2877" s="2"/>
      <c r="H2877" s="2"/>
      <c r="I2877" s="2"/>
      <c r="J2877" s="2"/>
    </row>
    <row r="2878">
      <c r="A2878" s="2"/>
      <c r="D2878" s="2"/>
      <c r="E2878" s="2"/>
      <c r="F2878" s="2"/>
      <c r="G2878" s="2"/>
      <c r="H2878" s="2"/>
      <c r="I2878" s="2"/>
      <c r="J2878" s="2"/>
    </row>
    <row r="2879">
      <c r="A2879" s="2"/>
      <c r="D2879" s="2"/>
      <c r="E2879" s="2"/>
      <c r="F2879" s="2"/>
      <c r="G2879" s="2"/>
      <c r="H2879" s="2"/>
      <c r="I2879" s="2"/>
      <c r="J2879" s="2"/>
    </row>
    <row r="2880">
      <c r="A2880" s="2"/>
      <c r="D2880" s="2"/>
      <c r="E2880" s="2"/>
      <c r="F2880" s="2"/>
      <c r="G2880" s="2"/>
      <c r="H2880" s="2"/>
      <c r="I2880" s="2"/>
      <c r="J2880" s="2"/>
    </row>
    <row r="2881">
      <c r="A2881" s="2"/>
      <c r="D2881" s="2"/>
      <c r="E2881" s="2"/>
      <c r="F2881" s="2"/>
      <c r="G2881" s="2"/>
      <c r="H2881" s="2"/>
      <c r="I2881" s="2"/>
      <c r="J2881" s="2"/>
    </row>
    <row r="2882">
      <c r="A2882" s="2"/>
      <c r="D2882" s="2"/>
      <c r="E2882" s="2"/>
      <c r="F2882" s="2"/>
      <c r="G2882" s="2"/>
      <c r="H2882" s="2"/>
      <c r="I2882" s="2"/>
      <c r="J2882" s="2"/>
    </row>
    <row r="2883">
      <c r="A2883" s="2"/>
      <c r="D2883" s="2"/>
      <c r="E2883" s="2"/>
      <c r="F2883" s="2"/>
      <c r="G2883" s="2"/>
      <c r="H2883" s="2"/>
      <c r="I2883" s="2"/>
      <c r="J2883" s="2"/>
    </row>
    <row r="2884">
      <c r="A2884" s="2"/>
      <c r="D2884" s="2"/>
      <c r="E2884" s="2"/>
      <c r="F2884" s="2"/>
      <c r="G2884" s="2"/>
      <c r="H2884" s="2"/>
      <c r="I2884" s="2"/>
      <c r="J2884" s="2"/>
    </row>
    <row r="2885">
      <c r="A2885" s="2"/>
      <c r="D2885" s="2"/>
      <c r="E2885" s="2"/>
      <c r="F2885" s="2"/>
      <c r="G2885" s="2"/>
      <c r="H2885" s="2"/>
      <c r="I2885" s="2"/>
      <c r="J2885" s="2"/>
    </row>
    <row r="2886">
      <c r="A2886" s="2"/>
      <c r="D2886" s="2"/>
      <c r="E2886" s="2"/>
      <c r="F2886" s="2"/>
      <c r="G2886" s="2"/>
      <c r="H2886" s="2"/>
      <c r="I2886" s="2"/>
      <c r="J2886" s="2"/>
    </row>
    <row r="2887">
      <c r="A2887" s="2"/>
      <c r="D2887" s="2"/>
      <c r="E2887" s="2"/>
      <c r="F2887" s="2"/>
      <c r="G2887" s="2"/>
      <c r="H2887" s="2"/>
      <c r="I2887" s="2"/>
      <c r="J2887" s="2"/>
    </row>
    <row r="2888">
      <c r="A2888" s="2"/>
      <c r="D2888" s="2"/>
      <c r="E2888" s="2"/>
      <c r="F2888" s="2"/>
      <c r="G2888" s="2"/>
      <c r="H2888" s="2"/>
      <c r="I2888" s="2"/>
      <c r="J2888" s="2"/>
    </row>
    <row r="2889">
      <c r="A2889" s="2"/>
      <c r="D2889" s="2"/>
      <c r="E2889" s="2"/>
      <c r="F2889" s="2"/>
      <c r="G2889" s="2"/>
      <c r="H2889" s="2"/>
      <c r="I2889" s="2"/>
      <c r="J2889" s="2"/>
    </row>
    <row r="2890">
      <c r="A2890" s="2"/>
      <c r="D2890" s="2"/>
      <c r="E2890" s="2"/>
      <c r="F2890" s="2"/>
      <c r="G2890" s="2"/>
      <c r="H2890" s="2"/>
      <c r="I2890" s="2"/>
      <c r="J2890" s="2"/>
    </row>
    <row r="2891">
      <c r="A2891" s="2"/>
      <c r="D2891" s="2"/>
      <c r="E2891" s="2"/>
      <c r="F2891" s="2"/>
      <c r="G2891" s="2"/>
      <c r="H2891" s="2"/>
      <c r="I2891" s="2"/>
      <c r="J2891" s="2"/>
    </row>
    <row r="2892">
      <c r="A2892" s="2"/>
      <c r="D2892" s="2"/>
      <c r="E2892" s="2"/>
      <c r="F2892" s="2"/>
      <c r="G2892" s="2"/>
      <c r="H2892" s="2"/>
      <c r="I2892" s="2"/>
      <c r="J2892" s="2"/>
    </row>
    <row r="2893">
      <c r="A2893" s="2"/>
      <c r="D2893" s="2"/>
      <c r="E2893" s="2"/>
      <c r="F2893" s="2"/>
      <c r="G2893" s="2"/>
      <c r="H2893" s="2"/>
      <c r="I2893" s="2"/>
      <c r="J2893" s="2"/>
    </row>
    <row r="2894">
      <c r="A2894" s="2"/>
      <c r="D2894" s="2"/>
      <c r="E2894" s="2"/>
      <c r="F2894" s="2"/>
      <c r="G2894" s="2"/>
      <c r="H2894" s="2"/>
      <c r="I2894" s="2"/>
      <c r="J2894" s="2"/>
    </row>
    <row r="2895">
      <c r="A2895" s="2"/>
      <c r="D2895" s="2"/>
      <c r="E2895" s="2"/>
      <c r="F2895" s="2"/>
      <c r="G2895" s="2"/>
      <c r="H2895" s="2"/>
      <c r="I2895" s="2"/>
      <c r="J2895" s="2"/>
    </row>
    <row r="2896">
      <c r="A2896" s="2"/>
      <c r="D2896" s="2"/>
      <c r="E2896" s="2"/>
      <c r="F2896" s="2"/>
      <c r="G2896" s="2"/>
      <c r="H2896" s="2"/>
      <c r="I2896" s="2"/>
      <c r="J2896" s="2"/>
    </row>
    <row r="2897">
      <c r="A2897" s="2"/>
      <c r="D2897" s="2"/>
      <c r="E2897" s="2"/>
      <c r="F2897" s="2"/>
      <c r="G2897" s="2"/>
      <c r="H2897" s="2"/>
      <c r="I2897" s="2"/>
      <c r="J2897" s="2"/>
    </row>
    <row r="2898">
      <c r="A2898" s="2"/>
      <c r="D2898" s="2"/>
      <c r="E2898" s="2"/>
      <c r="F2898" s="2"/>
      <c r="G2898" s="2"/>
      <c r="H2898" s="2"/>
      <c r="I2898" s="2"/>
      <c r="J2898" s="2"/>
    </row>
    <row r="2899">
      <c r="A2899" s="2"/>
      <c r="D2899" s="2"/>
      <c r="E2899" s="2"/>
      <c r="F2899" s="2"/>
      <c r="G2899" s="2"/>
      <c r="H2899" s="2"/>
      <c r="I2899" s="2"/>
      <c r="J2899" s="2"/>
    </row>
    <row r="2900">
      <c r="A2900" s="2"/>
      <c r="D2900" s="2"/>
      <c r="E2900" s="2"/>
      <c r="F2900" s="2"/>
      <c r="G2900" s="2"/>
      <c r="H2900" s="2"/>
      <c r="I2900" s="2"/>
      <c r="J2900" s="2"/>
    </row>
    <row r="2901">
      <c r="A2901" s="2"/>
      <c r="D2901" s="2"/>
      <c r="E2901" s="2"/>
      <c r="F2901" s="2"/>
      <c r="G2901" s="2"/>
      <c r="H2901" s="2"/>
      <c r="I2901" s="2"/>
      <c r="J2901" s="2"/>
    </row>
    <row r="2902">
      <c r="A2902" s="2"/>
      <c r="D2902" s="2"/>
      <c r="E2902" s="2"/>
      <c r="F2902" s="2"/>
      <c r="G2902" s="2"/>
      <c r="H2902" s="2"/>
      <c r="I2902" s="2"/>
      <c r="J2902" s="2"/>
    </row>
    <row r="2903">
      <c r="A2903" s="2"/>
      <c r="D2903" s="2"/>
      <c r="E2903" s="2"/>
      <c r="F2903" s="2"/>
      <c r="G2903" s="2"/>
      <c r="H2903" s="2"/>
      <c r="I2903" s="2"/>
      <c r="J2903" s="2"/>
    </row>
    <row r="2904">
      <c r="A2904" s="2"/>
      <c r="D2904" s="2"/>
      <c r="E2904" s="2"/>
      <c r="F2904" s="2"/>
      <c r="G2904" s="2"/>
      <c r="H2904" s="2"/>
      <c r="I2904" s="2"/>
      <c r="J2904" s="2"/>
    </row>
    <row r="2905">
      <c r="A2905" s="2"/>
      <c r="D2905" s="2"/>
      <c r="E2905" s="2"/>
      <c r="F2905" s="2"/>
      <c r="G2905" s="2"/>
      <c r="H2905" s="2"/>
      <c r="I2905" s="2"/>
      <c r="J2905" s="2"/>
    </row>
    <row r="2906">
      <c r="A2906" s="2"/>
      <c r="D2906" s="2"/>
      <c r="E2906" s="2"/>
      <c r="F2906" s="2"/>
      <c r="G2906" s="2"/>
      <c r="H2906" s="2"/>
      <c r="I2906" s="2"/>
      <c r="J2906" s="2"/>
    </row>
    <row r="2907">
      <c r="A2907" s="2"/>
      <c r="D2907" s="2"/>
      <c r="E2907" s="2"/>
      <c r="F2907" s="2"/>
      <c r="G2907" s="2"/>
      <c r="H2907" s="2"/>
      <c r="I2907" s="2"/>
      <c r="J2907" s="2"/>
    </row>
    <row r="2908">
      <c r="A2908" s="2"/>
      <c r="D2908" s="2"/>
      <c r="E2908" s="2"/>
      <c r="F2908" s="2"/>
      <c r="G2908" s="2"/>
      <c r="H2908" s="2"/>
      <c r="I2908" s="2"/>
      <c r="J2908" s="2"/>
    </row>
    <row r="2909">
      <c r="A2909" s="2"/>
      <c r="D2909" s="2"/>
      <c r="E2909" s="2"/>
      <c r="F2909" s="2"/>
      <c r="G2909" s="2"/>
      <c r="H2909" s="2"/>
      <c r="I2909" s="2"/>
      <c r="J2909" s="2"/>
    </row>
    <row r="2910">
      <c r="A2910" s="2"/>
      <c r="D2910" s="2"/>
      <c r="E2910" s="2"/>
      <c r="F2910" s="2"/>
      <c r="G2910" s="2"/>
      <c r="H2910" s="2"/>
      <c r="I2910" s="2"/>
      <c r="J2910" s="2"/>
    </row>
    <row r="2911">
      <c r="A2911" s="2"/>
      <c r="D2911" s="2"/>
      <c r="E2911" s="2"/>
      <c r="F2911" s="2"/>
      <c r="G2911" s="2"/>
      <c r="H2911" s="2"/>
      <c r="I2911" s="2"/>
      <c r="J2911" s="2"/>
    </row>
    <row r="2912">
      <c r="A2912" s="2"/>
      <c r="D2912" s="2"/>
      <c r="E2912" s="2"/>
      <c r="F2912" s="2"/>
      <c r="G2912" s="2"/>
      <c r="H2912" s="2"/>
      <c r="I2912" s="2"/>
      <c r="J2912" s="2"/>
    </row>
    <row r="2913">
      <c r="A2913" s="2"/>
      <c r="D2913" s="2"/>
      <c r="E2913" s="2"/>
      <c r="F2913" s="2"/>
      <c r="G2913" s="2"/>
      <c r="H2913" s="2"/>
      <c r="I2913" s="2"/>
      <c r="J2913" s="2"/>
    </row>
    <row r="2914">
      <c r="A2914" s="2"/>
      <c r="D2914" s="2"/>
      <c r="E2914" s="2"/>
      <c r="F2914" s="2"/>
      <c r="G2914" s="2"/>
      <c r="H2914" s="2"/>
      <c r="I2914" s="2"/>
      <c r="J2914" s="2"/>
    </row>
    <row r="2915">
      <c r="A2915" s="2"/>
      <c r="D2915" s="2"/>
      <c r="E2915" s="2"/>
      <c r="F2915" s="2"/>
      <c r="G2915" s="2"/>
      <c r="H2915" s="2"/>
      <c r="I2915" s="2"/>
      <c r="J2915" s="2"/>
    </row>
    <row r="2916">
      <c r="A2916" s="2"/>
      <c r="D2916" s="2"/>
      <c r="E2916" s="2"/>
      <c r="F2916" s="2"/>
      <c r="G2916" s="2"/>
      <c r="H2916" s="2"/>
      <c r="I2916" s="2"/>
      <c r="J2916" s="2"/>
    </row>
    <row r="2917">
      <c r="A2917" s="2"/>
      <c r="D2917" s="2"/>
      <c r="E2917" s="2"/>
      <c r="F2917" s="2"/>
      <c r="G2917" s="2"/>
      <c r="H2917" s="2"/>
      <c r="I2917" s="2"/>
      <c r="J2917" s="2"/>
    </row>
    <row r="2918">
      <c r="A2918" s="2"/>
      <c r="D2918" s="2"/>
      <c r="E2918" s="2"/>
      <c r="F2918" s="2"/>
      <c r="G2918" s="2"/>
      <c r="H2918" s="2"/>
      <c r="I2918" s="2"/>
      <c r="J2918" s="2"/>
    </row>
    <row r="2919">
      <c r="A2919" s="2"/>
      <c r="D2919" s="2"/>
      <c r="E2919" s="2"/>
      <c r="F2919" s="2"/>
      <c r="G2919" s="2"/>
      <c r="H2919" s="2"/>
      <c r="I2919" s="2"/>
      <c r="J2919" s="2"/>
    </row>
    <row r="2920">
      <c r="A2920" s="2"/>
      <c r="D2920" s="2"/>
      <c r="E2920" s="2"/>
      <c r="F2920" s="2"/>
      <c r="G2920" s="2"/>
      <c r="H2920" s="2"/>
      <c r="I2920" s="2"/>
      <c r="J2920" s="2"/>
    </row>
    <row r="2921">
      <c r="A2921" s="2"/>
      <c r="D2921" s="2"/>
      <c r="E2921" s="2"/>
      <c r="F2921" s="2"/>
      <c r="G2921" s="2"/>
      <c r="H2921" s="2"/>
      <c r="I2921" s="2"/>
      <c r="J2921" s="2"/>
    </row>
    <row r="2922">
      <c r="A2922" s="2"/>
      <c r="D2922" s="2"/>
      <c r="E2922" s="2"/>
      <c r="F2922" s="2"/>
      <c r="G2922" s="2"/>
      <c r="H2922" s="2"/>
      <c r="I2922" s="2"/>
      <c r="J2922" s="2"/>
    </row>
    <row r="2923">
      <c r="A2923" s="2"/>
      <c r="D2923" s="2"/>
      <c r="E2923" s="2"/>
      <c r="F2923" s="2"/>
      <c r="G2923" s="2"/>
      <c r="H2923" s="2"/>
      <c r="I2923" s="2"/>
      <c r="J2923" s="2"/>
    </row>
    <row r="2924">
      <c r="A2924" s="2"/>
      <c r="D2924" s="2"/>
      <c r="E2924" s="2"/>
      <c r="F2924" s="2"/>
      <c r="G2924" s="2"/>
      <c r="H2924" s="2"/>
      <c r="I2924" s="2"/>
      <c r="J2924" s="2"/>
    </row>
    <row r="2925">
      <c r="A2925" s="2"/>
      <c r="D2925" s="2"/>
      <c r="E2925" s="2"/>
      <c r="F2925" s="2"/>
      <c r="G2925" s="2"/>
      <c r="H2925" s="2"/>
      <c r="I2925" s="2"/>
      <c r="J2925" s="2"/>
    </row>
    <row r="2926">
      <c r="A2926" s="2"/>
      <c r="D2926" s="2"/>
      <c r="E2926" s="2"/>
      <c r="F2926" s="2"/>
      <c r="G2926" s="2"/>
      <c r="H2926" s="2"/>
      <c r="I2926" s="2"/>
      <c r="J2926" s="2"/>
    </row>
    <row r="2927">
      <c r="A2927" s="2"/>
      <c r="D2927" s="2"/>
      <c r="E2927" s="2"/>
      <c r="F2927" s="2"/>
      <c r="G2927" s="2"/>
      <c r="H2927" s="2"/>
      <c r="I2927" s="2"/>
      <c r="J2927" s="2"/>
    </row>
    <row r="2928">
      <c r="A2928" s="2"/>
      <c r="D2928" s="2"/>
      <c r="E2928" s="2"/>
      <c r="F2928" s="2"/>
      <c r="G2928" s="2"/>
      <c r="H2928" s="2"/>
      <c r="I2928" s="2"/>
      <c r="J2928" s="2"/>
    </row>
    <row r="2929">
      <c r="A2929" s="2"/>
      <c r="D2929" s="2"/>
      <c r="E2929" s="2"/>
      <c r="F2929" s="2"/>
      <c r="G2929" s="2"/>
      <c r="H2929" s="2"/>
      <c r="I2929" s="2"/>
      <c r="J2929" s="2"/>
    </row>
    <row r="2930">
      <c r="A2930" s="2"/>
      <c r="D2930" s="2"/>
      <c r="E2930" s="2"/>
      <c r="F2930" s="2"/>
      <c r="G2930" s="2"/>
      <c r="H2930" s="2"/>
      <c r="I2930" s="2"/>
      <c r="J2930" s="2"/>
    </row>
    <row r="2931">
      <c r="A2931" s="2"/>
      <c r="D2931" s="2"/>
      <c r="E2931" s="2"/>
      <c r="F2931" s="2"/>
      <c r="G2931" s="2"/>
      <c r="H2931" s="2"/>
      <c r="I2931" s="2"/>
      <c r="J2931" s="2"/>
    </row>
    <row r="2932">
      <c r="A2932" s="2"/>
      <c r="D2932" s="2"/>
      <c r="E2932" s="2"/>
      <c r="F2932" s="2"/>
      <c r="G2932" s="2"/>
      <c r="H2932" s="2"/>
      <c r="I2932" s="2"/>
      <c r="J2932" s="2"/>
    </row>
    <row r="2933">
      <c r="A2933" s="2"/>
      <c r="D2933" s="2"/>
      <c r="E2933" s="2"/>
      <c r="F2933" s="2"/>
      <c r="G2933" s="2"/>
      <c r="H2933" s="2"/>
      <c r="I2933" s="2"/>
      <c r="J2933" s="2"/>
    </row>
    <row r="2934">
      <c r="A2934" s="2"/>
      <c r="D2934" s="2"/>
      <c r="E2934" s="2"/>
      <c r="F2934" s="2"/>
      <c r="G2934" s="2"/>
      <c r="H2934" s="2"/>
      <c r="I2934" s="2"/>
      <c r="J2934" s="2"/>
    </row>
    <row r="2935">
      <c r="A2935" s="2"/>
      <c r="D2935" s="2"/>
      <c r="E2935" s="2"/>
      <c r="F2935" s="2"/>
      <c r="G2935" s="2"/>
      <c r="H2935" s="2"/>
      <c r="I2935" s="2"/>
      <c r="J2935" s="2"/>
    </row>
    <row r="2936">
      <c r="A2936" s="2"/>
      <c r="D2936" s="2"/>
      <c r="E2936" s="2"/>
      <c r="F2936" s="2"/>
      <c r="G2936" s="2"/>
      <c r="H2936" s="2"/>
      <c r="I2936" s="2"/>
      <c r="J2936" s="2"/>
    </row>
    <row r="2937">
      <c r="A2937" s="2"/>
      <c r="D2937" s="2"/>
      <c r="E2937" s="2"/>
      <c r="F2937" s="2"/>
      <c r="G2937" s="2"/>
      <c r="H2937" s="2"/>
      <c r="I2937" s="2"/>
      <c r="J2937" s="2"/>
    </row>
    <row r="2938">
      <c r="A2938" s="2"/>
      <c r="D2938" s="2"/>
      <c r="E2938" s="2"/>
      <c r="F2938" s="2"/>
      <c r="G2938" s="2"/>
      <c r="H2938" s="2"/>
      <c r="I2938" s="2"/>
      <c r="J2938" s="2"/>
    </row>
    <row r="2939">
      <c r="A2939" s="2"/>
      <c r="D2939" s="2"/>
      <c r="E2939" s="2"/>
      <c r="F2939" s="2"/>
      <c r="G2939" s="2"/>
      <c r="H2939" s="2"/>
      <c r="I2939" s="2"/>
      <c r="J2939" s="2"/>
    </row>
    <row r="2940">
      <c r="A2940" s="2"/>
      <c r="D2940" s="2"/>
      <c r="E2940" s="2"/>
      <c r="F2940" s="2"/>
      <c r="G2940" s="2"/>
      <c r="H2940" s="2"/>
      <c r="I2940" s="2"/>
      <c r="J2940" s="2"/>
    </row>
    <row r="2941">
      <c r="A2941" s="2"/>
      <c r="D2941" s="2"/>
      <c r="E2941" s="2"/>
      <c r="F2941" s="2"/>
      <c r="G2941" s="2"/>
      <c r="H2941" s="2"/>
      <c r="I2941" s="2"/>
      <c r="J2941" s="2"/>
    </row>
    <row r="2942">
      <c r="A2942" s="2"/>
      <c r="D2942" s="2"/>
      <c r="E2942" s="2"/>
      <c r="F2942" s="2"/>
      <c r="G2942" s="2"/>
      <c r="H2942" s="2"/>
      <c r="I2942" s="2"/>
      <c r="J2942" s="2"/>
    </row>
    <row r="2943">
      <c r="A2943" s="2"/>
      <c r="D2943" s="2"/>
      <c r="E2943" s="2"/>
      <c r="F2943" s="2"/>
      <c r="G2943" s="2"/>
      <c r="H2943" s="2"/>
      <c r="I2943" s="2"/>
      <c r="J2943" s="2"/>
    </row>
    <row r="2944">
      <c r="A2944" s="2"/>
      <c r="D2944" s="2"/>
      <c r="E2944" s="2"/>
      <c r="F2944" s="2"/>
      <c r="G2944" s="2"/>
      <c r="H2944" s="2"/>
      <c r="I2944" s="2"/>
      <c r="J2944" s="2"/>
    </row>
    <row r="2945">
      <c r="A2945" s="2"/>
      <c r="D2945" s="2"/>
      <c r="E2945" s="2"/>
      <c r="F2945" s="2"/>
      <c r="G2945" s="2"/>
      <c r="H2945" s="2"/>
      <c r="I2945" s="2"/>
      <c r="J2945" s="2"/>
    </row>
    <row r="2946">
      <c r="A2946" s="2"/>
      <c r="D2946" s="2"/>
      <c r="E2946" s="2"/>
      <c r="F2946" s="2"/>
      <c r="G2946" s="2"/>
      <c r="H2946" s="2"/>
      <c r="I2946" s="2"/>
      <c r="J2946" s="2"/>
    </row>
    <row r="2947">
      <c r="A2947" s="2"/>
      <c r="D2947" s="2"/>
      <c r="E2947" s="2"/>
      <c r="F2947" s="2"/>
      <c r="G2947" s="2"/>
      <c r="H2947" s="2"/>
      <c r="I2947" s="2"/>
      <c r="J2947" s="2"/>
    </row>
    <row r="2948">
      <c r="A2948" s="2"/>
      <c r="D2948" s="2"/>
      <c r="E2948" s="2"/>
      <c r="F2948" s="2"/>
      <c r="G2948" s="2"/>
      <c r="H2948" s="2"/>
      <c r="I2948" s="2"/>
      <c r="J2948" s="2"/>
    </row>
    <row r="2949">
      <c r="A2949" s="2"/>
      <c r="D2949" s="2"/>
      <c r="E2949" s="2"/>
      <c r="F2949" s="2"/>
      <c r="G2949" s="2"/>
      <c r="H2949" s="2"/>
      <c r="I2949" s="2"/>
      <c r="J2949" s="2"/>
    </row>
    <row r="2950">
      <c r="A2950" s="2"/>
      <c r="D2950" s="2"/>
      <c r="E2950" s="2"/>
      <c r="F2950" s="2"/>
      <c r="G2950" s="2"/>
      <c r="H2950" s="2"/>
      <c r="I2950" s="2"/>
      <c r="J2950" s="2"/>
    </row>
    <row r="2951">
      <c r="A2951" s="2"/>
      <c r="D2951" s="2"/>
      <c r="E2951" s="2"/>
      <c r="F2951" s="2"/>
      <c r="G2951" s="2"/>
      <c r="H2951" s="2"/>
      <c r="I2951" s="2"/>
      <c r="J2951" s="2"/>
    </row>
    <row r="2952">
      <c r="A2952" s="2"/>
      <c r="D2952" s="2"/>
      <c r="E2952" s="2"/>
      <c r="F2952" s="2"/>
      <c r="G2952" s="2"/>
      <c r="H2952" s="2"/>
      <c r="I2952" s="2"/>
      <c r="J2952" s="2"/>
    </row>
    <row r="2953">
      <c r="A2953" s="2"/>
      <c r="D2953" s="2"/>
      <c r="E2953" s="2"/>
      <c r="F2953" s="2"/>
      <c r="G2953" s="2"/>
      <c r="H2953" s="2"/>
      <c r="I2953" s="2"/>
      <c r="J2953" s="2"/>
    </row>
    <row r="2954">
      <c r="A2954" s="2"/>
      <c r="D2954" s="2"/>
      <c r="E2954" s="2"/>
      <c r="F2954" s="2"/>
      <c r="G2954" s="2"/>
      <c r="H2954" s="2"/>
      <c r="I2954" s="2"/>
      <c r="J2954" s="2"/>
    </row>
    <row r="2955">
      <c r="A2955" s="2"/>
      <c r="D2955" s="2"/>
      <c r="E2955" s="2"/>
      <c r="F2955" s="2"/>
      <c r="G2955" s="2"/>
      <c r="H2955" s="2"/>
      <c r="I2955" s="2"/>
      <c r="J2955" s="2"/>
    </row>
    <row r="2956">
      <c r="A2956" s="2"/>
      <c r="D2956" s="2"/>
      <c r="E2956" s="2"/>
      <c r="F2956" s="2"/>
      <c r="G2956" s="2"/>
      <c r="H2956" s="2"/>
      <c r="I2956" s="2"/>
      <c r="J2956" s="2"/>
    </row>
    <row r="2957">
      <c r="A2957" s="2"/>
      <c r="D2957" s="2"/>
      <c r="E2957" s="2"/>
      <c r="F2957" s="2"/>
      <c r="G2957" s="2"/>
      <c r="H2957" s="2"/>
      <c r="I2957" s="2"/>
      <c r="J2957" s="2"/>
    </row>
    <row r="2958">
      <c r="A2958" s="2"/>
      <c r="D2958" s="2"/>
      <c r="E2958" s="2"/>
      <c r="F2958" s="2"/>
      <c r="G2958" s="2"/>
      <c r="H2958" s="2"/>
      <c r="I2958" s="2"/>
      <c r="J2958" s="2"/>
    </row>
    <row r="2959">
      <c r="A2959" s="2"/>
      <c r="D2959" s="2"/>
      <c r="E2959" s="2"/>
      <c r="F2959" s="2"/>
      <c r="G2959" s="2"/>
      <c r="H2959" s="2"/>
      <c r="I2959" s="2"/>
      <c r="J2959" s="2"/>
    </row>
    <row r="2960">
      <c r="A2960" s="2"/>
      <c r="D2960" s="2"/>
      <c r="E2960" s="2"/>
      <c r="F2960" s="2"/>
      <c r="G2960" s="2"/>
      <c r="H2960" s="2"/>
      <c r="I2960" s="2"/>
      <c r="J2960" s="2"/>
    </row>
    <row r="2961">
      <c r="A2961" s="2"/>
      <c r="D2961" s="2"/>
      <c r="E2961" s="2"/>
      <c r="F2961" s="2"/>
      <c r="G2961" s="2"/>
      <c r="H2961" s="2"/>
      <c r="I2961" s="2"/>
      <c r="J2961" s="2"/>
    </row>
    <row r="2962">
      <c r="A2962" s="2"/>
      <c r="D2962" s="2"/>
      <c r="E2962" s="2"/>
      <c r="F2962" s="2"/>
      <c r="G2962" s="2"/>
      <c r="H2962" s="2"/>
      <c r="I2962" s="2"/>
      <c r="J2962" s="2"/>
    </row>
    <row r="2963">
      <c r="A2963" s="2"/>
      <c r="D2963" s="2"/>
      <c r="E2963" s="2"/>
      <c r="F2963" s="2"/>
      <c r="G2963" s="2"/>
      <c r="H2963" s="2"/>
      <c r="I2963" s="2"/>
      <c r="J2963" s="2"/>
    </row>
    <row r="2964">
      <c r="A2964" s="2"/>
      <c r="D2964" s="2"/>
      <c r="E2964" s="2"/>
      <c r="F2964" s="2"/>
      <c r="G2964" s="2"/>
      <c r="H2964" s="2"/>
      <c r="I2964" s="2"/>
      <c r="J2964" s="2"/>
    </row>
    <row r="2965">
      <c r="A2965" s="2"/>
      <c r="D2965" s="2"/>
      <c r="E2965" s="2"/>
      <c r="F2965" s="2"/>
      <c r="G2965" s="2"/>
      <c r="H2965" s="2"/>
      <c r="I2965" s="2"/>
      <c r="J2965" s="2"/>
    </row>
    <row r="2966">
      <c r="A2966" s="2"/>
      <c r="D2966" s="2"/>
      <c r="E2966" s="2"/>
      <c r="F2966" s="2"/>
      <c r="G2966" s="2"/>
      <c r="H2966" s="2"/>
      <c r="I2966" s="2"/>
      <c r="J2966" s="2"/>
    </row>
    <row r="2967">
      <c r="A2967" s="2"/>
      <c r="D2967" s="2"/>
      <c r="E2967" s="2"/>
      <c r="F2967" s="2"/>
      <c r="G2967" s="2"/>
      <c r="H2967" s="2"/>
      <c r="I2967" s="2"/>
      <c r="J2967" s="2"/>
    </row>
    <row r="2968">
      <c r="A2968" s="2"/>
      <c r="D2968" s="2"/>
      <c r="E2968" s="2"/>
      <c r="F2968" s="2"/>
      <c r="G2968" s="2"/>
      <c r="H2968" s="2"/>
      <c r="I2968" s="2"/>
      <c r="J2968" s="2"/>
    </row>
    <row r="2969">
      <c r="A2969" s="2"/>
      <c r="D2969" s="2"/>
      <c r="E2969" s="2"/>
      <c r="F2969" s="2"/>
      <c r="G2969" s="2"/>
      <c r="H2969" s="2"/>
      <c r="I2969" s="2"/>
      <c r="J2969" s="2"/>
    </row>
    <row r="2970">
      <c r="A2970" s="2"/>
      <c r="D2970" s="2"/>
      <c r="E2970" s="2"/>
      <c r="F2970" s="2"/>
      <c r="G2970" s="2"/>
      <c r="H2970" s="2"/>
      <c r="I2970" s="2"/>
      <c r="J2970" s="2"/>
    </row>
    <row r="2971">
      <c r="A2971" s="2"/>
      <c r="D2971" s="2"/>
      <c r="E2971" s="2"/>
      <c r="F2971" s="2"/>
      <c r="G2971" s="2"/>
      <c r="H2971" s="2"/>
      <c r="I2971" s="2"/>
      <c r="J2971" s="2"/>
    </row>
    <row r="2972">
      <c r="A2972" s="2"/>
      <c r="D2972" s="2"/>
      <c r="E2972" s="2"/>
      <c r="F2972" s="2"/>
      <c r="G2972" s="2"/>
      <c r="H2972" s="2"/>
      <c r="I2972" s="2"/>
      <c r="J2972" s="2"/>
    </row>
    <row r="2973">
      <c r="A2973" s="2"/>
      <c r="D2973" s="2"/>
      <c r="E2973" s="2"/>
      <c r="F2973" s="2"/>
      <c r="G2973" s="2"/>
      <c r="H2973" s="2"/>
      <c r="I2973" s="2"/>
      <c r="J2973" s="2"/>
    </row>
    <row r="2974">
      <c r="A2974" s="2"/>
      <c r="D2974" s="2"/>
      <c r="E2974" s="2"/>
      <c r="F2974" s="2"/>
      <c r="G2974" s="2"/>
      <c r="H2974" s="2"/>
      <c r="I2974" s="2"/>
      <c r="J2974" s="2"/>
    </row>
    <row r="2975">
      <c r="A2975" s="2"/>
      <c r="D2975" s="2"/>
      <c r="E2975" s="2"/>
      <c r="F2975" s="2"/>
      <c r="G2975" s="2"/>
      <c r="H2975" s="2"/>
      <c r="I2975" s="2"/>
      <c r="J2975" s="2"/>
    </row>
    <row r="2976">
      <c r="A2976" s="2"/>
      <c r="D2976" s="2"/>
      <c r="E2976" s="2"/>
      <c r="F2976" s="2"/>
      <c r="G2976" s="2"/>
      <c r="H2976" s="2"/>
      <c r="I2976" s="2"/>
      <c r="J2976" s="2"/>
    </row>
    <row r="2977">
      <c r="A2977" s="2"/>
      <c r="D2977" s="2"/>
      <c r="E2977" s="2"/>
      <c r="F2977" s="2"/>
      <c r="G2977" s="2"/>
      <c r="H2977" s="2"/>
      <c r="I2977" s="2"/>
      <c r="J2977" s="2"/>
    </row>
    <row r="2978">
      <c r="A2978" s="2"/>
      <c r="D2978" s="2"/>
      <c r="E2978" s="2"/>
      <c r="F2978" s="2"/>
      <c r="G2978" s="2"/>
      <c r="H2978" s="2"/>
      <c r="I2978" s="2"/>
      <c r="J2978" s="2"/>
    </row>
    <row r="2979">
      <c r="A2979" s="2"/>
      <c r="D2979" s="2"/>
      <c r="E2979" s="2"/>
      <c r="F2979" s="2"/>
      <c r="G2979" s="2"/>
      <c r="H2979" s="2"/>
      <c r="I2979" s="2"/>
      <c r="J2979" s="2"/>
    </row>
    <row r="2980">
      <c r="A2980" s="2"/>
      <c r="D2980" s="2"/>
      <c r="E2980" s="2"/>
      <c r="F2980" s="2"/>
      <c r="G2980" s="2"/>
      <c r="H2980" s="2"/>
      <c r="I2980" s="2"/>
      <c r="J2980" s="2"/>
    </row>
    <row r="2981">
      <c r="A2981" s="2"/>
      <c r="D2981" s="2"/>
      <c r="E2981" s="2"/>
      <c r="F2981" s="2"/>
      <c r="G2981" s="2"/>
      <c r="H2981" s="2"/>
      <c r="I2981" s="2"/>
      <c r="J2981" s="2"/>
    </row>
    <row r="2982">
      <c r="A2982" s="2"/>
      <c r="D2982" s="2"/>
      <c r="E2982" s="2"/>
      <c r="F2982" s="2"/>
      <c r="G2982" s="2"/>
      <c r="H2982" s="2"/>
      <c r="I2982" s="2"/>
      <c r="J2982" s="2"/>
    </row>
    <row r="2983">
      <c r="A2983" s="2"/>
      <c r="D2983" s="2"/>
      <c r="E2983" s="2"/>
      <c r="F2983" s="2"/>
      <c r="G2983" s="2"/>
      <c r="H2983" s="2"/>
      <c r="I2983" s="2"/>
      <c r="J2983" s="2"/>
    </row>
    <row r="2984">
      <c r="A2984" s="2"/>
      <c r="D2984" s="2"/>
      <c r="E2984" s="2"/>
      <c r="F2984" s="2"/>
      <c r="G2984" s="2"/>
      <c r="H2984" s="2"/>
      <c r="I2984" s="2"/>
      <c r="J2984" s="2"/>
    </row>
    <row r="2985">
      <c r="A2985" s="2"/>
      <c r="D2985" s="2"/>
      <c r="E2985" s="2"/>
      <c r="F2985" s="2"/>
      <c r="G2985" s="2"/>
      <c r="H2985" s="2"/>
      <c r="I2985" s="2"/>
      <c r="J2985" s="2"/>
    </row>
    <row r="2986">
      <c r="A2986" s="2"/>
      <c r="D2986" s="2"/>
      <c r="E2986" s="2"/>
      <c r="F2986" s="2"/>
      <c r="G2986" s="2"/>
      <c r="H2986" s="2"/>
      <c r="I2986" s="2"/>
      <c r="J2986" s="2"/>
    </row>
    <row r="2987">
      <c r="A2987" s="2"/>
      <c r="D2987" s="2"/>
      <c r="E2987" s="2"/>
      <c r="F2987" s="2"/>
      <c r="G2987" s="2"/>
      <c r="H2987" s="2"/>
      <c r="I2987" s="2"/>
      <c r="J2987" s="2"/>
    </row>
    <row r="2988">
      <c r="A2988" s="2"/>
      <c r="D2988" s="2"/>
      <c r="E2988" s="2"/>
      <c r="F2988" s="2"/>
      <c r="G2988" s="2"/>
      <c r="H2988" s="2"/>
      <c r="I2988" s="2"/>
      <c r="J2988" s="2"/>
    </row>
    <row r="2989">
      <c r="A2989" s="2"/>
      <c r="D2989" s="2"/>
      <c r="E2989" s="2"/>
      <c r="F2989" s="2"/>
      <c r="G2989" s="2"/>
      <c r="H2989" s="2"/>
      <c r="I2989" s="2"/>
      <c r="J2989" s="2"/>
    </row>
    <row r="2990">
      <c r="A2990" s="2"/>
      <c r="D2990" s="2"/>
      <c r="E2990" s="2"/>
      <c r="F2990" s="2"/>
      <c r="G2990" s="2"/>
      <c r="H2990" s="2"/>
      <c r="I2990" s="2"/>
      <c r="J2990" s="2"/>
    </row>
    <row r="2991">
      <c r="A2991" s="2"/>
      <c r="D2991" s="2"/>
      <c r="E2991" s="2"/>
      <c r="F2991" s="2"/>
      <c r="G2991" s="2"/>
      <c r="H2991" s="2"/>
      <c r="I2991" s="2"/>
      <c r="J2991" s="2"/>
    </row>
    <row r="2992">
      <c r="A2992" s="2"/>
      <c r="D2992" s="2"/>
      <c r="E2992" s="2"/>
      <c r="F2992" s="2"/>
      <c r="G2992" s="2"/>
      <c r="H2992" s="2"/>
      <c r="I2992" s="2"/>
      <c r="J2992" s="2"/>
    </row>
    <row r="2993">
      <c r="A2993" s="2"/>
      <c r="D2993" s="2"/>
      <c r="E2993" s="2"/>
      <c r="F2993" s="2"/>
      <c r="G2993" s="2"/>
      <c r="H2993" s="2"/>
      <c r="I2993" s="2"/>
      <c r="J2993" s="2"/>
    </row>
    <row r="2994">
      <c r="A2994" s="2"/>
      <c r="D2994" s="2"/>
      <c r="E2994" s="2"/>
      <c r="F2994" s="2"/>
      <c r="G2994" s="2"/>
      <c r="H2994" s="2"/>
      <c r="I2994" s="2"/>
      <c r="J2994" s="2"/>
    </row>
    <row r="2995">
      <c r="A2995" s="2"/>
      <c r="D2995" s="2"/>
      <c r="E2995" s="2"/>
      <c r="F2995" s="2"/>
      <c r="G2995" s="2"/>
      <c r="H2995" s="2"/>
      <c r="I2995" s="2"/>
      <c r="J2995" s="2"/>
    </row>
    <row r="2996">
      <c r="A2996" s="2"/>
      <c r="D2996" s="2"/>
      <c r="E2996" s="2"/>
      <c r="F2996" s="2"/>
      <c r="G2996" s="2"/>
      <c r="H2996" s="2"/>
      <c r="I2996" s="2"/>
      <c r="J2996" s="2"/>
    </row>
    <row r="2997">
      <c r="A2997" s="2"/>
      <c r="D2997" s="2"/>
      <c r="E2997" s="2"/>
      <c r="F2997" s="2"/>
      <c r="G2997" s="2"/>
      <c r="H2997" s="2"/>
      <c r="I2997" s="2"/>
      <c r="J2997" s="2"/>
    </row>
    <row r="2998">
      <c r="A2998" s="2"/>
      <c r="D2998" s="2"/>
      <c r="E2998" s="2"/>
      <c r="F2998" s="2"/>
      <c r="G2998" s="2"/>
      <c r="H2998" s="2"/>
      <c r="I2998" s="2"/>
      <c r="J2998" s="2"/>
    </row>
    <row r="2999">
      <c r="A2999" s="2"/>
      <c r="D2999" s="2"/>
      <c r="E2999" s="2"/>
      <c r="F2999" s="2"/>
      <c r="G2999" s="2"/>
      <c r="H2999" s="2"/>
      <c r="I2999" s="2"/>
      <c r="J2999" s="2"/>
    </row>
    <row r="3000">
      <c r="A3000" s="2"/>
      <c r="D3000" s="2"/>
      <c r="E3000" s="2"/>
      <c r="F3000" s="2"/>
      <c r="G3000" s="2"/>
      <c r="H3000" s="2"/>
      <c r="I3000" s="2"/>
      <c r="J3000" s="2"/>
    </row>
    <row r="3001">
      <c r="A3001" s="2"/>
      <c r="D3001" s="2"/>
      <c r="E3001" s="2"/>
      <c r="F3001" s="2"/>
      <c r="G3001" s="2"/>
      <c r="H3001" s="2"/>
      <c r="I3001" s="2"/>
      <c r="J3001" s="2"/>
    </row>
    <row r="3002">
      <c r="A3002" s="2"/>
      <c r="D3002" s="2"/>
      <c r="E3002" s="2"/>
      <c r="F3002" s="2"/>
      <c r="G3002" s="2"/>
      <c r="H3002" s="2"/>
      <c r="I3002" s="2"/>
      <c r="J3002" s="2"/>
    </row>
    <row r="3003">
      <c r="A3003" s="2"/>
      <c r="D3003" s="2"/>
      <c r="E3003" s="2"/>
      <c r="F3003" s="2"/>
      <c r="G3003" s="2"/>
      <c r="H3003" s="2"/>
      <c r="I3003" s="2"/>
      <c r="J3003" s="2"/>
    </row>
    <row r="3004">
      <c r="A3004" s="2"/>
      <c r="D3004" s="2"/>
      <c r="E3004" s="2"/>
      <c r="F3004" s="2"/>
      <c r="G3004" s="2"/>
      <c r="H3004" s="2"/>
      <c r="I3004" s="2"/>
      <c r="J3004" s="2"/>
    </row>
    <row r="3005">
      <c r="A3005" s="2"/>
      <c r="D3005" s="2"/>
      <c r="E3005" s="2"/>
      <c r="F3005" s="2"/>
      <c r="G3005" s="2"/>
      <c r="H3005" s="2"/>
      <c r="I3005" s="2"/>
      <c r="J3005" s="2"/>
    </row>
    <row r="3006">
      <c r="A3006" s="2"/>
      <c r="D3006" s="2"/>
      <c r="E3006" s="2"/>
      <c r="F3006" s="2"/>
      <c r="G3006" s="2"/>
      <c r="H3006" s="2"/>
      <c r="I3006" s="2"/>
      <c r="J3006" s="2"/>
    </row>
    <row r="3007">
      <c r="A3007" s="2"/>
      <c r="D3007" s="2"/>
      <c r="E3007" s="2"/>
      <c r="F3007" s="2"/>
      <c r="G3007" s="2"/>
      <c r="H3007" s="2"/>
      <c r="I3007" s="2"/>
      <c r="J3007" s="2"/>
    </row>
    <row r="3008">
      <c r="A3008" s="2"/>
      <c r="D3008" s="2"/>
      <c r="E3008" s="2"/>
      <c r="F3008" s="2"/>
      <c r="G3008" s="2"/>
      <c r="H3008" s="2"/>
      <c r="I3008" s="2"/>
      <c r="J3008" s="2"/>
    </row>
    <row r="3009">
      <c r="A3009" s="2"/>
      <c r="D3009" s="2"/>
      <c r="E3009" s="2"/>
      <c r="F3009" s="2"/>
      <c r="G3009" s="2"/>
      <c r="H3009" s="2"/>
      <c r="I3009" s="2"/>
      <c r="J3009" s="2"/>
    </row>
    <row r="3010">
      <c r="A3010" s="2"/>
      <c r="D3010" s="2"/>
      <c r="E3010" s="2"/>
      <c r="F3010" s="2"/>
      <c r="G3010" s="2"/>
      <c r="H3010" s="2"/>
      <c r="I3010" s="2"/>
      <c r="J3010" s="2"/>
    </row>
    <row r="3011">
      <c r="A3011" s="2"/>
      <c r="D3011" s="2"/>
      <c r="E3011" s="2"/>
      <c r="F3011" s="2"/>
      <c r="G3011" s="2"/>
      <c r="H3011" s="2"/>
      <c r="I3011" s="2"/>
      <c r="J3011" s="2"/>
    </row>
    <row r="3012">
      <c r="A3012" s="2"/>
      <c r="D3012" s="2"/>
      <c r="E3012" s="2"/>
      <c r="F3012" s="2"/>
      <c r="G3012" s="2"/>
      <c r="H3012" s="2"/>
      <c r="I3012" s="2"/>
      <c r="J3012" s="2"/>
    </row>
    <row r="3013">
      <c r="A3013" s="2"/>
      <c r="D3013" s="2"/>
      <c r="E3013" s="2"/>
      <c r="F3013" s="2"/>
      <c r="G3013" s="2"/>
      <c r="H3013" s="2"/>
      <c r="I3013" s="2"/>
      <c r="J3013" s="2"/>
    </row>
    <row r="3014">
      <c r="A3014" s="2"/>
      <c r="D3014" s="2"/>
      <c r="E3014" s="2"/>
      <c r="F3014" s="2"/>
      <c r="G3014" s="2"/>
      <c r="H3014" s="2"/>
      <c r="I3014" s="2"/>
      <c r="J3014" s="2"/>
    </row>
    <row r="3015">
      <c r="A3015" s="2"/>
      <c r="D3015" s="2"/>
      <c r="E3015" s="2"/>
      <c r="F3015" s="2"/>
      <c r="G3015" s="2"/>
      <c r="H3015" s="2"/>
      <c r="I3015" s="2"/>
      <c r="J3015" s="2"/>
    </row>
    <row r="3016">
      <c r="A3016" s="2"/>
      <c r="D3016" s="2"/>
      <c r="E3016" s="2"/>
      <c r="F3016" s="2"/>
      <c r="G3016" s="2"/>
      <c r="H3016" s="2"/>
      <c r="I3016" s="2"/>
      <c r="J3016" s="2"/>
    </row>
    <row r="3017">
      <c r="A3017" s="2"/>
      <c r="D3017" s="2"/>
      <c r="E3017" s="2"/>
      <c r="F3017" s="2"/>
      <c r="G3017" s="2"/>
      <c r="H3017" s="2"/>
      <c r="I3017" s="2"/>
      <c r="J3017" s="2"/>
    </row>
    <row r="3018">
      <c r="A3018" s="2"/>
      <c r="D3018" s="2"/>
      <c r="E3018" s="2"/>
      <c r="F3018" s="2"/>
      <c r="G3018" s="2"/>
      <c r="H3018" s="2"/>
      <c r="I3018" s="2"/>
      <c r="J3018" s="2"/>
    </row>
    <row r="3019">
      <c r="A3019" s="2"/>
      <c r="D3019" s="2"/>
      <c r="E3019" s="2"/>
      <c r="F3019" s="2"/>
      <c r="G3019" s="2"/>
      <c r="H3019" s="2"/>
      <c r="I3019" s="2"/>
      <c r="J3019" s="2"/>
    </row>
    <row r="3020">
      <c r="A3020" s="2"/>
      <c r="D3020" s="2"/>
      <c r="E3020" s="2"/>
      <c r="F3020" s="2"/>
      <c r="G3020" s="2"/>
      <c r="H3020" s="2"/>
      <c r="I3020" s="2"/>
      <c r="J3020" s="2"/>
    </row>
    <row r="3021">
      <c r="A3021" s="2"/>
      <c r="D3021" s="2"/>
      <c r="E3021" s="2"/>
      <c r="F3021" s="2"/>
      <c r="G3021" s="2"/>
      <c r="H3021" s="2"/>
      <c r="I3021" s="2"/>
      <c r="J3021" s="2"/>
    </row>
    <row r="3022">
      <c r="A3022" s="2"/>
      <c r="D3022" s="2"/>
      <c r="E3022" s="2"/>
      <c r="F3022" s="2"/>
      <c r="G3022" s="2"/>
      <c r="H3022" s="2"/>
      <c r="I3022" s="2"/>
      <c r="J3022" s="2"/>
    </row>
    <row r="3023">
      <c r="A3023" s="2"/>
      <c r="D3023" s="2"/>
      <c r="E3023" s="2"/>
      <c r="F3023" s="2"/>
      <c r="G3023" s="2"/>
      <c r="H3023" s="2"/>
      <c r="I3023" s="2"/>
      <c r="J3023" s="2"/>
    </row>
    <row r="3024">
      <c r="A3024" s="2"/>
      <c r="D3024" s="2"/>
      <c r="E3024" s="2"/>
      <c r="F3024" s="2"/>
      <c r="G3024" s="2"/>
      <c r="H3024" s="2"/>
      <c r="I3024" s="2"/>
      <c r="J3024" s="2"/>
    </row>
    <row r="3025">
      <c r="A3025" s="2"/>
      <c r="D3025" s="2"/>
      <c r="E3025" s="2"/>
      <c r="F3025" s="2"/>
      <c r="G3025" s="2"/>
      <c r="H3025" s="2"/>
      <c r="I3025" s="2"/>
      <c r="J3025" s="2"/>
    </row>
    <row r="3026">
      <c r="A3026" s="2"/>
      <c r="D3026" s="2"/>
      <c r="E3026" s="2"/>
      <c r="F3026" s="2"/>
      <c r="G3026" s="2"/>
      <c r="H3026" s="2"/>
      <c r="I3026" s="2"/>
      <c r="J3026" s="2"/>
    </row>
    <row r="3027">
      <c r="A3027" s="2"/>
      <c r="D3027" s="2"/>
      <c r="E3027" s="2"/>
      <c r="F3027" s="2"/>
      <c r="G3027" s="2"/>
      <c r="H3027" s="2"/>
      <c r="I3027" s="2"/>
      <c r="J3027" s="2"/>
    </row>
    <row r="3028">
      <c r="A3028" s="2"/>
      <c r="D3028" s="2"/>
      <c r="E3028" s="2"/>
      <c r="F3028" s="2"/>
      <c r="G3028" s="2"/>
      <c r="H3028" s="2"/>
      <c r="I3028" s="2"/>
      <c r="J3028" s="2"/>
    </row>
    <row r="3029">
      <c r="A3029" s="2"/>
      <c r="D3029" s="2"/>
      <c r="E3029" s="2"/>
      <c r="F3029" s="2"/>
      <c r="G3029" s="2"/>
      <c r="H3029" s="2"/>
      <c r="I3029" s="2"/>
      <c r="J3029" s="2"/>
    </row>
    <row r="3030">
      <c r="A3030" s="2"/>
      <c r="D3030" s="2"/>
      <c r="E3030" s="2"/>
      <c r="F3030" s="2"/>
      <c r="G3030" s="2"/>
      <c r="H3030" s="2"/>
      <c r="I3030" s="2"/>
      <c r="J3030" s="2"/>
    </row>
    <row r="3031">
      <c r="A3031" s="2"/>
      <c r="D3031" s="2"/>
      <c r="E3031" s="2"/>
      <c r="F3031" s="2"/>
      <c r="G3031" s="2"/>
      <c r="H3031" s="2"/>
      <c r="I3031" s="2"/>
      <c r="J3031" s="2"/>
    </row>
    <row r="3032">
      <c r="A3032" s="2"/>
      <c r="D3032" s="2"/>
      <c r="E3032" s="2"/>
      <c r="F3032" s="2"/>
      <c r="G3032" s="2"/>
      <c r="H3032" s="2"/>
      <c r="I3032" s="2"/>
      <c r="J3032" s="2"/>
    </row>
    <row r="3033">
      <c r="A3033" s="2"/>
      <c r="D3033" s="2"/>
      <c r="E3033" s="2"/>
      <c r="F3033" s="2"/>
      <c r="G3033" s="2"/>
      <c r="H3033" s="2"/>
      <c r="I3033" s="2"/>
      <c r="J3033" s="2"/>
    </row>
    <row r="3034">
      <c r="A3034" s="2"/>
      <c r="D3034" s="2"/>
      <c r="E3034" s="2"/>
      <c r="F3034" s="2"/>
      <c r="G3034" s="2"/>
      <c r="H3034" s="2"/>
      <c r="I3034" s="2"/>
      <c r="J3034" s="2"/>
    </row>
    <row r="3035">
      <c r="A3035" s="2"/>
      <c r="D3035" s="2"/>
      <c r="E3035" s="2"/>
      <c r="F3035" s="2"/>
      <c r="G3035" s="2"/>
      <c r="H3035" s="2"/>
      <c r="I3035" s="2"/>
      <c r="J3035" s="2"/>
    </row>
    <row r="3036">
      <c r="A3036" s="2"/>
      <c r="D3036" s="2"/>
      <c r="E3036" s="2"/>
      <c r="F3036" s="2"/>
      <c r="G3036" s="2"/>
      <c r="H3036" s="2"/>
      <c r="I3036" s="2"/>
      <c r="J3036" s="2"/>
    </row>
    <row r="3037">
      <c r="A3037" s="2"/>
      <c r="D3037" s="2"/>
      <c r="E3037" s="2"/>
      <c r="F3037" s="2"/>
      <c r="G3037" s="2"/>
      <c r="H3037" s="2"/>
      <c r="I3037" s="2"/>
      <c r="J3037" s="2"/>
    </row>
    <row r="3038">
      <c r="A3038" s="2"/>
      <c r="D3038" s="2"/>
      <c r="E3038" s="2"/>
      <c r="F3038" s="2"/>
      <c r="G3038" s="2"/>
      <c r="H3038" s="2"/>
      <c r="I3038" s="2"/>
      <c r="J3038" s="2"/>
    </row>
    <row r="3039">
      <c r="A3039" s="2"/>
      <c r="D3039" s="2"/>
      <c r="E3039" s="2"/>
      <c r="F3039" s="2"/>
      <c r="G3039" s="2"/>
      <c r="H3039" s="2"/>
      <c r="I3039" s="2"/>
      <c r="J3039" s="2"/>
    </row>
    <row r="3040">
      <c r="A3040" s="2"/>
      <c r="D3040" s="2"/>
      <c r="E3040" s="2"/>
      <c r="F3040" s="2"/>
      <c r="G3040" s="2"/>
      <c r="H3040" s="2"/>
      <c r="I3040" s="2"/>
      <c r="J3040" s="2"/>
    </row>
    <row r="3041">
      <c r="A3041" s="2"/>
      <c r="D3041" s="2"/>
      <c r="E3041" s="2"/>
      <c r="F3041" s="2"/>
      <c r="G3041" s="2"/>
      <c r="H3041" s="2"/>
      <c r="I3041" s="2"/>
      <c r="J3041" s="2"/>
    </row>
    <row r="3042">
      <c r="A3042" s="2"/>
      <c r="D3042" s="2"/>
      <c r="E3042" s="2"/>
      <c r="F3042" s="2"/>
      <c r="G3042" s="2"/>
      <c r="H3042" s="2"/>
      <c r="I3042" s="2"/>
      <c r="J3042" s="2"/>
    </row>
    <row r="3043">
      <c r="A3043" s="2"/>
      <c r="D3043" s="2"/>
      <c r="E3043" s="2"/>
      <c r="F3043" s="2"/>
      <c r="G3043" s="2"/>
      <c r="H3043" s="2"/>
      <c r="I3043" s="2"/>
      <c r="J3043" s="2"/>
    </row>
    <row r="3044">
      <c r="A3044" s="2"/>
      <c r="D3044" s="2"/>
      <c r="E3044" s="2"/>
      <c r="F3044" s="2"/>
      <c r="G3044" s="2"/>
      <c r="H3044" s="2"/>
      <c r="I3044" s="2"/>
      <c r="J3044" s="2"/>
    </row>
    <row r="3045">
      <c r="A3045" s="2"/>
      <c r="D3045" s="2"/>
      <c r="E3045" s="2"/>
      <c r="F3045" s="2"/>
      <c r="G3045" s="2"/>
      <c r="H3045" s="2"/>
      <c r="I3045" s="2"/>
      <c r="J3045" s="2"/>
    </row>
    <row r="3046">
      <c r="A3046" s="2"/>
      <c r="D3046" s="2"/>
      <c r="E3046" s="2"/>
      <c r="F3046" s="2"/>
      <c r="G3046" s="2"/>
      <c r="H3046" s="2"/>
      <c r="I3046" s="2"/>
      <c r="J3046" s="2"/>
    </row>
    <row r="3047">
      <c r="A3047" s="2"/>
      <c r="D3047" s="2"/>
      <c r="E3047" s="2"/>
      <c r="F3047" s="2"/>
      <c r="G3047" s="2"/>
      <c r="H3047" s="2"/>
      <c r="I3047" s="2"/>
      <c r="J3047" s="2"/>
    </row>
    <row r="3048">
      <c r="A3048" s="2"/>
      <c r="D3048" s="2"/>
      <c r="E3048" s="2"/>
      <c r="F3048" s="2"/>
      <c r="G3048" s="2"/>
      <c r="H3048" s="2"/>
      <c r="I3048" s="2"/>
      <c r="J3048" s="2"/>
    </row>
    <row r="3049">
      <c r="A3049" s="2"/>
      <c r="D3049" s="2"/>
      <c r="E3049" s="2"/>
      <c r="F3049" s="2"/>
      <c r="G3049" s="2"/>
      <c r="H3049" s="2"/>
      <c r="I3049" s="2"/>
      <c r="J3049" s="2"/>
    </row>
    <row r="3050">
      <c r="A3050" s="2"/>
      <c r="D3050" s="2"/>
      <c r="E3050" s="2"/>
      <c r="F3050" s="2"/>
      <c r="G3050" s="2"/>
      <c r="H3050" s="2"/>
      <c r="I3050" s="2"/>
      <c r="J3050" s="2"/>
    </row>
    <row r="3051">
      <c r="A3051" s="2"/>
      <c r="D3051" s="2"/>
      <c r="E3051" s="2"/>
      <c r="F3051" s="2"/>
      <c r="G3051" s="2"/>
      <c r="H3051" s="2"/>
      <c r="I3051" s="2"/>
      <c r="J3051" s="2"/>
    </row>
    <row r="3052">
      <c r="A3052" s="2"/>
      <c r="D3052" s="2"/>
      <c r="E3052" s="2"/>
      <c r="F3052" s="2"/>
      <c r="G3052" s="2"/>
      <c r="H3052" s="2"/>
      <c r="I3052" s="2"/>
      <c r="J3052" s="2"/>
    </row>
    <row r="3053">
      <c r="A3053" s="2"/>
      <c r="D3053" s="2"/>
      <c r="E3053" s="2"/>
      <c r="F3053" s="2"/>
      <c r="G3053" s="2"/>
      <c r="H3053" s="2"/>
      <c r="I3053" s="2"/>
      <c r="J3053" s="2"/>
    </row>
    <row r="3054">
      <c r="A3054" s="2"/>
      <c r="D3054" s="2"/>
      <c r="E3054" s="2"/>
      <c r="F3054" s="2"/>
      <c r="G3054" s="2"/>
      <c r="H3054" s="2"/>
      <c r="I3054" s="2"/>
      <c r="J3054" s="2"/>
    </row>
    <row r="3055">
      <c r="A3055" s="2"/>
      <c r="D3055" s="2"/>
      <c r="E3055" s="2"/>
      <c r="F3055" s="2"/>
      <c r="G3055" s="2"/>
      <c r="H3055" s="2"/>
      <c r="I3055" s="2"/>
      <c r="J3055" s="2"/>
    </row>
    <row r="3056">
      <c r="A3056" s="2"/>
      <c r="D3056" s="2"/>
      <c r="E3056" s="2"/>
      <c r="F3056" s="2"/>
      <c r="G3056" s="2"/>
      <c r="H3056" s="2"/>
      <c r="I3056" s="2"/>
      <c r="J3056" s="2"/>
    </row>
    <row r="3057">
      <c r="A3057" s="2"/>
      <c r="D3057" s="2"/>
      <c r="E3057" s="2"/>
      <c r="F3057" s="2"/>
      <c r="G3057" s="2"/>
      <c r="H3057" s="2"/>
      <c r="I3057" s="2"/>
      <c r="J3057" s="2"/>
    </row>
    <row r="3058">
      <c r="A3058" s="2"/>
      <c r="D3058" s="2"/>
      <c r="E3058" s="2"/>
      <c r="F3058" s="2"/>
      <c r="G3058" s="2"/>
      <c r="H3058" s="2"/>
      <c r="I3058" s="2"/>
      <c r="J3058" s="2"/>
    </row>
    <row r="3059">
      <c r="A3059" s="2"/>
      <c r="D3059" s="2"/>
      <c r="E3059" s="2"/>
      <c r="F3059" s="2"/>
      <c r="G3059" s="2"/>
      <c r="H3059" s="2"/>
      <c r="I3059" s="2"/>
      <c r="J3059" s="2"/>
    </row>
    <row r="3060">
      <c r="A3060" s="2"/>
      <c r="D3060" s="2"/>
      <c r="E3060" s="2"/>
      <c r="F3060" s="2"/>
      <c r="G3060" s="2"/>
      <c r="H3060" s="2"/>
      <c r="I3060" s="2"/>
      <c r="J3060" s="2"/>
    </row>
    <row r="3061">
      <c r="A3061" s="2"/>
      <c r="D3061" s="2"/>
      <c r="E3061" s="2"/>
      <c r="F3061" s="2"/>
      <c r="G3061" s="2"/>
      <c r="H3061" s="2"/>
      <c r="I3061" s="2"/>
      <c r="J3061" s="2"/>
    </row>
    <row r="3062">
      <c r="A3062" s="2"/>
      <c r="D3062" s="2"/>
      <c r="E3062" s="2"/>
      <c r="F3062" s="2"/>
      <c r="G3062" s="2"/>
      <c r="H3062" s="2"/>
      <c r="I3062" s="2"/>
      <c r="J3062" s="2"/>
    </row>
    <row r="3063">
      <c r="A3063" s="2"/>
      <c r="D3063" s="2"/>
      <c r="E3063" s="2"/>
      <c r="F3063" s="2"/>
      <c r="G3063" s="2"/>
      <c r="H3063" s="2"/>
      <c r="I3063" s="2"/>
      <c r="J3063" s="2"/>
    </row>
    <row r="3064">
      <c r="A3064" s="2"/>
      <c r="D3064" s="2"/>
      <c r="E3064" s="2"/>
      <c r="F3064" s="2"/>
      <c r="G3064" s="2"/>
      <c r="H3064" s="2"/>
      <c r="I3064" s="2"/>
      <c r="J3064" s="2"/>
    </row>
    <row r="3065">
      <c r="A3065" s="2"/>
      <c r="D3065" s="2"/>
      <c r="E3065" s="2"/>
      <c r="F3065" s="2"/>
      <c r="G3065" s="2"/>
      <c r="H3065" s="2"/>
      <c r="I3065" s="2"/>
      <c r="J3065" s="2"/>
    </row>
    <row r="3066">
      <c r="A3066" s="2"/>
      <c r="D3066" s="2"/>
      <c r="E3066" s="2"/>
      <c r="F3066" s="2"/>
      <c r="G3066" s="2"/>
      <c r="H3066" s="2"/>
      <c r="I3066" s="2"/>
      <c r="J3066" s="2"/>
    </row>
    <row r="3067">
      <c r="A3067" s="2"/>
      <c r="D3067" s="2"/>
      <c r="E3067" s="2"/>
      <c r="F3067" s="2"/>
      <c r="G3067" s="2"/>
      <c r="H3067" s="2"/>
      <c r="I3067" s="2"/>
      <c r="J3067" s="2"/>
    </row>
    <row r="3068">
      <c r="A3068" s="2"/>
      <c r="D3068" s="2"/>
      <c r="E3068" s="2"/>
      <c r="F3068" s="2"/>
      <c r="G3068" s="2"/>
      <c r="H3068" s="2"/>
      <c r="I3068" s="2"/>
      <c r="J3068" s="2"/>
    </row>
    <row r="3069">
      <c r="A3069" s="2"/>
      <c r="D3069" s="2"/>
      <c r="E3069" s="2"/>
      <c r="F3069" s="2"/>
      <c r="G3069" s="2"/>
      <c r="H3069" s="2"/>
      <c r="I3069" s="2"/>
      <c r="J3069" s="2"/>
    </row>
    <row r="3070">
      <c r="A3070" s="2"/>
      <c r="D3070" s="2"/>
      <c r="E3070" s="2"/>
      <c r="F3070" s="2"/>
      <c r="G3070" s="2"/>
      <c r="H3070" s="2"/>
      <c r="I3070" s="2"/>
      <c r="J3070" s="2"/>
    </row>
    <row r="3071">
      <c r="A3071" s="2"/>
      <c r="D3071" s="2"/>
      <c r="E3071" s="2"/>
      <c r="F3071" s="2"/>
      <c r="G3071" s="2"/>
      <c r="H3071" s="2"/>
      <c r="I3071" s="2"/>
      <c r="J3071" s="2"/>
    </row>
    <row r="3072">
      <c r="A3072" s="2"/>
      <c r="D3072" s="2"/>
      <c r="E3072" s="2"/>
      <c r="F3072" s="2"/>
      <c r="G3072" s="2"/>
      <c r="H3072" s="2"/>
      <c r="I3072" s="2"/>
      <c r="J3072" s="2"/>
    </row>
    <row r="3073">
      <c r="A3073" s="2"/>
      <c r="D3073" s="2"/>
      <c r="E3073" s="2"/>
      <c r="F3073" s="2"/>
      <c r="G3073" s="2"/>
      <c r="H3073" s="2"/>
      <c r="I3073" s="2"/>
      <c r="J3073" s="2"/>
    </row>
    <row r="3074">
      <c r="A3074" s="2"/>
      <c r="D3074" s="2"/>
      <c r="E3074" s="2"/>
      <c r="F3074" s="2"/>
      <c r="G3074" s="2"/>
      <c r="H3074" s="2"/>
      <c r="I3074" s="2"/>
      <c r="J3074" s="2"/>
    </row>
    <row r="3075">
      <c r="A3075" s="2"/>
      <c r="D3075" s="2"/>
      <c r="E3075" s="2"/>
      <c r="F3075" s="2"/>
      <c r="G3075" s="2"/>
      <c r="H3075" s="2"/>
      <c r="I3075" s="2"/>
      <c r="J3075" s="2"/>
    </row>
    <row r="3076">
      <c r="A3076" s="2"/>
      <c r="D3076" s="2"/>
      <c r="E3076" s="2"/>
      <c r="F3076" s="2"/>
      <c r="G3076" s="2"/>
      <c r="H3076" s="2"/>
      <c r="I3076" s="2"/>
      <c r="J3076" s="2"/>
    </row>
    <row r="3077">
      <c r="A3077" s="2"/>
      <c r="D3077" s="2"/>
      <c r="E3077" s="2"/>
      <c r="F3077" s="2"/>
      <c r="G3077" s="2"/>
      <c r="H3077" s="2"/>
      <c r="I3077" s="2"/>
      <c r="J3077" s="2"/>
    </row>
    <row r="3078">
      <c r="A3078" s="2"/>
      <c r="D3078" s="2"/>
      <c r="E3078" s="2"/>
      <c r="F3078" s="2"/>
      <c r="G3078" s="2"/>
      <c r="H3078" s="2"/>
      <c r="I3078" s="2"/>
      <c r="J3078" s="2"/>
    </row>
    <row r="3079">
      <c r="A3079" s="2"/>
      <c r="D3079" s="2"/>
      <c r="E3079" s="2"/>
      <c r="F3079" s="2"/>
      <c r="G3079" s="2"/>
      <c r="H3079" s="2"/>
      <c r="I3079" s="2"/>
      <c r="J3079" s="2"/>
    </row>
    <row r="3080">
      <c r="A3080" s="2"/>
      <c r="D3080" s="2"/>
      <c r="E3080" s="2"/>
      <c r="F3080" s="2"/>
      <c r="G3080" s="2"/>
      <c r="H3080" s="2"/>
      <c r="I3080" s="2"/>
      <c r="J3080" s="2"/>
    </row>
    <row r="3081">
      <c r="A3081" s="2"/>
      <c r="D3081" s="2"/>
      <c r="E3081" s="2"/>
      <c r="F3081" s="2"/>
      <c r="G3081" s="2"/>
      <c r="H3081" s="2"/>
      <c r="I3081" s="2"/>
      <c r="J3081" s="2"/>
    </row>
    <row r="3082">
      <c r="A3082" s="2"/>
      <c r="D3082" s="2"/>
      <c r="E3082" s="2"/>
      <c r="F3082" s="2"/>
      <c r="G3082" s="2"/>
      <c r="H3082" s="2"/>
      <c r="I3082" s="2"/>
      <c r="J3082" s="2"/>
    </row>
    <row r="3083">
      <c r="A3083" s="2"/>
      <c r="D3083" s="2"/>
      <c r="E3083" s="2"/>
      <c r="F3083" s="2"/>
      <c r="G3083" s="2"/>
      <c r="H3083" s="2"/>
      <c r="I3083" s="2"/>
      <c r="J3083" s="2"/>
    </row>
    <row r="3084">
      <c r="A3084" s="2"/>
      <c r="D3084" s="2"/>
      <c r="E3084" s="2"/>
      <c r="F3084" s="2"/>
      <c r="G3084" s="2"/>
      <c r="H3084" s="2"/>
      <c r="I3084" s="2"/>
      <c r="J3084" s="2"/>
    </row>
    <row r="3085">
      <c r="A3085" s="2"/>
      <c r="D3085" s="2"/>
      <c r="E3085" s="2"/>
      <c r="F3085" s="2"/>
      <c r="G3085" s="2"/>
      <c r="H3085" s="2"/>
      <c r="I3085" s="2"/>
      <c r="J3085" s="2"/>
    </row>
    <row r="3086">
      <c r="A3086" s="2"/>
      <c r="D3086" s="2"/>
      <c r="E3086" s="2"/>
      <c r="F3086" s="2"/>
      <c r="G3086" s="2"/>
      <c r="H3086" s="2"/>
      <c r="I3086" s="2"/>
      <c r="J3086" s="2"/>
    </row>
    <row r="3087">
      <c r="A3087" s="2"/>
      <c r="D3087" s="2"/>
      <c r="E3087" s="2"/>
      <c r="F3087" s="2"/>
      <c r="G3087" s="2"/>
      <c r="H3087" s="2"/>
      <c r="I3087" s="2"/>
      <c r="J3087" s="2"/>
    </row>
    <row r="3088">
      <c r="A3088" s="2"/>
      <c r="D3088" s="2"/>
      <c r="E3088" s="2"/>
      <c r="F3088" s="2"/>
      <c r="G3088" s="2"/>
      <c r="H3088" s="2"/>
      <c r="I3088" s="2"/>
      <c r="J3088" s="2"/>
    </row>
    <row r="3089">
      <c r="A3089" s="2"/>
      <c r="D3089" s="2"/>
      <c r="E3089" s="2"/>
      <c r="F3089" s="2"/>
      <c r="G3089" s="2"/>
      <c r="H3089" s="2"/>
      <c r="I3089" s="2"/>
      <c r="J3089" s="2"/>
    </row>
    <row r="3090">
      <c r="A3090" s="2"/>
      <c r="D3090" s="2"/>
      <c r="E3090" s="2"/>
      <c r="F3090" s="2"/>
      <c r="G3090" s="2"/>
      <c r="H3090" s="2"/>
      <c r="I3090" s="2"/>
      <c r="J3090" s="2"/>
    </row>
    <row r="3091">
      <c r="A3091" s="2"/>
      <c r="D3091" s="2"/>
      <c r="E3091" s="2"/>
      <c r="F3091" s="2"/>
      <c r="G3091" s="2"/>
      <c r="H3091" s="2"/>
      <c r="I3091" s="2"/>
      <c r="J3091" s="2"/>
    </row>
    <row r="3092">
      <c r="A3092" s="2"/>
      <c r="D3092" s="2"/>
      <c r="E3092" s="2"/>
      <c r="F3092" s="2"/>
      <c r="G3092" s="2"/>
      <c r="H3092" s="2"/>
      <c r="I3092" s="2"/>
      <c r="J3092" s="2"/>
    </row>
    <row r="3093">
      <c r="A3093" s="2"/>
      <c r="D3093" s="2"/>
      <c r="E3093" s="2"/>
      <c r="F3093" s="2"/>
      <c r="G3093" s="2"/>
      <c r="H3093" s="2"/>
      <c r="I3093" s="2"/>
      <c r="J3093" s="2"/>
    </row>
    <row r="3094">
      <c r="A3094" s="2"/>
      <c r="D3094" s="2"/>
      <c r="E3094" s="2"/>
      <c r="F3094" s="2"/>
      <c r="G3094" s="2"/>
      <c r="H3094" s="2"/>
      <c r="I3094" s="2"/>
      <c r="J3094" s="2"/>
    </row>
    <row r="3095">
      <c r="A3095" s="2"/>
      <c r="D3095" s="2"/>
      <c r="E3095" s="2"/>
      <c r="F3095" s="2"/>
      <c r="G3095" s="2"/>
      <c r="H3095" s="2"/>
      <c r="I3095" s="2"/>
      <c r="J3095" s="2"/>
    </row>
    <row r="3096">
      <c r="A3096" s="2"/>
      <c r="D3096" s="2"/>
      <c r="E3096" s="2"/>
      <c r="F3096" s="2"/>
      <c r="G3096" s="2"/>
      <c r="H3096" s="2"/>
      <c r="I3096" s="2"/>
      <c r="J3096" s="2"/>
    </row>
    <row r="3097">
      <c r="A3097" s="2"/>
      <c r="D3097" s="2"/>
      <c r="E3097" s="2"/>
      <c r="F3097" s="2"/>
      <c r="G3097" s="2"/>
      <c r="H3097" s="2"/>
      <c r="I3097" s="2"/>
      <c r="J3097" s="2"/>
    </row>
    <row r="3098">
      <c r="A3098" s="2"/>
      <c r="D3098" s="2"/>
      <c r="E3098" s="2"/>
      <c r="F3098" s="2"/>
      <c r="G3098" s="2"/>
      <c r="H3098" s="2"/>
      <c r="I3098" s="2"/>
      <c r="J3098" s="2"/>
    </row>
    <row r="3099">
      <c r="A3099" s="2"/>
      <c r="D3099" s="2"/>
      <c r="E3099" s="2"/>
      <c r="F3099" s="2"/>
      <c r="G3099" s="2"/>
      <c r="H3099" s="2"/>
      <c r="I3099" s="2"/>
      <c r="J3099" s="2"/>
    </row>
    <row r="3100">
      <c r="A3100" s="2"/>
      <c r="D3100" s="2"/>
      <c r="E3100" s="2"/>
      <c r="F3100" s="2"/>
      <c r="G3100" s="2"/>
      <c r="H3100" s="2"/>
      <c r="I3100" s="2"/>
      <c r="J3100" s="2"/>
    </row>
    <row r="3101">
      <c r="A3101" s="2"/>
      <c r="D3101" s="2"/>
      <c r="E3101" s="2"/>
      <c r="F3101" s="2"/>
      <c r="G3101" s="2"/>
      <c r="H3101" s="2"/>
      <c r="I3101" s="2"/>
      <c r="J3101" s="2"/>
    </row>
    <row r="3102">
      <c r="A3102" s="2"/>
      <c r="D3102" s="2"/>
      <c r="E3102" s="2"/>
      <c r="F3102" s="2"/>
      <c r="G3102" s="2"/>
      <c r="H3102" s="2"/>
      <c r="I3102" s="2"/>
      <c r="J3102" s="2"/>
    </row>
    <row r="3103">
      <c r="A3103" s="2"/>
      <c r="D3103" s="2"/>
      <c r="E3103" s="2"/>
      <c r="F3103" s="2"/>
      <c r="G3103" s="2"/>
      <c r="H3103" s="2"/>
      <c r="I3103" s="2"/>
      <c r="J3103" s="2"/>
    </row>
    <row r="3104">
      <c r="A3104" s="2"/>
      <c r="D3104" s="2"/>
      <c r="E3104" s="2"/>
      <c r="F3104" s="2"/>
      <c r="G3104" s="2"/>
      <c r="H3104" s="2"/>
      <c r="I3104" s="2"/>
      <c r="J3104" s="2"/>
    </row>
    <row r="3105">
      <c r="A3105" s="2"/>
      <c r="D3105" s="2"/>
      <c r="E3105" s="2"/>
      <c r="F3105" s="2"/>
      <c r="G3105" s="2"/>
      <c r="H3105" s="2"/>
      <c r="I3105" s="2"/>
      <c r="J3105" s="2"/>
    </row>
    <row r="3106">
      <c r="A3106" s="2"/>
      <c r="D3106" s="2"/>
      <c r="E3106" s="2"/>
      <c r="F3106" s="2"/>
      <c r="G3106" s="2"/>
      <c r="H3106" s="2"/>
      <c r="I3106" s="2"/>
      <c r="J3106" s="2"/>
    </row>
    <row r="3107">
      <c r="A3107" s="2"/>
      <c r="D3107" s="2"/>
      <c r="E3107" s="2"/>
      <c r="F3107" s="2"/>
      <c r="G3107" s="2"/>
      <c r="H3107" s="2"/>
      <c r="I3107" s="2"/>
      <c r="J3107" s="2"/>
    </row>
    <row r="3108">
      <c r="A3108" s="2"/>
      <c r="D3108" s="2"/>
      <c r="E3108" s="2"/>
      <c r="F3108" s="2"/>
      <c r="G3108" s="2"/>
      <c r="H3108" s="2"/>
      <c r="I3108" s="2"/>
      <c r="J3108" s="2"/>
    </row>
    <row r="3109">
      <c r="A3109" s="2"/>
      <c r="D3109" s="2"/>
      <c r="E3109" s="2"/>
      <c r="F3109" s="2"/>
      <c r="G3109" s="2"/>
      <c r="H3109" s="2"/>
      <c r="I3109" s="2"/>
      <c r="J3109" s="2"/>
    </row>
    <row r="3110">
      <c r="A3110" s="2"/>
      <c r="D3110" s="2"/>
      <c r="E3110" s="2"/>
      <c r="F3110" s="2"/>
      <c r="G3110" s="2"/>
      <c r="H3110" s="2"/>
      <c r="I3110" s="2"/>
      <c r="J3110" s="2"/>
    </row>
    <row r="3111">
      <c r="A3111" s="2"/>
      <c r="D3111" s="2"/>
      <c r="E3111" s="2"/>
      <c r="F3111" s="2"/>
      <c r="G3111" s="2"/>
      <c r="H3111" s="2"/>
      <c r="I3111" s="2"/>
      <c r="J3111" s="2"/>
    </row>
    <row r="3112">
      <c r="A3112" s="2"/>
      <c r="D3112" s="2"/>
      <c r="E3112" s="2"/>
      <c r="F3112" s="2"/>
      <c r="G3112" s="2"/>
      <c r="H3112" s="2"/>
      <c r="I3112" s="2"/>
      <c r="J3112" s="2"/>
    </row>
    <row r="3113">
      <c r="A3113" s="2"/>
      <c r="D3113" s="2"/>
      <c r="E3113" s="2"/>
      <c r="F3113" s="2"/>
      <c r="G3113" s="2"/>
      <c r="H3113" s="2"/>
      <c r="I3113" s="2"/>
      <c r="J3113" s="2"/>
    </row>
    <row r="3114">
      <c r="A3114" s="2"/>
      <c r="D3114" s="2"/>
      <c r="E3114" s="2"/>
      <c r="F3114" s="2"/>
      <c r="G3114" s="2"/>
      <c r="H3114" s="2"/>
      <c r="I3114" s="2"/>
      <c r="J3114" s="2"/>
    </row>
    <row r="3115">
      <c r="A3115" s="2"/>
      <c r="D3115" s="2"/>
      <c r="E3115" s="2"/>
      <c r="F3115" s="2"/>
      <c r="G3115" s="2"/>
      <c r="H3115" s="2"/>
      <c r="I3115" s="2"/>
      <c r="J3115" s="2"/>
    </row>
    <row r="3116">
      <c r="A3116" s="2"/>
      <c r="D3116" s="2"/>
      <c r="E3116" s="2"/>
      <c r="F3116" s="2"/>
      <c r="G3116" s="2"/>
      <c r="H3116" s="2"/>
      <c r="I3116" s="2"/>
      <c r="J3116" s="2"/>
    </row>
    <row r="3117">
      <c r="A3117" s="2"/>
      <c r="D3117" s="2"/>
      <c r="E3117" s="2"/>
      <c r="F3117" s="2"/>
      <c r="G3117" s="2"/>
      <c r="H3117" s="2"/>
      <c r="I3117" s="2"/>
      <c r="J3117" s="2"/>
    </row>
    <row r="3118">
      <c r="A3118" s="2"/>
      <c r="D3118" s="2"/>
      <c r="E3118" s="2"/>
      <c r="F3118" s="2"/>
      <c r="G3118" s="2"/>
      <c r="H3118" s="2"/>
      <c r="I3118" s="2"/>
      <c r="J3118" s="2"/>
    </row>
    <row r="3119">
      <c r="A3119" s="2"/>
      <c r="D3119" s="2"/>
      <c r="E3119" s="2"/>
      <c r="F3119" s="2"/>
      <c r="G3119" s="2"/>
      <c r="H3119" s="2"/>
      <c r="I3119" s="2"/>
      <c r="J3119" s="2"/>
    </row>
    <row r="3120">
      <c r="A3120" s="2"/>
      <c r="D3120" s="2"/>
      <c r="E3120" s="2"/>
      <c r="F3120" s="2"/>
      <c r="G3120" s="2"/>
      <c r="H3120" s="2"/>
      <c r="I3120" s="2"/>
      <c r="J3120" s="2"/>
    </row>
    <row r="3121">
      <c r="A3121" s="2"/>
      <c r="D3121" s="2"/>
      <c r="E3121" s="2"/>
      <c r="F3121" s="2"/>
      <c r="G3121" s="2"/>
      <c r="H3121" s="2"/>
      <c r="I3121" s="2"/>
      <c r="J3121" s="2"/>
    </row>
    <row r="3122">
      <c r="A3122" s="2"/>
      <c r="D3122" s="2"/>
      <c r="E3122" s="2"/>
      <c r="F3122" s="2"/>
      <c r="G3122" s="2"/>
      <c r="H3122" s="2"/>
      <c r="I3122" s="2"/>
      <c r="J3122" s="2"/>
    </row>
    <row r="3123">
      <c r="A3123" s="2"/>
      <c r="D3123" s="2"/>
      <c r="E3123" s="2"/>
      <c r="F3123" s="2"/>
      <c r="G3123" s="2"/>
      <c r="H3123" s="2"/>
      <c r="I3123" s="2"/>
      <c r="J3123" s="2"/>
    </row>
    <row r="3124">
      <c r="A3124" s="2"/>
      <c r="D3124" s="2"/>
      <c r="E3124" s="2"/>
      <c r="F3124" s="2"/>
      <c r="G3124" s="2"/>
      <c r="H3124" s="2"/>
      <c r="I3124" s="2"/>
      <c r="J3124" s="2"/>
    </row>
    <row r="3125">
      <c r="A3125" s="2"/>
      <c r="D3125" s="2"/>
      <c r="E3125" s="2"/>
      <c r="F3125" s="2"/>
      <c r="G3125" s="2"/>
      <c r="H3125" s="2"/>
      <c r="I3125" s="2"/>
      <c r="J3125" s="2"/>
    </row>
    <row r="3126">
      <c r="A3126" s="2"/>
      <c r="D3126" s="2"/>
      <c r="E3126" s="2"/>
      <c r="F3126" s="2"/>
      <c r="G3126" s="2"/>
      <c r="H3126" s="2"/>
      <c r="I3126" s="2"/>
      <c r="J3126" s="2"/>
    </row>
    <row r="3127">
      <c r="A3127" s="2"/>
      <c r="D3127" s="2"/>
      <c r="E3127" s="2"/>
      <c r="F3127" s="2"/>
      <c r="G3127" s="2"/>
      <c r="H3127" s="2"/>
      <c r="I3127" s="2"/>
      <c r="J3127" s="2"/>
    </row>
    <row r="3128">
      <c r="A3128" s="2"/>
      <c r="D3128" s="2"/>
      <c r="E3128" s="2"/>
      <c r="F3128" s="2"/>
      <c r="G3128" s="2"/>
      <c r="H3128" s="2"/>
      <c r="I3128" s="2"/>
      <c r="J3128" s="2"/>
    </row>
    <row r="3129">
      <c r="A3129" s="2"/>
      <c r="D3129" s="2"/>
      <c r="E3129" s="2"/>
      <c r="F3129" s="2"/>
      <c r="G3129" s="2"/>
      <c r="H3129" s="2"/>
      <c r="I3129" s="2"/>
      <c r="J3129" s="2"/>
    </row>
    <row r="3130">
      <c r="A3130" s="2"/>
      <c r="D3130" s="2"/>
      <c r="E3130" s="2"/>
      <c r="F3130" s="2"/>
      <c r="G3130" s="2"/>
      <c r="H3130" s="2"/>
      <c r="I3130" s="2"/>
      <c r="J3130" s="2"/>
    </row>
    <row r="3131">
      <c r="A3131" s="2"/>
      <c r="D3131" s="2"/>
      <c r="E3131" s="2"/>
      <c r="F3131" s="2"/>
      <c r="G3131" s="2"/>
      <c r="H3131" s="2"/>
      <c r="I3131" s="2"/>
      <c r="J3131" s="2"/>
    </row>
    <row r="3132">
      <c r="A3132" s="2"/>
      <c r="D3132" s="2"/>
      <c r="E3132" s="2"/>
      <c r="F3132" s="2"/>
      <c r="G3132" s="2"/>
      <c r="H3132" s="2"/>
      <c r="I3132" s="2"/>
      <c r="J3132" s="2"/>
    </row>
    <row r="3133">
      <c r="A3133" s="2"/>
      <c r="D3133" s="2"/>
      <c r="E3133" s="2"/>
      <c r="F3133" s="2"/>
      <c r="G3133" s="2"/>
      <c r="H3133" s="2"/>
      <c r="I3133" s="2"/>
      <c r="J3133" s="2"/>
    </row>
    <row r="3134">
      <c r="A3134" s="2"/>
      <c r="D3134" s="2"/>
      <c r="E3134" s="2"/>
      <c r="F3134" s="2"/>
      <c r="G3134" s="2"/>
      <c r="H3134" s="2"/>
      <c r="I3134" s="2"/>
      <c r="J3134" s="2"/>
    </row>
    <row r="3135">
      <c r="A3135" s="2"/>
      <c r="D3135" s="2"/>
      <c r="E3135" s="2"/>
      <c r="F3135" s="2"/>
      <c r="G3135" s="2"/>
      <c r="H3135" s="2"/>
      <c r="I3135" s="2"/>
      <c r="J3135" s="2"/>
    </row>
    <row r="3136">
      <c r="A3136" s="2"/>
      <c r="D3136" s="2"/>
      <c r="E3136" s="2"/>
      <c r="F3136" s="2"/>
      <c r="G3136" s="2"/>
      <c r="H3136" s="2"/>
      <c r="I3136" s="2"/>
      <c r="J3136" s="2"/>
    </row>
    <row r="3137">
      <c r="A3137" s="2"/>
      <c r="D3137" s="2"/>
      <c r="E3137" s="2"/>
      <c r="F3137" s="2"/>
      <c r="G3137" s="2"/>
      <c r="H3137" s="2"/>
      <c r="I3137" s="2"/>
      <c r="J3137" s="2"/>
    </row>
    <row r="3138">
      <c r="A3138" s="2"/>
      <c r="D3138" s="2"/>
      <c r="E3138" s="2"/>
      <c r="F3138" s="2"/>
      <c r="G3138" s="2"/>
      <c r="H3138" s="2"/>
      <c r="I3138" s="2"/>
      <c r="J3138" s="2"/>
    </row>
    <row r="3139">
      <c r="A3139" s="2"/>
      <c r="D3139" s="2"/>
      <c r="E3139" s="2"/>
      <c r="F3139" s="2"/>
      <c r="G3139" s="2"/>
      <c r="H3139" s="2"/>
      <c r="I3139" s="2"/>
      <c r="J3139" s="2"/>
    </row>
    <row r="3140">
      <c r="A3140" s="2"/>
      <c r="D3140" s="2"/>
      <c r="E3140" s="2"/>
      <c r="F3140" s="2"/>
      <c r="G3140" s="2"/>
      <c r="H3140" s="2"/>
      <c r="I3140" s="2"/>
      <c r="J3140" s="2"/>
    </row>
    <row r="3141">
      <c r="A3141" s="2"/>
      <c r="D3141" s="2"/>
      <c r="E3141" s="2"/>
      <c r="F3141" s="2"/>
      <c r="G3141" s="2"/>
      <c r="H3141" s="2"/>
      <c r="I3141" s="2"/>
      <c r="J3141" s="2"/>
    </row>
    <row r="3142">
      <c r="A3142" s="2"/>
      <c r="D3142" s="2"/>
      <c r="E3142" s="2"/>
      <c r="F3142" s="2"/>
      <c r="G3142" s="2"/>
      <c r="H3142" s="2"/>
      <c r="I3142" s="2"/>
      <c r="J3142" s="2"/>
    </row>
    <row r="3143">
      <c r="A3143" s="2"/>
      <c r="D3143" s="2"/>
      <c r="E3143" s="2"/>
      <c r="F3143" s="2"/>
      <c r="G3143" s="2"/>
      <c r="H3143" s="2"/>
      <c r="I3143" s="2"/>
      <c r="J3143" s="2"/>
    </row>
    <row r="3144">
      <c r="A3144" s="2"/>
      <c r="D3144" s="2"/>
      <c r="E3144" s="2"/>
      <c r="F3144" s="2"/>
      <c r="G3144" s="2"/>
      <c r="H3144" s="2"/>
      <c r="I3144" s="2"/>
      <c r="J3144" s="2"/>
    </row>
    <row r="3145">
      <c r="A3145" s="2"/>
      <c r="D3145" s="2"/>
      <c r="E3145" s="2"/>
      <c r="F3145" s="2"/>
      <c r="G3145" s="2"/>
      <c r="H3145" s="2"/>
      <c r="I3145" s="2"/>
      <c r="J3145" s="2"/>
    </row>
    <row r="3146">
      <c r="A3146" s="2"/>
      <c r="D3146" s="2"/>
      <c r="E3146" s="2"/>
      <c r="F3146" s="2"/>
      <c r="G3146" s="2"/>
      <c r="H3146" s="2"/>
      <c r="I3146" s="2"/>
      <c r="J3146" s="2"/>
    </row>
    <row r="3147">
      <c r="A3147" s="2"/>
      <c r="D3147" s="2"/>
      <c r="E3147" s="2"/>
      <c r="F3147" s="2"/>
      <c r="G3147" s="2"/>
      <c r="H3147" s="2"/>
      <c r="I3147" s="2"/>
      <c r="J3147" s="2"/>
    </row>
    <row r="3148">
      <c r="A3148" s="2"/>
      <c r="D3148" s="2"/>
      <c r="E3148" s="2"/>
      <c r="F3148" s="2"/>
      <c r="G3148" s="2"/>
      <c r="H3148" s="2"/>
      <c r="I3148" s="2"/>
      <c r="J3148" s="2"/>
    </row>
    <row r="3149">
      <c r="A3149" s="2"/>
      <c r="D3149" s="2"/>
      <c r="E3149" s="2"/>
      <c r="F3149" s="2"/>
      <c r="G3149" s="2"/>
      <c r="H3149" s="2"/>
      <c r="I3149" s="2"/>
      <c r="J3149" s="2"/>
    </row>
    <row r="3150">
      <c r="A3150" s="2"/>
      <c r="D3150" s="2"/>
      <c r="E3150" s="2"/>
      <c r="F3150" s="2"/>
      <c r="G3150" s="2"/>
      <c r="H3150" s="2"/>
      <c r="I3150" s="2"/>
      <c r="J3150" s="2"/>
    </row>
    <row r="3151">
      <c r="A3151" s="2"/>
      <c r="D3151" s="2"/>
      <c r="E3151" s="2"/>
      <c r="F3151" s="2"/>
      <c r="G3151" s="2"/>
      <c r="H3151" s="2"/>
      <c r="I3151" s="2"/>
      <c r="J3151" s="2"/>
    </row>
    <row r="3152">
      <c r="A3152" s="2"/>
      <c r="D3152" s="2"/>
      <c r="E3152" s="2"/>
      <c r="F3152" s="2"/>
      <c r="G3152" s="2"/>
      <c r="H3152" s="2"/>
      <c r="I3152" s="2"/>
      <c r="J3152" s="2"/>
    </row>
    <row r="3153">
      <c r="A3153" s="2"/>
      <c r="D3153" s="2"/>
      <c r="E3153" s="2"/>
      <c r="F3153" s="2"/>
      <c r="G3153" s="2"/>
      <c r="H3153" s="2"/>
      <c r="I3153" s="2"/>
      <c r="J3153" s="2"/>
    </row>
    <row r="3154">
      <c r="A3154" s="2"/>
      <c r="D3154" s="2"/>
      <c r="E3154" s="2"/>
      <c r="F3154" s="2"/>
      <c r="G3154" s="2"/>
      <c r="H3154" s="2"/>
      <c r="I3154" s="2"/>
      <c r="J3154" s="2"/>
    </row>
    <row r="3155">
      <c r="A3155" s="2"/>
      <c r="D3155" s="2"/>
      <c r="E3155" s="2"/>
      <c r="F3155" s="2"/>
      <c r="G3155" s="2"/>
      <c r="H3155" s="2"/>
      <c r="I3155" s="2"/>
      <c r="J3155" s="2"/>
    </row>
    <row r="3156">
      <c r="A3156" s="2"/>
      <c r="D3156" s="2"/>
      <c r="E3156" s="2"/>
      <c r="F3156" s="2"/>
      <c r="G3156" s="2"/>
      <c r="H3156" s="2"/>
      <c r="I3156" s="2"/>
      <c r="J3156" s="2"/>
    </row>
    <row r="3157">
      <c r="A3157" s="2"/>
      <c r="D3157" s="2"/>
      <c r="E3157" s="2"/>
      <c r="F3157" s="2"/>
      <c r="G3157" s="2"/>
      <c r="H3157" s="2"/>
      <c r="I3157" s="2"/>
      <c r="J3157" s="2"/>
    </row>
    <row r="3158">
      <c r="A3158" s="2"/>
      <c r="D3158" s="2"/>
      <c r="E3158" s="2"/>
      <c r="F3158" s="2"/>
      <c r="G3158" s="2"/>
      <c r="H3158" s="2"/>
      <c r="I3158" s="2"/>
      <c r="J3158" s="2"/>
    </row>
    <row r="3159">
      <c r="A3159" s="2"/>
      <c r="D3159" s="2"/>
      <c r="E3159" s="2"/>
      <c r="F3159" s="2"/>
      <c r="G3159" s="2"/>
      <c r="H3159" s="2"/>
      <c r="I3159" s="2"/>
      <c r="J3159" s="2"/>
    </row>
    <row r="3160">
      <c r="A3160" s="2"/>
      <c r="D3160" s="2"/>
      <c r="E3160" s="2"/>
      <c r="F3160" s="2"/>
      <c r="G3160" s="2"/>
      <c r="H3160" s="2"/>
      <c r="I3160" s="2"/>
      <c r="J3160" s="2"/>
    </row>
    <row r="3161">
      <c r="A3161" s="2"/>
      <c r="D3161" s="2"/>
      <c r="E3161" s="2"/>
      <c r="F3161" s="2"/>
      <c r="G3161" s="2"/>
      <c r="H3161" s="2"/>
      <c r="I3161" s="2"/>
      <c r="J3161" s="2"/>
    </row>
    <row r="3162">
      <c r="A3162" s="2"/>
      <c r="D3162" s="2"/>
      <c r="E3162" s="2"/>
      <c r="F3162" s="2"/>
      <c r="G3162" s="2"/>
      <c r="H3162" s="2"/>
      <c r="I3162" s="2"/>
      <c r="J3162" s="2"/>
    </row>
    <row r="3163">
      <c r="A3163" s="2"/>
      <c r="D3163" s="2"/>
      <c r="E3163" s="2"/>
      <c r="F3163" s="2"/>
      <c r="G3163" s="2"/>
      <c r="H3163" s="2"/>
      <c r="I3163" s="2"/>
      <c r="J3163" s="2"/>
    </row>
    <row r="3164">
      <c r="A3164" s="2"/>
      <c r="D3164" s="2"/>
      <c r="E3164" s="2"/>
      <c r="F3164" s="2"/>
      <c r="G3164" s="2"/>
      <c r="H3164" s="2"/>
      <c r="I3164" s="2"/>
      <c r="J3164" s="2"/>
    </row>
    <row r="3165">
      <c r="A3165" s="2"/>
      <c r="D3165" s="2"/>
      <c r="E3165" s="2"/>
      <c r="F3165" s="2"/>
      <c r="G3165" s="2"/>
      <c r="H3165" s="2"/>
      <c r="I3165" s="2"/>
      <c r="J3165" s="2"/>
    </row>
    <row r="3166">
      <c r="A3166" s="2"/>
      <c r="D3166" s="2"/>
      <c r="E3166" s="2"/>
      <c r="F3166" s="2"/>
      <c r="G3166" s="2"/>
      <c r="H3166" s="2"/>
      <c r="I3166" s="2"/>
      <c r="J3166" s="2"/>
    </row>
    <row r="3167">
      <c r="A3167" s="2"/>
      <c r="D3167" s="2"/>
      <c r="E3167" s="2"/>
      <c r="F3167" s="2"/>
      <c r="G3167" s="2"/>
      <c r="H3167" s="2"/>
      <c r="I3167" s="2"/>
      <c r="J3167" s="2"/>
    </row>
    <row r="3168">
      <c r="A3168" s="2"/>
      <c r="D3168" s="2"/>
      <c r="E3168" s="2"/>
      <c r="F3168" s="2"/>
      <c r="G3168" s="2"/>
      <c r="H3168" s="2"/>
      <c r="I3168" s="2"/>
      <c r="J3168" s="2"/>
    </row>
    <row r="3169">
      <c r="A3169" s="2"/>
      <c r="D3169" s="2"/>
      <c r="E3169" s="2"/>
      <c r="F3169" s="2"/>
      <c r="G3169" s="2"/>
      <c r="H3169" s="2"/>
      <c r="I3169" s="2"/>
      <c r="J3169" s="2"/>
    </row>
    <row r="3170">
      <c r="A3170" s="2"/>
      <c r="D3170" s="2"/>
      <c r="E3170" s="2"/>
      <c r="F3170" s="2"/>
      <c r="G3170" s="2"/>
      <c r="H3170" s="2"/>
      <c r="I3170" s="2"/>
      <c r="J3170" s="2"/>
    </row>
    <row r="3171">
      <c r="A3171" s="2"/>
      <c r="D3171" s="2"/>
      <c r="E3171" s="2"/>
      <c r="F3171" s="2"/>
      <c r="G3171" s="2"/>
      <c r="H3171" s="2"/>
      <c r="I3171" s="2"/>
      <c r="J3171" s="2"/>
    </row>
    <row r="3172">
      <c r="A3172" s="2"/>
      <c r="D3172" s="2"/>
      <c r="E3172" s="2"/>
      <c r="F3172" s="2"/>
      <c r="G3172" s="2"/>
      <c r="H3172" s="2"/>
      <c r="I3172" s="2"/>
      <c r="J3172" s="2"/>
    </row>
    <row r="3173">
      <c r="A3173" s="2"/>
      <c r="D3173" s="2"/>
      <c r="E3173" s="2"/>
      <c r="F3173" s="2"/>
      <c r="G3173" s="2"/>
      <c r="H3173" s="2"/>
      <c r="I3173" s="2"/>
      <c r="J3173" s="2"/>
    </row>
    <row r="3174">
      <c r="A3174" s="2"/>
      <c r="D3174" s="2"/>
      <c r="E3174" s="2"/>
      <c r="F3174" s="2"/>
      <c r="G3174" s="2"/>
      <c r="H3174" s="2"/>
      <c r="I3174" s="2"/>
      <c r="J3174" s="2"/>
    </row>
    <row r="3175">
      <c r="A3175" s="2"/>
      <c r="D3175" s="2"/>
      <c r="E3175" s="2"/>
      <c r="F3175" s="2"/>
      <c r="G3175" s="2"/>
      <c r="H3175" s="2"/>
      <c r="I3175" s="2"/>
      <c r="J3175" s="2"/>
    </row>
    <row r="3176">
      <c r="A3176" s="2"/>
      <c r="D3176" s="2"/>
      <c r="E3176" s="2"/>
      <c r="F3176" s="2"/>
      <c r="G3176" s="2"/>
      <c r="H3176" s="2"/>
      <c r="I3176" s="2"/>
      <c r="J3176" s="2"/>
    </row>
    <row r="3177">
      <c r="A3177" s="2"/>
      <c r="D3177" s="2"/>
      <c r="E3177" s="2"/>
      <c r="F3177" s="2"/>
      <c r="G3177" s="2"/>
      <c r="H3177" s="2"/>
      <c r="I3177" s="2"/>
      <c r="J3177" s="2"/>
    </row>
    <row r="3178">
      <c r="A3178" s="2"/>
      <c r="D3178" s="2"/>
      <c r="E3178" s="2"/>
      <c r="F3178" s="2"/>
      <c r="G3178" s="2"/>
      <c r="H3178" s="2"/>
      <c r="I3178" s="2"/>
      <c r="J3178" s="2"/>
    </row>
    <row r="3179">
      <c r="A3179" s="2"/>
      <c r="D3179" s="2"/>
      <c r="E3179" s="2"/>
      <c r="F3179" s="2"/>
      <c r="G3179" s="2"/>
      <c r="H3179" s="2"/>
      <c r="I3179" s="2"/>
      <c r="J3179" s="2"/>
    </row>
    <row r="3180">
      <c r="A3180" s="2"/>
      <c r="D3180" s="2"/>
      <c r="E3180" s="2"/>
      <c r="F3180" s="2"/>
      <c r="G3180" s="2"/>
      <c r="H3180" s="2"/>
      <c r="I3180" s="2"/>
      <c r="J3180" s="2"/>
    </row>
    <row r="3181">
      <c r="A3181" s="2"/>
      <c r="D3181" s="2"/>
      <c r="E3181" s="2"/>
      <c r="F3181" s="2"/>
      <c r="G3181" s="2"/>
      <c r="H3181" s="2"/>
      <c r="I3181" s="2"/>
      <c r="J3181" s="2"/>
    </row>
    <row r="3182">
      <c r="A3182" s="2"/>
      <c r="D3182" s="2"/>
      <c r="E3182" s="2"/>
      <c r="F3182" s="2"/>
      <c r="G3182" s="2"/>
      <c r="H3182" s="2"/>
      <c r="I3182" s="2"/>
      <c r="J3182" s="2"/>
    </row>
    <row r="3183">
      <c r="A3183" s="2"/>
      <c r="D3183" s="2"/>
      <c r="E3183" s="2"/>
      <c r="F3183" s="2"/>
      <c r="G3183" s="2"/>
      <c r="H3183" s="2"/>
      <c r="I3183" s="2"/>
      <c r="J3183" s="2"/>
    </row>
    <row r="3184">
      <c r="A3184" s="2"/>
      <c r="D3184" s="2"/>
      <c r="E3184" s="2"/>
      <c r="F3184" s="2"/>
      <c r="G3184" s="2"/>
      <c r="H3184" s="2"/>
      <c r="I3184" s="2"/>
      <c r="J3184" s="2"/>
    </row>
    <row r="3185">
      <c r="A3185" s="2"/>
      <c r="D3185" s="2"/>
      <c r="E3185" s="2"/>
      <c r="F3185" s="2"/>
      <c r="G3185" s="2"/>
      <c r="H3185" s="2"/>
      <c r="I3185" s="2"/>
      <c r="J3185" s="2"/>
    </row>
    <row r="3186">
      <c r="A3186" s="2"/>
      <c r="D3186" s="2"/>
      <c r="E3186" s="2"/>
      <c r="F3186" s="2"/>
      <c r="G3186" s="2"/>
      <c r="H3186" s="2"/>
      <c r="I3186" s="2"/>
      <c r="J3186" s="2"/>
    </row>
    <row r="3187">
      <c r="A3187" s="2"/>
      <c r="D3187" s="2"/>
      <c r="E3187" s="2"/>
      <c r="F3187" s="2"/>
      <c r="G3187" s="2"/>
      <c r="H3187" s="2"/>
      <c r="I3187" s="2"/>
      <c r="J3187" s="2"/>
    </row>
    <row r="3188">
      <c r="A3188" s="2"/>
      <c r="D3188" s="2"/>
      <c r="E3188" s="2"/>
      <c r="F3188" s="2"/>
      <c r="G3188" s="2"/>
      <c r="H3188" s="2"/>
      <c r="I3188" s="2"/>
      <c r="J3188" s="2"/>
    </row>
    <row r="3189">
      <c r="A3189" s="2"/>
      <c r="D3189" s="2"/>
      <c r="E3189" s="2"/>
      <c r="F3189" s="2"/>
      <c r="G3189" s="2"/>
      <c r="H3189" s="2"/>
      <c r="I3189" s="2"/>
      <c r="J3189" s="2"/>
    </row>
    <row r="3190">
      <c r="A3190" s="2"/>
      <c r="D3190" s="2"/>
      <c r="E3190" s="2"/>
      <c r="F3190" s="2"/>
      <c r="G3190" s="2"/>
      <c r="H3190" s="2"/>
      <c r="I3190" s="2"/>
      <c r="J3190" s="2"/>
    </row>
    <row r="3191">
      <c r="A3191" s="2"/>
      <c r="D3191" s="2"/>
      <c r="E3191" s="2"/>
      <c r="F3191" s="2"/>
      <c r="G3191" s="2"/>
      <c r="H3191" s="2"/>
      <c r="I3191" s="2"/>
      <c r="J3191" s="2"/>
    </row>
    <row r="3192">
      <c r="A3192" s="2"/>
      <c r="D3192" s="2"/>
      <c r="E3192" s="2"/>
      <c r="F3192" s="2"/>
      <c r="G3192" s="2"/>
      <c r="H3192" s="2"/>
      <c r="I3192" s="2"/>
      <c r="J3192" s="2"/>
    </row>
    <row r="3193">
      <c r="A3193" s="2"/>
      <c r="D3193" s="2"/>
      <c r="E3193" s="2"/>
      <c r="F3193" s="2"/>
      <c r="G3193" s="2"/>
      <c r="H3193" s="2"/>
      <c r="I3193" s="2"/>
      <c r="J3193" s="2"/>
    </row>
    <row r="3194">
      <c r="A3194" s="2"/>
      <c r="D3194" s="2"/>
      <c r="E3194" s="2"/>
      <c r="F3194" s="2"/>
      <c r="G3194" s="2"/>
      <c r="H3194" s="2"/>
      <c r="I3194" s="2"/>
      <c r="J3194" s="2"/>
    </row>
    <row r="3195">
      <c r="A3195" s="2"/>
      <c r="D3195" s="2"/>
      <c r="E3195" s="2"/>
      <c r="F3195" s="2"/>
      <c r="G3195" s="2"/>
      <c r="H3195" s="2"/>
      <c r="I3195" s="2"/>
      <c r="J3195" s="2"/>
    </row>
    <row r="3196">
      <c r="A3196" s="2"/>
      <c r="D3196" s="2"/>
      <c r="E3196" s="2"/>
      <c r="F3196" s="2"/>
      <c r="G3196" s="2"/>
      <c r="H3196" s="2"/>
      <c r="I3196" s="2"/>
      <c r="J3196" s="2"/>
    </row>
    <row r="3197">
      <c r="A3197" s="2"/>
      <c r="D3197" s="2"/>
      <c r="E3197" s="2"/>
      <c r="F3197" s="2"/>
      <c r="G3197" s="2"/>
      <c r="H3197" s="2"/>
      <c r="I3197" s="2"/>
      <c r="J3197" s="2"/>
    </row>
    <row r="3198">
      <c r="A3198" s="2"/>
      <c r="D3198" s="2"/>
      <c r="E3198" s="2"/>
      <c r="F3198" s="2"/>
      <c r="G3198" s="2"/>
      <c r="H3198" s="2"/>
      <c r="I3198" s="2"/>
      <c r="J3198" s="2"/>
    </row>
    <row r="3199">
      <c r="A3199" s="2"/>
      <c r="D3199" s="2"/>
      <c r="E3199" s="2"/>
      <c r="F3199" s="2"/>
      <c r="G3199" s="2"/>
      <c r="H3199" s="2"/>
      <c r="I3199" s="2"/>
      <c r="J3199" s="2"/>
    </row>
    <row r="3200">
      <c r="A3200" s="2"/>
      <c r="D3200" s="2"/>
      <c r="E3200" s="2"/>
      <c r="F3200" s="2"/>
      <c r="G3200" s="2"/>
      <c r="H3200" s="2"/>
      <c r="I3200" s="2"/>
      <c r="J3200" s="2"/>
    </row>
    <row r="3201">
      <c r="A3201" s="2"/>
      <c r="D3201" s="2"/>
      <c r="E3201" s="2"/>
      <c r="F3201" s="2"/>
      <c r="G3201" s="2"/>
      <c r="H3201" s="2"/>
      <c r="I3201" s="2"/>
      <c r="J3201" s="2"/>
    </row>
    <row r="3202">
      <c r="A3202" s="2"/>
      <c r="D3202" s="2"/>
      <c r="E3202" s="2"/>
      <c r="F3202" s="2"/>
      <c r="G3202" s="2"/>
      <c r="H3202" s="2"/>
      <c r="I3202" s="2"/>
      <c r="J3202" s="2"/>
    </row>
    <row r="3203">
      <c r="A3203" s="2"/>
      <c r="D3203" s="2"/>
      <c r="E3203" s="2"/>
      <c r="F3203" s="2"/>
      <c r="G3203" s="2"/>
      <c r="H3203" s="2"/>
      <c r="I3203" s="2"/>
      <c r="J3203" s="2"/>
    </row>
    <row r="3204">
      <c r="A3204" s="2"/>
      <c r="D3204" s="2"/>
      <c r="E3204" s="2"/>
      <c r="F3204" s="2"/>
      <c r="G3204" s="2"/>
      <c r="H3204" s="2"/>
      <c r="I3204" s="2"/>
      <c r="J3204" s="2"/>
    </row>
    <row r="3205">
      <c r="A3205" s="2"/>
      <c r="D3205" s="2"/>
      <c r="E3205" s="2"/>
      <c r="F3205" s="2"/>
      <c r="G3205" s="2"/>
      <c r="H3205" s="2"/>
      <c r="I3205" s="2"/>
      <c r="J3205" s="2"/>
    </row>
    <row r="3206">
      <c r="A3206" s="2"/>
      <c r="D3206" s="2"/>
      <c r="E3206" s="2"/>
      <c r="F3206" s="2"/>
      <c r="G3206" s="2"/>
      <c r="H3206" s="2"/>
      <c r="I3206" s="2"/>
      <c r="J3206" s="2"/>
    </row>
    <row r="3207">
      <c r="A3207" s="2"/>
      <c r="D3207" s="2"/>
      <c r="E3207" s="2"/>
      <c r="F3207" s="2"/>
      <c r="G3207" s="2"/>
      <c r="H3207" s="2"/>
      <c r="I3207" s="2"/>
      <c r="J3207" s="2"/>
    </row>
    <row r="3208">
      <c r="A3208" s="2"/>
      <c r="D3208" s="2"/>
      <c r="E3208" s="2"/>
      <c r="F3208" s="2"/>
      <c r="G3208" s="2"/>
      <c r="H3208" s="2"/>
      <c r="I3208" s="2"/>
      <c r="J3208" s="2"/>
    </row>
    <row r="3209">
      <c r="A3209" s="2"/>
      <c r="D3209" s="2"/>
      <c r="E3209" s="2"/>
      <c r="F3209" s="2"/>
      <c r="G3209" s="2"/>
      <c r="H3209" s="2"/>
      <c r="I3209" s="2"/>
      <c r="J3209" s="2"/>
    </row>
    <row r="3210">
      <c r="A3210" s="2"/>
      <c r="D3210" s="2"/>
      <c r="E3210" s="2"/>
      <c r="F3210" s="2"/>
      <c r="G3210" s="2"/>
      <c r="H3210" s="2"/>
      <c r="I3210" s="2"/>
      <c r="J3210" s="2"/>
    </row>
    <row r="3211">
      <c r="A3211" s="2"/>
      <c r="D3211" s="2"/>
      <c r="E3211" s="2"/>
      <c r="F3211" s="2"/>
      <c r="G3211" s="2"/>
      <c r="H3211" s="2"/>
      <c r="I3211" s="2"/>
      <c r="J3211" s="2"/>
    </row>
    <row r="3212">
      <c r="A3212" s="2"/>
      <c r="D3212" s="2"/>
      <c r="E3212" s="2"/>
      <c r="F3212" s="2"/>
      <c r="G3212" s="2"/>
      <c r="H3212" s="2"/>
      <c r="I3212" s="2"/>
      <c r="J3212" s="2"/>
    </row>
    <row r="3213">
      <c r="A3213" s="2"/>
      <c r="D3213" s="2"/>
      <c r="E3213" s="2"/>
      <c r="F3213" s="2"/>
      <c r="G3213" s="2"/>
      <c r="H3213" s="2"/>
      <c r="I3213" s="2"/>
      <c r="J3213" s="2"/>
    </row>
    <row r="3214">
      <c r="A3214" s="2"/>
      <c r="D3214" s="2"/>
      <c r="E3214" s="2"/>
      <c r="F3214" s="2"/>
      <c r="G3214" s="2"/>
      <c r="H3214" s="2"/>
      <c r="I3214" s="2"/>
      <c r="J3214" s="2"/>
    </row>
    <row r="3215">
      <c r="A3215" s="2"/>
      <c r="D3215" s="2"/>
      <c r="E3215" s="2"/>
      <c r="F3215" s="2"/>
      <c r="G3215" s="2"/>
      <c r="H3215" s="2"/>
      <c r="I3215" s="2"/>
      <c r="J3215" s="2"/>
    </row>
    <row r="3216">
      <c r="A3216" s="2"/>
      <c r="D3216" s="2"/>
      <c r="E3216" s="2"/>
      <c r="F3216" s="2"/>
      <c r="G3216" s="2"/>
      <c r="H3216" s="2"/>
      <c r="I3216" s="2"/>
      <c r="J3216" s="2"/>
    </row>
    <row r="3217">
      <c r="A3217" s="2"/>
      <c r="D3217" s="2"/>
      <c r="E3217" s="2"/>
      <c r="F3217" s="2"/>
      <c r="G3217" s="2"/>
      <c r="H3217" s="2"/>
      <c r="I3217" s="2"/>
      <c r="J3217" s="2"/>
    </row>
    <row r="3218">
      <c r="A3218" s="2"/>
      <c r="D3218" s="2"/>
      <c r="E3218" s="2"/>
      <c r="F3218" s="2"/>
      <c r="G3218" s="2"/>
      <c r="H3218" s="2"/>
      <c r="I3218" s="2"/>
      <c r="J3218" s="2"/>
    </row>
    <row r="3219">
      <c r="A3219" s="2"/>
      <c r="D3219" s="2"/>
      <c r="E3219" s="2"/>
      <c r="F3219" s="2"/>
      <c r="G3219" s="2"/>
      <c r="H3219" s="2"/>
      <c r="I3219" s="2"/>
      <c r="J3219" s="2"/>
    </row>
    <row r="3220">
      <c r="A3220" s="2"/>
      <c r="D3220" s="2"/>
      <c r="E3220" s="2"/>
      <c r="F3220" s="2"/>
      <c r="G3220" s="2"/>
      <c r="H3220" s="2"/>
      <c r="I3220" s="2"/>
      <c r="J3220" s="2"/>
    </row>
    <row r="3221">
      <c r="A3221" s="2"/>
      <c r="D3221" s="2"/>
      <c r="E3221" s="2"/>
      <c r="F3221" s="2"/>
      <c r="G3221" s="2"/>
      <c r="H3221" s="2"/>
      <c r="I3221" s="2"/>
      <c r="J3221" s="2"/>
    </row>
    <row r="3222">
      <c r="A3222" s="2"/>
      <c r="D3222" s="2"/>
      <c r="E3222" s="2"/>
      <c r="F3222" s="2"/>
      <c r="G3222" s="2"/>
      <c r="H3222" s="2"/>
      <c r="I3222" s="2"/>
      <c r="J3222" s="2"/>
    </row>
    <row r="3223">
      <c r="A3223" s="2"/>
      <c r="D3223" s="2"/>
      <c r="E3223" s="2"/>
      <c r="F3223" s="2"/>
      <c r="G3223" s="2"/>
      <c r="H3223" s="2"/>
      <c r="I3223" s="2"/>
      <c r="J3223"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7.13"/>
    <col customWidth="1" min="3" max="3" width="15.88"/>
    <col customWidth="1" min="4" max="4" width="33.5"/>
    <col customWidth="1" min="5" max="5" width="50.25"/>
    <col customWidth="1" min="6" max="6" width="8.88"/>
    <col customWidth="1" min="7" max="7" width="18.38"/>
    <col customWidth="1" min="8" max="10" width="9.75"/>
  </cols>
  <sheetData>
    <row r="1">
      <c r="A1" s="1" t="s">
        <v>0</v>
      </c>
      <c r="B1" s="1" t="s">
        <v>1</v>
      </c>
      <c r="C1" s="1" t="s">
        <v>2</v>
      </c>
      <c r="D1" s="1" t="s">
        <v>3</v>
      </c>
      <c r="E1" s="2" t="s">
        <v>5</v>
      </c>
      <c r="F1" s="2" t="s">
        <v>7</v>
      </c>
      <c r="G1" s="1" t="s">
        <v>10</v>
      </c>
      <c r="H1" s="2" t="s">
        <v>12</v>
      </c>
      <c r="I1" s="2" t="s">
        <v>14</v>
      </c>
      <c r="J1" s="2" t="s">
        <v>16</v>
      </c>
    </row>
    <row r="2">
      <c r="A2" s="2">
        <v>2024.0</v>
      </c>
      <c r="B2" s="1" t="s">
        <v>20</v>
      </c>
      <c r="C2" s="2" t="s">
        <v>22</v>
      </c>
      <c r="D2" s="2" t="s">
        <v>23</v>
      </c>
      <c r="E2" s="2" t="s">
        <v>25</v>
      </c>
      <c r="F2" s="2">
        <v>3081568.0</v>
      </c>
      <c r="H2" s="2">
        <v>5695122.0</v>
      </c>
      <c r="I2" s="2">
        <v>1581819.0</v>
      </c>
      <c r="J2" s="2">
        <v>4113303.0</v>
      </c>
    </row>
    <row r="3">
      <c r="A3" s="2">
        <v>2024.0</v>
      </c>
      <c r="B3" s="1" t="s">
        <v>20</v>
      </c>
      <c r="C3" s="2" t="s">
        <v>22</v>
      </c>
      <c r="D3" s="2" t="s">
        <v>23</v>
      </c>
      <c r="E3" s="2" t="s">
        <v>27</v>
      </c>
      <c r="F3" s="2">
        <v>109754.0</v>
      </c>
      <c r="H3" s="2">
        <v>1642275.0</v>
      </c>
      <c r="I3" s="2">
        <v>1541533.0</v>
      </c>
      <c r="J3" s="2">
        <v>100742.0</v>
      </c>
    </row>
    <row r="4">
      <c r="A4" s="2">
        <v>2024.0</v>
      </c>
      <c r="B4" s="1" t="s">
        <v>20</v>
      </c>
      <c r="C4" s="2" t="s">
        <v>22</v>
      </c>
      <c r="D4" s="2" t="s">
        <v>23</v>
      </c>
      <c r="E4" s="2" t="s">
        <v>30</v>
      </c>
      <c r="F4" s="2">
        <v>4193359.0</v>
      </c>
      <c r="H4" s="2">
        <v>6836243.0</v>
      </c>
      <c r="I4" s="2">
        <v>5390531.0</v>
      </c>
      <c r="J4" s="2">
        <v>1445712.0</v>
      </c>
    </row>
    <row r="5">
      <c r="A5" s="2">
        <v>2024.0</v>
      </c>
      <c r="B5" s="1" t="s">
        <v>20</v>
      </c>
      <c r="C5" s="2" t="s">
        <v>22</v>
      </c>
      <c r="D5" s="2" t="s">
        <v>23</v>
      </c>
      <c r="E5" s="2" t="s">
        <v>32</v>
      </c>
      <c r="F5" s="2">
        <v>19902.0</v>
      </c>
      <c r="H5" s="2">
        <v>582237.0</v>
      </c>
      <c r="I5" s="2">
        <v>516510.0</v>
      </c>
      <c r="J5" s="2">
        <v>65727.0</v>
      </c>
    </row>
    <row r="6">
      <c r="A6" s="2">
        <v>2024.0</v>
      </c>
      <c r="B6" s="1" t="s">
        <v>20</v>
      </c>
      <c r="C6" s="2" t="s">
        <v>22</v>
      </c>
      <c r="D6" s="2" t="s">
        <v>23</v>
      </c>
      <c r="E6" s="2" t="s">
        <v>34</v>
      </c>
      <c r="F6" s="2">
        <v>0.0</v>
      </c>
      <c r="H6" s="2">
        <v>1168194.0</v>
      </c>
      <c r="I6" s="2">
        <v>1072577.0</v>
      </c>
      <c r="J6" s="2">
        <v>95617.0</v>
      </c>
    </row>
    <row r="7">
      <c r="A7" s="2">
        <v>2024.0</v>
      </c>
      <c r="B7" s="1" t="s">
        <v>20</v>
      </c>
      <c r="C7" s="2" t="s">
        <v>22</v>
      </c>
      <c r="D7" s="2" t="s">
        <v>40</v>
      </c>
      <c r="E7" s="2" t="s">
        <v>41</v>
      </c>
      <c r="F7" s="2">
        <v>334063.0</v>
      </c>
      <c r="H7" s="2">
        <v>336211.0</v>
      </c>
      <c r="I7" s="2">
        <v>336211.0</v>
      </c>
      <c r="J7" s="2">
        <v>0.0</v>
      </c>
    </row>
    <row r="8">
      <c r="A8" s="2">
        <v>2024.0</v>
      </c>
      <c r="B8" s="1" t="s">
        <v>20</v>
      </c>
      <c r="C8" s="2" t="s">
        <v>22</v>
      </c>
      <c r="D8" s="2" t="s">
        <v>40</v>
      </c>
      <c r="E8" s="2" t="s">
        <v>25</v>
      </c>
      <c r="F8" s="2">
        <v>3765821.0</v>
      </c>
      <c r="H8" s="2">
        <v>5873508.0</v>
      </c>
      <c r="I8" s="2">
        <v>3728289.0</v>
      </c>
      <c r="J8" s="2">
        <v>2145219.0</v>
      </c>
    </row>
    <row r="9">
      <c r="A9" s="2">
        <v>2024.0</v>
      </c>
      <c r="B9" s="1" t="s">
        <v>20</v>
      </c>
      <c r="C9" s="2" t="s">
        <v>22</v>
      </c>
      <c r="D9" s="2" t="s">
        <v>40</v>
      </c>
      <c r="E9" s="2" t="s">
        <v>47</v>
      </c>
      <c r="F9" s="2">
        <v>2488782.0</v>
      </c>
      <c r="H9" s="2">
        <v>7167274.0</v>
      </c>
      <c r="I9" s="2">
        <v>5470962.0</v>
      </c>
      <c r="J9" s="2">
        <v>1696312.0</v>
      </c>
    </row>
    <row r="10">
      <c r="A10" s="2">
        <v>2024.0</v>
      </c>
      <c r="B10" s="1" t="s">
        <v>20</v>
      </c>
      <c r="C10" s="2" t="s">
        <v>22</v>
      </c>
      <c r="D10" s="2" t="s">
        <v>50</v>
      </c>
      <c r="E10" s="2" t="s">
        <v>25</v>
      </c>
      <c r="F10" s="2">
        <v>4435468.0</v>
      </c>
      <c r="H10" s="2">
        <v>8153408.0</v>
      </c>
      <c r="I10" s="2">
        <v>5296851.0</v>
      </c>
      <c r="J10" s="2">
        <v>2856557.0</v>
      </c>
    </row>
    <row r="11">
      <c r="A11" s="2">
        <v>2024.0</v>
      </c>
      <c r="B11" s="1" t="s">
        <v>20</v>
      </c>
      <c r="C11" s="2" t="s">
        <v>22</v>
      </c>
      <c r="D11" s="2" t="s">
        <v>50</v>
      </c>
      <c r="E11" s="2" t="s">
        <v>54</v>
      </c>
      <c r="F11" s="2">
        <v>2923043.0</v>
      </c>
      <c r="H11" s="2">
        <v>7715569.0</v>
      </c>
      <c r="I11" s="2">
        <v>5196040.0</v>
      </c>
      <c r="J11" s="2">
        <v>2519529.0</v>
      </c>
    </row>
    <row r="12">
      <c r="A12" s="2">
        <v>2024.0</v>
      </c>
      <c r="B12" s="1" t="s">
        <v>20</v>
      </c>
      <c r="C12" s="2" t="s">
        <v>22</v>
      </c>
      <c r="D12" s="2" t="s">
        <v>55</v>
      </c>
      <c r="E12" s="2" t="s">
        <v>56</v>
      </c>
      <c r="F12" s="2">
        <v>3330076.0</v>
      </c>
      <c r="H12" s="2">
        <v>6257974.0</v>
      </c>
      <c r="I12" s="2">
        <v>4438579.0</v>
      </c>
      <c r="J12" s="2">
        <v>1819395.0</v>
      </c>
    </row>
    <row r="13">
      <c r="A13" s="2">
        <v>2024.0</v>
      </c>
      <c r="B13" s="1" t="s">
        <v>20</v>
      </c>
      <c r="C13" s="2" t="s">
        <v>22</v>
      </c>
      <c r="D13" s="2" t="s">
        <v>55</v>
      </c>
      <c r="E13" s="2" t="s">
        <v>25</v>
      </c>
      <c r="F13" s="2">
        <v>2233795.0</v>
      </c>
      <c r="H13" s="2">
        <v>4737659.0</v>
      </c>
      <c r="I13" s="2">
        <v>1363496.0</v>
      </c>
      <c r="J13" s="2">
        <v>3374163.0</v>
      </c>
    </row>
    <row r="14">
      <c r="A14" s="2">
        <v>2024.0</v>
      </c>
      <c r="B14" s="1" t="s">
        <v>20</v>
      </c>
      <c r="C14" s="2" t="s">
        <v>22</v>
      </c>
      <c r="D14" s="2" t="s">
        <v>55</v>
      </c>
      <c r="E14" s="2" t="s">
        <v>32</v>
      </c>
      <c r="F14" s="2">
        <v>24378.0</v>
      </c>
      <c r="H14" s="2">
        <v>81637.0</v>
      </c>
      <c r="I14" s="2">
        <v>0.0</v>
      </c>
      <c r="J14" s="2">
        <v>81637.0</v>
      </c>
    </row>
    <row r="15">
      <c r="A15" s="2">
        <v>2024.0</v>
      </c>
      <c r="B15" s="1" t="s">
        <v>20</v>
      </c>
      <c r="C15" s="2" t="s">
        <v>60</v>
      </c>
      <c r="D15" s="2" t="s">
        <v>61</v>
      </c>
      <c r="E15" s="2" t="s">
        <v>62</v>
      </c>
      <c r="F15" s="2">
        <v>3948963.0</v>
      </c>
      <c r="H15" s="2">
        <v>5786730.0</v>
      </c>
      <c r="I15" s="2">
        <v>1476163.0</v>
      </c>
      <c r="J15" s="2">
        <v>4310567.0</v>
      </c>
    </row>
    <row r="16">
      <c r="A16" s="2">
        <v>2024.0</v>
      </c>
      <c r="B16" s="1" t="s">
        <v>20</v>
      </c>
      <c r="C16" s="2" t="s">
        <v>60</v>
      </c>
      <c r="D16" s="2" t="s">
        <v>61</v>
      </c>
      <c r="E16" s="2" t="s">
        <v>56</v>
      </c>
      <c r="F16" s="2">
        <v>1814360.0</v>
      </c>
      <c r="H16" s="2">
        <v>4468589.0</v>
      </c>
      <c r="I16" s="2">
        <v>1608947.0</v>
      </c>
      <c r="J16" s="2">
        <v>2859642.0</v>
      </c>
    </row>
    <row r="17">
      <c r="A17" s="2">
        <v>2024.0</v>
      </c>
      <c r="B17" s="1" t="s">
        <v>20</v>
      </c>
      <c r="C17" s="2" t="s">
        <v>60</v>
      </c>
      <c r="D17" s="2" t="s">
        <v>61</v>
      </c>
      <c r="E17" s="2" t="s">
        <v>32</v>
      </c>
      <c r="F17" s="2">
        <v>705977.0</v>
      </c>
      <c r="H17" s="2">
        <v>1134488.0</v>
      </c>
      <c r="I17" s="2">
        <v>410406.0</v>
      </c>
      <c r="J17" s="2">
        <v>724082.0</v>
      </c>
    </row>
    <row r="18">
      <c r="A18" s="2">
        <v>2024.0</v>
      </c>
      <c r="B18" s="1" t="s">
        <v>20</v>
      </c>
      <c r="C18" s="2" t="s">
        <v>60</v>
      </c>
      <c r="D18" s="2" t="s">
        <v>61</v>
      </c>
      <c r="E18" s="2" t="s">
        <v>69</v>
      </c>
      <c r="F18" s="2">
        <v>147281.0</v>
      </c>
      <c r="H18" s="2">
        <v>187062.0</v>
      </c>
      <c r="I18" s="2">
        <v>0.0</v>
      </c>
      <c r="J18" s="2">
        <v>187062.0</v>
      </c>
    </row>
    <row r="19">
      <c r="A19" s="2">
        <v>2024.0</v>
      </c>
      <c r="B19" s="1" t="s">
        <v>20</v>
      </c>
      <c r="C19" s="2" t="s">
        <v>60</v>
      </c>
      <c r="D19" s="2" t="s">
        <v>72</v>
      </c>
      <c r="E19" s="2" t="s">
        <v>25</v>
      </c>
      <c r="F19" s="2">
        <v>2440051.0</v>
      </c>
      <c r="H19" s="2">
        <v>3831586.0</v>
      </c>
      <c r="I19" s="2">
        <v>661142.0</v>
      </c>
      <c r="J19" s="2">
        <v>3170444.0</v>
      </c>
    </row>
    <row r="20">
      <c r="A20" s="2">
        <v>2024.0</v>
      </c>
      <c r="B20" s="1" t="s">
        <v>20</v>
      </c>
      <c r="C20" s="2" t="s">
        <v>60</v>
      </c>
      <c r="D20" s="2" t="s">
        <v>72</v>
      </c>
      <c r="E20" s="2" t="s">
        <v>32</v>
      </c>
      <c r="F20" s="2">
        <v>123663.0</v>
      </c>
      <c r="H20" s="2">
        <v>319484.0</v>
      </c>
      <c r="I20" s="2">
        <v>269235.0</v>
      </c>
      <c r="J20" s="2">
        <v>50249.0</v>
      </c>
    </row>
    <row r="21">
      <c r="A21" s="2">
        <v>2024.0</v>
      </c>
      <c r="B21" s="1" t="s">
        <v>20</v>
      </c>
      <c r="C21" s="2" t="s">
        <v>60</v>
      </c>
      <c r="D21" s="2" t="s">
        <v>72</v>
      </c>
      <c r="E21" s="2" t="s">
        <v>76</v>
      </c>
      <c r="F21" s="2">
        <v>345720.0</v>
      </c>
      <c r="H21" s="2">
        <v>348833.0</v>
      </c>
      <c r="I21" s="2">
        <v>341978.0</v>
      </c>
      <c r="J21" s="2">
        <v>6855.0</v>
      </c>
    </row>
    <row r="22">
      <c r="A22" s="2">
        <v>2024.0</v>
      </c>
      <c r="B22" s="1" t="s">
        <v>20</v>
      </c>
      <c r="C22" s="2" t="s">
        <v>60</v>
      </c>
      <c r="D22" s="2" t="s">
        <v>72</v>
      </c>
      <c r="E22" s="2" t="s">
        <v>78</v>
      </c>
      <c r="F22" s="2">
        <v>477136.0</v>
      </c>
      <c r="H22" s="2">
        <v>1910843.0</v>
      </c>
      <c r="I22" s="2">
        <v>1393463.0</v>
      </c>
      <c r="J22" s="2">
        <v>517380.0</v>
      </c>
    </row>
    <row r="23">
      <c r="A23" s="2">
        <v>2024.0</v>
      </c>
      <c r="B23" s="1" t="s">
        <v>20</v>
      </c>
      <c r="C23" s="2" t="s">
        <v>60</v>
      </c>
      <c r="D23" s="2" t="s">
        <v>82</v>
      </c>
      <c r="E23" s="2" t="s">
        <v>25</v>
      </c>
      <c r="F23" s="2">
        <v>3756946.0</v>
      </c>
      <c r="H23" s="2">
        <v>5499310.0</v>
      </c>
      <c r="I23" s="2">
        <v>2525745.0</v>
      </c>
      <c r="J23" s="2">
        <v>2973565.0</v>
      </c>
    </row>
    <row r="24">
      <c r="A24" s="2">
        <v>2024.0</v>
      </c>
      <c r="B24" s="1" t="s">
        <v>20</v>
      </c>
      <c r="C24" s="2" t="s">
        <v>60</v>
      </c>
      <c r="D24" s="2" t="s">
        <v>82</v>
      </c>
      <c r="E24" s="2" t="s">
        <v>83</v>
      </c>
      <c r="F24" s="2">
        <v>1458557.0</v>
      </c>
      <c r="H24" s="2">
        <v>4519973.0</v>
      </c>
      <c r="I24" s="2">
        <v>2438428.0</v>
      </c>
      <c r="J24" s="2">
        <v>2081545.0</v>
      </c>
    </row>
    <row r="25">
      <c r="A25" s="2">
        <v>2024.0</v>
      </c>
      <c r="B25" s="1" t="s">
        <v>20</v>
      </c>
      <c r="C25" s="2" t="s">
        <v>60</v>
      </c>
      <c r="D25" s="2" t="s">
        <v>82</v>
      </c>
      <c r="E25" s="2" t="s">
        <v>32</v>
      </c>
      <c r="F25" s="2">
        <v>382330.0</v>
      </c>
      <c r="H25" s="2">
        <v>670107.0</v>
      </c>
      <c r="I25" s="2">
        <v>152660.0</v>
      </c>
      <c r="J25" s="2">
        <v>517447.0</v>
      </c>
    </row>
    <row r="26">
      <c r="A26" s="2">
        <v>2024.0</v>
      </c>
      <c r="B26" s="1" t="s">
        <v>20</v>
      </c>
      <c r="C26" s="2" t="s">
        <v>60</v>
      </c>
      <c r="D26" s="2" t="s">
        <v>88</v>
      </c>
      <c r="E26" s="2" t="s">
        <v>25</v>
      </c>
      <c r="F26" s="2">
        <v>1871898.0</v>
      </c>
      <c r="H26" s="2">
        <v>3552821.0</v>
      </c>
      <c r="I26" s="2">
        <v>1263374.0</v>
      </c>
      <c r="J26" s="2">
        <v>2289447.0</v>
      </c>
    </row>
    <row r="27">
      <c r="A27" s="2">
        <v>2024.0</v>
      </c>
      <c r="B27" s="1" t="s">
        <v>20</v>
      </c>
      <c r="C27" s="2" t="s">
        <v>60</v>
      </c>
      <c r="D27" s="2" t="s">
        <v>88</v>
      </c>
      <c r="E27" s="2" t="s">
        <v>92</v>
      </c>
      <c r="F27" s="2">
        <v>971958.0</v>
      </c>
      <c r="H27" s="2">
        <v>4666539.0</v>
      </c>
      <c r="I27" s="2">
        <v>3937169.0</v>
      </c>
      <c r="J27" s="2">
        <v>729370.0</v>
      </c>
    </row>
    <row r="28">
      <c r="A28" s="2">
        <v>2024.0</v>
      </c>
      <c r="B28" s="1" t="s">
        <v>20</v>
      </c>
      <c r="C28" s="2" t="s">
        <v>60</v>
      </c>
      <c r="D28" s="2" t="s">
        <v>88</v>
      </c>
      <c r="E28" s="2" t="s">
        <v>32</v>
      </c>
      <c r="F28" s="2">
        <v>3572.0</v>
      </c>
      <c r="H28" s="2">
        <v>224069.0</v>
      </c>
      <c r="I28" s="2">
        <v>164454.0</v>
      </c>
      <c r="J28" s="2">
        <v>59615.0</v>
      </c>
    </row>
    <row r="29">
      <c r="A29" s="2">
        <v>2024.0</v>
      </c>
      <c r="B29" s="1" t="s">
        <v>20</v>
      </c>
      <c r="C29" s="2" t="s">
        <v>60</v>
      </c>
      <c r="D29" s="2" t="s">
        <v>94</v>
      </c>
      <c r="E29" s="2" t="s">
        <v>95</v>
      </c>
      <c r="H29" s="2">
        <v>0.0</v>
      </c>
    </row>
    <row r="30">
      <c r="A30" s="2">
        <v>2024.0</v>
      </c>
      <c r="B30" s="1" t="s">
        <v>20</v>
      </c>
      <c r="C30" s="2" t="s">
        <v>97</v>
      </c>
      <c r="D30" s="2" t="s">
        <v>97</v>
      </c>
      <c r="E30" s="2" t="s">
        <v>78</v>
      </c>
      <c r="F30" s="2">
        <v>2024150.0</v>
      </c>
      <c r="H30" s="2">
        <v>5282348.0</v>
      </c>
      <c r="I30" s="2">
        <v>2838301.0</v>
      </c>
      <c r="J30" s="2">
        <v>2444047.0</v>
      </c>
    </row>
    <row r="31">
      <c r="A31" s="2">
        <v>2024.0</v>
      </c>
      <c r="B31" s="1" t="s">
        <v>20</v>
      </c>
      <c r="C31" s="2" t="s">
        <v>97</v>
      </c>
      <c r="D31" s="2" t="s">
        <v>97</v>
      </c>
      <c r="E31" s="2" t="s">
        <v>104</v>
      </c>
      <c r="F31" s="2">
        <v>3722380.0</v>
      </c>
      <c r="H31" s="2">
        <v>5707883.0</v>
      </c>
      <c r="I31" s="2">
        <v>1932393.0</v>
      </c>
      <c r="J31" s="2">
        <v>3775490.0</v>
      </c>
    </row>
    <row r="32">
      <c r="A32" s="2">
        <v>2024.0</v>
      </c>
      <c r="B32" s="1" t="s">
        <v>20</v>
      </c>
      <c r="C32" s="2" t="s">
        <v>97</v>
      </c>
      <c r="D32" s="2" t="s">
        <v>109</v>
      </c>
      <c r="E32" s="2" t="s">
        <v>25</v>
      </c>
      <c r="F32" s="2">
        <v>1690021.0</v>
      </c>
      <c r="H32" s="2">
        <v>3828754.0</v>
      </c>
      <c r="I32" s="2">
        <v>1811214.0</v>
      </c>
      <c r="J32" s="2">
        <v>2017540.0</v>
      </c>
    </row>
    <row r="33">
      <c r="A33" s="2">
        <v>2024.0</v>
      </c>
      <c r="B33" s="1" t="s">
        <v>20</v>
      </c>
      <c r="C33" s="2" t="s">
        <v>97</v>
      </c>
      <c r="D33" s="2" t="s">
        <v>109</v>
      </c>
      <c r="E33" s="2" t="s">
        <v>83</v>
      </c>
      <c r="F33" s="2">
        <v>1955056.0</v>
      </c>
      <c r="H33" s="2">
        <v>5132360.0</v>
      </c>
      <c r="I33" s="2">
        <v>3580282.0</v>
      </c>
      <c r="J33" s="2">
        <v>1552078.0</v>
      </c>
    </row>
    <row r="34">
      <c r="A34" s="2">
        <v>2024.0</v>
      </c>
      <c r="B34" s="1" t="s">
        <v>20</v>
      </c>
      <c r="C34" s="2" t="s">
        <v>97</v>
      </c>
      <c r="D34" s="2" t="s">
        <v>109</v>
      </c>
      <c r="E34" s="2" t="s">
        <v>32</v>
      </c>
      <c r="F34" s="2">
        <v>1401915.0</v>
      </c>
      <c r="H34" s="2">
        <v>2699004.0</v>
      </c>
      <c r="I34" s="2">
        <v>2610138.0</v>
      </c>
      <c r="J34" s="2">
        <v>88866.0</v>
      </c>
    </row>
    <row r="35">
      <c r="A35" s="2">
        <v>2024.0</v>
      </c>
      <c r="B35" s="1" t="s">
        <v>20</v>
      </c>
      <c r="C35" s="2" t="s">
        <v>97</v>
      </c>
      <c r="D35" s="2" t="s">
        <v>119</v>
      </c>
      <c r="E35" s="2" t="s">
        <v>25</v>
      </c>
      <c r="F35" s="2">
        <v>2130624.0</v>
      </c>
      <c r="H35" s="2">
        <v>3841032.0</v>
      </c>
      <c r="I35" s="2">
        <v>1829520.0</v>
      </c>
      <c r="J35" s="2">
        <v>2011512.0</v>
      </c>
    </row>
    <row r="36">
      <c r="A36" s="2">
        <v>2024.0</v>
      </c>
      <c r="B36" s="1" t="s">
        <v>20</v>
      </c>
      <c r="C36" s="2" t="s">
        <v>97</v>
      </c>
      <c r="D36" s="2" t="s">
        <v>119</v>
      </c>
      <c r="E36" s="2" t="s">
        <v>47</v>
      </c>
      <c r="F36" s="2">
        <v>748938.0</v>
      </c>
      <c r="H36" s="2">
        <v>2503688.0</v>
      </c>
      <c r="I36" s="2">
        <v>1345554.0</v>
      </c>
      <c r="J36" s="2">
        <v>1158134.0</v>
      </c>
    </row>
    <row r="37">
      <c r="A37" s="2">
        <v>2024.0</v>
      </c>
      <c r="B37" s="1" t="s">
        <v>20</v>
      </c>
      <c r="C37" s="2" t="s">
        <v>97</v>
      </c>
      <c r="D37" s="2" t="s">
        <v>119</v>
      </c>
      <c r="E37" s="2" t="s">
        <v>32</v>
      </c>
      <c r="F37" s="2">
        <v>169539.0</v>
      </c>
      <c r="H37" s="2">
        <v>614186.0</v>
      </c>
      <c r="I37" s="2">
        <v>552926.0</v>
      </c>
      <c r="J37" s="2">
        <v>61260.0</v>
      </c>
    </row>
    <row r="38">
      <c r="A38" s="2">
        <v>2024.0</v>
      </c>
      <c r="B38" s="1" t="s">
        <v>20</v>
      </c>
      <c r="C38" s="2" t="s">
        <v>97</v>
      </c>
      <c r="D38" s="2" t="s">
        <v>122</v>
      </c>
      <c r="E38" s="2" t="s">
        <v>78</v>
      </c>
      <c r="F38" s="2">
        <v>246601.0</v>
      </c>
      <c r="H38" s="2">
        <v>2033478.0</v>
      </c>
      <c r="I38" s="2">
        <v>1240298.0</v>
      </c>
      <c r="J38" s="2">
        <v>793180.0</v>
      </c>
    </row>
    <row r="39">
      <c r="A39" s="2">
        <v>2024.0</v>
      </c>
      <c r="B39" s="1" t="s">
        <v>20</v>
      </c>
      <c r="C39" s="2" t="s">
        <v>97</v>
      </c>
      <c r="D39" s="2" t="s">
        <v>122</v>
      </c>
      <c r="E39" s="2" t="s">
        <v>124</v>
      </c>
      <c r="F39" s="2">
        <v>192306.0</v>
      </c>
      <c r="H39" s="2">
        <v>1849417.0</v>
      </c>
      <c r="I39" s="2">
        <v>1751275.0</v>
      </c>
      <c r="J39" s="2">
        <v>98142.0</v>
      </c>
    </row>
    <row r="40">
      <c r="A40" s="2">
        <v>2024.0</v>
      </c>
      <c r="B40" s="1" t="s">
        <v>20</v>
      </c>
      <c r="C40" s="2" t="s">
        <v>97</v>
      </c>
      <c r="D40" s="2" t="s">
        <v>122</v>
      </c>
      <c r="E40" s="2" t="s">
        <v>32</v>
      </c>
      <c r="F40" s="2">
        <v>259468.0</v>
      </c>
      <c r="H40" s="2">
        <v>1394809.0</v>
      </c>
      <c r="I40" s="2">
        <v>1351028.0</v>
      </c>
      <c r="J40" s="2">
        <v>43781.0</v>
      </c>
    </row>
    <row r="41">
      <c r="A41" s="2">
        <v>2024.0</v>
      </c>
      <c r="B41" s="1" t="s">
        <v>20</v>
      </c>
      <c r="C41" s="2" t="s">
        <v>97</v>
      </c>
      <c r="D41" s="2" t="s">
        <v>122</v>
      </c>
      <c r="E41" s="2" t="s">
        <v>25</v>
      </c>
      <c r="F41" s="2">
        <v>1853191.0</v>
      </c>
      <c r="H41" s="2">
        <v>3460241.0</v>
      </c>
      <c r="I41" s="2">
        <v>1976779.0</v>
      </c>
      <c r="J41" s="2">
        <v>1483462.0</v>
      </c>
    </row>
    <row r="42">
      <c r="A42" s="2">
        <v>2024.0</v>
      </c>
      <c r="B42" s="1" t="s">
        <v>20</v>
      </c>
      <c r="C42" s="2" t="s">
        <v>126</v>
      </c>
      <c r="D42" s="2" t="s">
        <v>127</v>
      </c>
      <c r="E42" s="2" t="s">
        <v>129</v>
      </c>
      <c r="F42" s="2">
        <v>991.0</v>
      </c>
      <c r="H42" s="2">
        <v>3566247.0</v>
      </c>
      <c r="I42" s="4">
        <v>3114182.0</v>
      </c>
      <c r="J42" s="4">
        <v>452065.0</v>
      </c>
    </row>
    <row r="43">
      <c r="A43" s="2">
        <v>2024.0</v>
      </c>
      <c r="B43" s="1" t="s">
        <v>20</v>
      </c>
      <c r="C43" s="2" t="s">
        <v>126</v>
      </c>
      <c r="D43" s="2" t="s">
        <v>127</v>
      </c>
      <c r="E43" s="2" t="s">
        <v>32</v>
      </c>
      <c r="F43" s="2">
        <v>31676.0</v>
      </c>
      <c r="H43" s="2">
        <v>341970.0</v>
      </c>
      <c r="I43" s="4">
        <v>336100.0</v>
      </c>
      <c r="J43" s="2">
        <v>5870.0</v>
      </c>
    </row>
    <row r="44">
      <c r="A44" s="2">
        <v>2024.0</v>
      </c>
      <c r="B44" s="1" t="s">
        <v>20</v>
      </c>
      <c r="C44" s="2" t="s">
        <v>126</v>
      </c>
      <c r="D44" s="2" t="s">
        <v>134</v>
      </c>
      <c r="E44" s="2" t="s">
        <v>56</v>
      </c>
      <c r="F44" s="2">
        <v>2844054.0</v>
      </c>
      <c r="H44" s="2">
        <v>7654211.0</v>
      </c>
      <c r="I44" s="4">
        <v>4197296.0</v>
      </c>
      <c r="J44" s="4">
        <v>3456915.0</v>
      </c>
    </row>
    <row r="45">
      <c r="A45" s="2">
        <v>2024.0</v>
      </c>
      <c r="B45" s="1" t="s">
        <v>20</v>
      </c>
      <c r="C45" s="2" t="s">
        <v>126</v>
      </c>
      <c r="D45" s="2" t="s">
        <v>134</v>
      </c>
      <c r="E45" s="2" t="s">
        <v>25</v>
      </c>
      <c r="F45" s="2">
        <v>8163491.0</v>
      </c>
      <c r="H45" s="2">
        <v>1.3885003E7</v>
      </c>
      <c r="I45" s="4">
        <v>3714701.0</v>
      </c>
      <c r="J45" s="2">
        <v>1.0170302E7</v>
      </c>
    </row>
    <row r="46">
      <c r="A46" s="2">
        <v>2024.0</v>
      </c>
      <c r="B46" s="1" t="s">
        <v>20</v>
      </c>
      <c r="C46" s="2" t="s">
        <v>126</v>
      </c>
      <c r="D46" s="2" t="s">
        <v>134</v>
      </c>
      <c r="E46" s="2" t="s">
        <v>32</v>
      </c>
      <c r="F46" s="2">
        <v>62414.0</v>
      </c>
      <c r="H46" s="2">
        <v>494194.0</v>
      </c>
      <c r="I46" s="4">
        <v>453332.0</v>
      </c>
      <c r="J46" s="2">
        <v>40862.0</v>
      </c>
    </row>
    <row r="47">
      <c r="A47" s="2">
        <v>2024.0</v>
      </c>
      <c r="B47" s="1" t="s">
        <v>20</v>
      </c>
      <c r="C47" s="2" t="s">
        <v>126</v>
      </c>
      <c r="D47" s="2" t="s">
        <v>134</v>
      </c>
      <c r="E47" s="2" t="s">
        <v>138</v>
      </c>
      <c r="F47" s="2">
        <v>57225.0</v>
      </c>
      <c r="H47" s="2">
        <v>208360.0</v>
      </c>
      <c r="I47" s="4">
        <v>193526.0</v>
      </c>
      <c r="J47" s="2">
        <v>14834.0</v>
      </c>
    </row>
    <row r="48">
      <c r="A48" s="2">
        <v>2024.0</v>
      </c>
      <c r="B48" s="1" t="s">
        <v>20</v>
      </c>
      <c r="C48" s="2" t="s">
        <v>126</v>
      </c>
      <c r="D48" s="2" t="s">
        <v>140</v>
      </c>
      <c r="E48" s="2" t="s">
        <v>56</v>
      </c>
      <c r="F48" s="2">
        <v>0.0</v>
      </c>
      <c r="H48" s="2">
        <v>2603589.0</v>
      </c>
      <c r="I48" s="4">
        <v>1305952.0</v>
      </c>
      <c r="J48" s="2">
        <v>1297637.0</v>
      </c>
    </row>
    <row r="49">
      <c r="A49" s="2">
        <v>2024.0</v>
      </c>
      <c r="B49" s="1" t="s">
        <v>20</v>
      </c>
      <c r="C49" s="2" t="s">
        <v>126</v>
      </c>
      <c r="D49" s="2" t="s">
        <v>140</v>
      </c>
      <c r="E49" s="2" t="s">
        <v>32</v>
      </c>
      <c r="F49" s="2">
        <v>67716.0</v>
      </c>
      <c r="H49" s="2">
        <v>124191.0</v>
      </c>
      <c r="I49" s="2">
        <v>53.0</v>
      </c>
      <c r="J49" s="2">
        <v>124138.0</v>
      </c>
    </row>
    <row r="50">
      <c r="A50" s="2">
        <v>2024.0</v>
      </c>
      <c r="B50" s="1" t="s">
        <v>20</v>
      </c>
      <c r="C50" s="2" t="s">
        <v>126</v>
      </c>
      <c r="D50" s="2" t="s">
        <v>140</v>
      </c>
      <c r="E50" s="2" t="s">
        <v>25</v>
      </c>
      <c r="F50" s="2">
        <v>7236876.0</v>
      </c>
      <c r="H50" s="2">
        <v>1.1455162E7</v>
      </c>
      <c r="I50" s="4">
        <v>6040068.0</v>
      </c>
      <c r="J50" s="2">
        <v>5415094.0</v>
      </c>
    </row>
    <row r="51">
      <c r="A51" s="2">
        <v>2024.0</v>
      </c>
      <c r="B51" s="1" t="s">
        <v>20</v>
      </c>
      <c r="C51" s="2" t="s">
        <v>126</v>
      </c>
      <c r="D51" s="2" t="s">
        <v>140</v>
      </c>
      <c r="E51" s="2" t="s">
        <v>27</v>
      </c>
      <c r="F51" s="2">
        <v>273206.0</v>
      </c>
      <c r="H51" s="2">
        <v>2527482.0</v>
      </c>
      <c r="I51" s="4">
        <v>2142876.0</v>
      </c>
      <c r="J51" s="2">
        <v>384606.0</v>
      </c>
    </row>
    <row r="52">
      <c r="A52" s="2">
        <v>2024.0</v>
      </c>
      <c r="B52" s="1" t="s">
        <v>20</v>
      </c>
      <c r="C52" s="2" t="s">
        <v>126</v>
      </c>
      <c r="D52" s="2" t="s">
        <v>145</v>
      </c>
      <c r="E52" s="2" t="s">
        <v>32</v>
      </c>
      <c r="F52" s="2">
        <v>77520.0</v>
      </c>
      <c r="H52" s="2">
        <v>168268.0</v>
      </c>
      <c r="I52" s="2">
        <v>154566.0</v>
      </c>
      <c r="J52" s="2">
        <v>13702.0</v>
      </c>
    </row>
    <row r="53">
      <c r="A53" s="2">
        <v>2024.0</v>
      </c>
      <c r="B53" s="1" t="s">
        <v>20</v>
      </c>
      <c r="C53" s="2" t="s">
        <v>126</v>
      </c>
      <c r="D53" s="2" t="s">
        <v>145</v>
      </c>
      <c r="E53" s="2" t="s">
        <v>25</v>
      </c>
      <c r="F53" s="2">
        <v>1338707.0</v>
      </c>
      <c r="H53" s="2">
        <v>1996623.0</v>
      </c>
      <c r="I53" s="2">
        <v>1424085.0</v>
      </c>
      <c r="J53" s="2">
        <v>572538.0</v>
      </c>
    </row>
    <row r="54">
      <c r="A54" s="2">
        <v>2024.0</v>
      </c>
      <c r="B54" s="1" t="s">
        <v>20</v>
      </c>
      <c r="C54" s="2" t="s">
        <v>126</v>
      </c>
      <c r="D54" s="2" t="s">
        <v>145</v>
      </c>
      <c r="E54" s="2" t="s">
        <v>147</v>
      </c>
      <c r="F54" s="2">
        <v>2785152.0</v>
      </c>
      <c r="H54" s="2">
        <v>4836249.0</v>
      </c>
      <c r="I54" s="2">
        <v>2782905.0</v>
      </c>
      <c r="J54" s="2">
        <v>2053344.0</v>
      </c>
    </row>
    <row r="55">
      <c r="A55" s="2">
        <v>2024.0</v>
      </c>
      <c r="B55" s="1" t="s">
        <v>20</v>
      </c>
      <c r="C55" s="2" t="s">
        <v>126</v>
      </c>
      <c r="D55" s="2" t="s">
        <v>149</v>
      </c>
      <c r="E55" s="2" t="s">
        <v>56</v>
      </c>
      <c r="F55" s="2">
        <v>1595821.0</v>
      </c>
      <c r="H55" s="2">
        <v>6183720.0</v>
      </c>
      <c r="I55" s="2">
        <v>4659069.0</v>
      </c>
      <c r="J55" s="2">
        <v>1524651.0</v>
      </c>
    </row>
    <row r="56">
      <c r="A56" s="2">
        <v>2024.0</v>
      </c>
      <c r="B56" s="1" t="s">
        <v>20</v>
      </c>
      <c r="C56" s="2" t="s">
        <v>126</v>
      </c>
      <c r="D56" s="2" t="s">
        <v>149</v>
      </c>
      <c r="E56" s="2" t="s">
        <v>25</v>
      </c>
      <c r="F56" s="2">
        <v>3900843.0</v>
      </c>
      <c r="H56" s="2">
        <v>5236851.0</v>
      </c>
      <c r="I56" s="2">
        <v>2343992.0</v>
      </c>
      <c r="J56" s="2">
        <v>2892859.0</v>
      </c>
    </row>
    <row r="57">
      <c r="A57" s="2">
        <v>2024.0</v>
      </c>
      <c r="B57" s="1" t="s">
        <v>20</v>
      </c>
      <c r="C57" s="2" t="s">
        <v>126</v>
      </c>
      <c r="D57" s="2" t="s">
        <v>149</v>
      </c>
      <c r="E57" s="2" t="s">
        <v>32</v>
      </c>
      <c r="F57" s="2">
        <v>91990.0</v>
      </c>
      <c r="H57" s="2">
        <v>1000290.0</v>
      </c>
      <c r="I57" s="2">
        <v>913357.0</v>
      </c>
      <c r="J57" s="2">
        <v>86933.0</v>
      </c>
    </row>
    <row r="58">
      <c r="A58" s="2">
        <v>2024.0</v>
      </c>
      <c r="B58" s="1" t="s">
        <v>20</v>
      </c>
      <c r="C58" s="2" t="s">
        <v>126</v>
      </c>
      <c r="D58" s="2" t="s">
        <v>152</v>
      </c>
      <c r="E58" s="2" t="s">
        <v>56</v>
      </c>
      <c r="F58" s="2">
        <v>1995567.0</v>
      </c>
      <c r="H58" s="2">
        <v>3977282.0</v>
      </c>
      <c r="I58" s="2">
        <v>1943856.0</v>
      </c>
      <c r="J58" s="2">
        <v>2033426.0</v>
      </c>
    </row>
    <row r="59">
      <c r="A59" s="2">
        <v>2024.0</v>
      </c>
      <c r="B59" s="1" t="s">
        <v>20</v>
      </c>
      <c r="C59" s="2" t="s">
        <v>126</v>
      </c>
      <c r="D59" s="2" t="s">
        <v>152</v>
      </c>
      <c r="E59" s="2" t="s">
        <v>25</v>
      </c>
      <c r="F59" s="2">
        <v>4196193.0</v>
      </c>
      <c r="H59" s="2">
        <v>6566440.0</v>
      </c>
      <c r="I59" s="2">
        <v>3052134.0</v>
      </c>
      <c r="J59" s="2">
        <v>3514306.0</v>
      </c>
    </row>
    <row r="60">
      <c r="A60" s="2">
        <v>2024.0</v>
      </c>
      <c r="B60" s="1" t="s">
        <v>20</v>
      </c>
      <c r="C60" s="2" t="s">
        <v>126</v>
      </c>
      <c r="D60" s="2" t="s">
        <v>152</v>
      </c>
      <c r="E60" s="2" t="s">
        <v>32</v>
      </c>
      <c r="F60" s="2">
        <v>320278.0</v>
      </c>
      <c r="H60" s="2">
        <v>765784.0</v>
      </c>
      <c r="I60" s="2">
        <v>639720.0</v>
      </c>
      <c r="J60" s="2">
        <v>126064.0</v>
      </c>
    </row>
    <row r="61">
      <c r="A61" s="2">
        <v>2024.0</v>
      </c>
      <c r="B61" s="1" t="s">
        <v>20</v>
      </c>
      <c r="C61" s="2" t="s">
        <v>126</v>
      </c>
      <c r="D61" s="2" t="s">
        <v>152</v>
      </c>
      <c r="E61" s="2" t="s">
        <v>69</v>
      </c>
      <c r="F61" s="2">
        <v>272480.0</v>
      </c>
      <c r="H61" s="2">
        <v>303881.0</v>
      </c>
      <c r="I61" s="2">
        <v>175782.0</v>
      </c>
      <c r="J61" s="2">
        <v>128099.0</v>
      </c>
    </row>
    <row r="62">
      <c r="A62" s="2">
        <v>2024.0</v>
      </c>
      <c r="B62" s="1" t="s">
        <v>20</v>
      </c>
      <c r="C62" s="2" t="s">
        <v>126</v>
      </c>
      <c r="D62" s="2" t="s">
        <v>152</v>
      </c>
      <c r="E62" s="2" t="s">
        <v>124</v>
      </c>
      <c r="F62" s="2">
        <v>294785.0</v>
      </c>
      <c r="H62" s="2">
        <v>2243541.0</v>
      </c>
      <c r="I62" s="2">
        <v>1766101.0</v>
      </c>
      <c r="J62" s="2">
        <v>477440.0</v>
      </c>
    </row>
    <row r="63">
      <c r="A63" s="2">
        <v>2024.0</v>
      </c>
      <c r="B63" s="1" t="s">
        <v>20</v>
      </c>
      <c r="C63" s="2" t="s">
        <v>160</v>
      </c>
      <c r="D63" s="2" t="s">
        <v>160</v>
      </c>
      <c r="E63" s="2" t="s">
        <v>32</v>
      </c>
      <c r="F63" s="2">
        <v>130350.0</v>
      </c>
      <c r="H63" s="2">
        <v>248188.0</v>
      </c>
      <c r="I63" s="2">
        <v>65659.0</v>
      </c>
      <c r="J63" s="2">
        <v>182529.0</v>
      </c>
    </row>
    <row r="64">
      <c r="A64" s="2">
        <v>2024.0</v>
      </c>
      <c r="B64" s="1" t="s">
        <v>20</v>
      </c>
      <c r="C64" s="2" t="s">
        <v>160</v>
      </c>
      <c r="D64" s="2" t="s">
        <v>160</v>
      </c>
      <c r="E64" s="2" t="s">
        <v>25</v>
      </c>
      <c r="F64" s="2">
        <v>1932581.0</v>
      </c>
      <c r="H64" s="2">
        <v>3116298.0</v>
      </c>
      <c r="I64" s="2">
        <v>597120.0</v>
      </c>
      <c r="J64" s="2">
        <v>2519178.0</v>
      </c>
    </row>
    <row r="65">
      <c r="A65" s="2">
        <v>2024.0</v>
      </c>
      <c r="B65" s="1" t="s">
        <v>20</v>
      </c>
      <c r="C65" s="2" t="s">
        <v>160</v>
      </c>
      <c r="D65" s="2" t="s">
        <v>160</v>
      </c>
      <c r="E65" s="2" t="s">
        <v>56</v>
      </c>
      <c r="F65" s="2">
        <v>1199801.0</v>
      </c>
      <c r="H65" s="2">
        <v>3311901.0</v>
      </c>
      <c r="I65" s="2">
        <v>2192990.0</v>
      </c>
      <c r="J65" s="2">
        <v>1118911.0</v>
      </c>
    </row>
    <row r="66">
      <c r="A66" s="2">
        <v>2024.0</v>
      </c>
      <c r="B66" s="1" t="s">
        <v>20</v>
      </c>
      <c r="C66" s="2" t="s">
        <v>160</v>
      </c>
      <c r="D66" s="2" t="s">
        <v>160</v>
      </c>
      <c r="E66" s="2" t="s">
        <v>32</v>
      </c>
      <c r="F66" s="2">
        <v>80268.0</v>
      </c>
      <c r="H66" s="2">
        <v>140470.0</v>
      </c>
      <c r="I66" s="2">
        <v>115050.0</v>
      </c>
      <c r="J66" s="2">
        <v>25420.0</v>
      </c>
    </row>
    <row r="67">
      <c r="A67" s="2">
        <v>2024.0</v>
      </c>
      <c r="B67" s="1" t="s">
        <v>20</v>
      </c>
      <c r="C67" s="2" t="s">
        <v>160</v>
      </c>
      <c r="D67" s="2" t="s">
        <v>160</v>
      </c>
      <c r="E67" s="2" t="s">
        <v>76</v>
      </c>
      <c r="F67" s="2">
        <v>343273.0</v>
      </c>
      <c r="H67" s="2">
        <v>353336.0</v>
      </c>
      <c r="I67" s="2">
        <v>18.0</v>
      </c>
      <c r="J67" s="2">
        <v>353318.0</v>
      </c>
    </row>
    <row r="68">
      <c r="A68" s="2">
        <v>2024.0</v>
      </c>
      <c r="B68" s="1" t="s">
        <v>20</v>
      </c>
      <c r="C68" s="2" t="s">
        <v>160</v>
      </c>
      <c r="D68" s="2" t="s">
        <v>160</v>
      </c>
      <c r="E68" s="2" t="s">
        <v>124</v>
      </c>
      <c r="F68" s="2">
        <v>341256.0</v>
      </c>
      <c r="H68" s="2">
        <v>2057317.0</v>
      </c>
      <c r="I68" s="2">
        <v>1780420.0</v>
      </c>
      <c r="J68" s="2">
        <v>276897.0</v>
      </c>
    </row>
    <row r="69">
      <c r="A69" s="2">
        <v>2024.0</v>
      </c>
      <c r="B69" s="1" t="s">
        <v>20</v>
      </c>
      <c r="C69" s="2" t="s">
        <v>160</v>
      </c>
      <c r="D69" s="2" t="s">
        <v>164</v>
      </c>
      <c r="E69" s="2" t="s">
        <v>25</v>
      </c>
      <c r="F69" s="2">
        <v>2881867.0</v>
      </c>
      <c r="H69" s="2">
        <v>4432759.0</v>
      </c>
      <c r="I69" s="2">
        <v>2046428.0</v>
      </c>
      <c r="J69" s="2">
        <v>2386331.0</v>
      </c>
    </row>
    <row r="70">
      <c r="A70" s="2">
        <v>2024.0</v>
      </c>
      <c r="B70" s="1" t="s">
        <v>20</v>
      </c>
      <c r="C70" s="2" t="s">
        <v>160</v>
      </c>
      <c r="D70" s="2" t="s">
        <v>164</v>
      </c>
      <c r="E70" s="2" t="s">
        <v>32</v>
      </c>
      <c r="F70" s="2">
        <v>82164.0</v>
      </c>
      <c r="H70" s="2">
        <v>185402.0</v>
      </c>
      <c r="I70" s="2">
        <v>27900.0</v>
      </c>
      <c r="J70" s="2">
        <v>157502.0</v>
      </c>
    </row>
    <row r="71">
      <c r="A71" s="2">
        <v>2024.0</v>
      </c>
      <c r="B71" s="1" t="s">
        <v>20</v>
      </c>
      <c r="C71" s="2" t="s">
        <v>160</v>
      </c>
      <c r="D71" s="2" t="s">
        <v>164</v>
      </c>
      <c r="E71" s="2" t="s">
        <v>78</v>
      </c>
      <c r="F71" s="2">
        <v>1762207.0</v>
      </c>
      <c r="H71" s="2">
        <v>3707375.0</v>
      </c>
      <c r="I71" s="2">
        <v>1909199.0</v>
      </c>
      <c r="J71" s="2">
        <v>1798176.0</v>
      </c>
    </row>
    <row r="72">
      <c r="A72" s="2">
        <v>2024.0</v>
      </c>
      <c r="B72" s="1" t="s">
        <v>20</v>
      </c>
      <c r="C72" s="2" t="s">
        <v>160</v>
      </c>
      <c r="D72" s="2" t="s">
        <v>164</v>
      </c>
      <c r="E72" s="2" t="s">
        <v>32</v>
      </c>
      <c r="F72" s="2">
        <v>109349.0</v>
      </c>
      <c r="H72" s="2">
        <v>167093.0</v>
      </c>
      <c r="I72" s="2">
        <v>154791.0</v>
      </c>
      <c r="J72" s="2">
        <v>12302.0</v>
      </c>
    </row>
    <row r="73">
      <c r="A73" s="2">
        <v>2024.0</v>
      </c>
      <c r="B73" s="1" t="s">
        <v>20</v>
      </c>
      <c r="C73" s="2" t="s">
        <v>160</v>
      </c>
      <c r="D73" s="2" t="s">
        <v>164</v>
      </c>
      <c r="E73" s="2" t="s">
        <v>27</v>
      </c>
      <c r="F73" s="2">
        <v>193024.0</v>
      </c>
      <c r="H73" s="2">
        <v>1444707.0</v>
      </c>
      <c r="I73" s="2">
        <v>1290081.0</v>
      </c>
      <c r="J73" s="2">
        <v>154626.0</v>
      </c>
    </row>
    <row r="74">
      <c r="A74" s="2">
        <v>2024.0</v>
      </c>
      <c r="B74" s="1" t="s">
        <v>20</v>
      </c>
      <c r="C74" s="2" t="s">
        <v>160</v>
      </c>
      <c r="D74" s="2" t="s">
        <v>170</v>
      </c>
      <c r="E74" s="2" t="s">
        <v>25</v>
      </c>
      <c r="F74" s="2">
        <v>3853851.0</v>
      </c>
      <c r="H74" s="2">
        <v>6367378.0</v>
      </c>
      <c r="I74" s="2">
        <v>2354070.0</v>
      </c>
      <c r="J74" s="2">
        <v>4013308.0</v>
      </c>
    </row>
    <row r="75">
      <c r="A75" s="2">
        <v>2024.0</v>
      </c>
      <c r="B75" s="1" t="s">
        <v>20</v>
      </c>
      <c r="C75" s="2" t="s">
        <v>160</v>
      </c>
      <c r="D75" s="2" t="s">
        <v>170</v>
      </c>
      <c r="E75" s="2" t="s">
        <v>172</v>
      </c>
      <c r="F75" s="2">
        <v>5346526.0</v>
      </c>
      <c r="H75" s="2">
        <v>8038439.0</v>
      </c>
      <c r="I75" s="2">
        <v>4157161.0</v>
      </c>
      <c r="J75" s="2">
        <v>3881278.0</v>
      </c>
    </row>
    <row r="76">
      <c r="A76" s="2">
        <v>2024.0</v>
      </c>
      <c r="B76" s="1" t="s">
        <v>20</v>
      </c>
      <c r="C76" s="2" t="s">
        <v>160</v>
      </c>
      <c r="D76" s="2" t="s">
        <v>174</v>
      </c>
      <c r="E76" s="2" t="s">
        <v>56</v>
      </c>
      <c r="F76" s="2">
        <v>2813078.0</v>
      </c>
      <c r="H76" s="2">
        <v>6012887.0</v>
      </c>
      <c r="I76" s="2">
        <v>4548042.0</v>
      </c>
      <c r="J76" s="2">
        <v>1464845.0</v>
      </c>
    </row>
    <row r="77">
      <c r="A77" s="2">
        <v>2024.0</v>
      </c>
      <c r="B77" s="1" t="s">
        <v>20</v>
      </c>
      <c r="C77" s="2" t="s">
        <v>160</v>
      </c>
      <c r="D77" s="2" t="s">
        <v>174</v>
      </c>
      <c r="E77" s="2" t="s">
        <v>32</v>
      </c>
      <c r="F77" s="2">
        <v>99260.0</v>
      </c>
      <c r="H77" s="2">
        <v>286630.0</v>
      </c>
      <c r="I77" s="2">
        <v>139549.0</v>
      </c>
      <c r="J77" s="2">
        <v>147081.0</v>
      </c>
    </row>
    <row r="78">
      <c r="A78" s="2">
        <v>2024.0</v>
      </c>
      <c r="B78" s="1" t="s">
        <v>20</v>
      </c>
      <c r="C78" s="2" t="s">
        <v>160</v>
      </c>
      <c r="D78" s="2" t="s">
        <v>174</v>
      </c>
      <c r="E78" s="2" t="s">
        <v>32</v>
      </c>
      <c r="F78" s="2">
        <v>120445.0</v>
      </c>
      <c r="H78" s="2">
        <v>264235.0</v>
      </c>
      <c r="I78" s="2">
        <v>235499.0</v>
      </c>
      <c r="J78" s="2">
        <v>28736.0</v>
      </c>
    </row>
    <row r="79">
      <c r="A79" s="2">
        <v>2024.0</v>
      </c>
      <c r="B79" s="1" t="s">
        <v>20</v>
      </c>
      <c r="C79" s="2" t="s">
        <v>160</v>
      </c>
      <c r="D79" s="2" t="s">
        <v>174</v>
      </c>
      <c r="E79" s="2" t="s">
        <v>25</v>
      </c>
      <c r="F79" s="2">
        <v>2855622.0</v>
      </c>
      <c r="H79" s="2">
        <v>5026515.0</v>
      </c>
      <c r="I79" s="2">
        <v>2313999.0</v>
      </c>
      <c r="J79" s="2">
        <v>2712516.0</v>
      </c>
    </row>
    <row r="80">
      <c r="A80" s="2">
        <v>2024.0</v>
      </c>
      <c r="B80" s="1" t="s">
        <v>20</v>
      </c>
      <c r="C80" s="2" t="s">
        <v>178</v>
      </c>
      <c r="D80" s="2" t="s">
        <v>179</v>
      </c>
      <c r="E80" s="2" t="s">
        <v>25</v>
      </c>
      <c r="F80" s="2">
        <v>6773345.0</v>
      </c>
      <c r="H80" s="2">
        <v>1.0814617E7</v>
      </c>
      <c r="I80" s="2">
        <v>5147444.0</v>
      </c>
      <c r="J80" s="2">
        <v>5667173.0</v>
      </c>
    </row>
    <row r="81">
      <c r="A81" s="2">
        <v>2024.0</v>
      </c>
      <c r="B81" s="1" t="s">
        <v>20</v>
      </c>
      <c r="C81" s="2" t="s">
        <v>178</v>
      </c>
      <c r="D81" s="2" t="s">
        <v>179</v>
      </c>
      <c r="E81" s="2" t="s">
        <v>181</v>
      </c>
      <c r="F81" s="2">
        <v>160162.0</v>
      </c>
      <c r="H81" s="2">
        <v>1825816.0</v>
      </c>
      <c r="I81" s="2">
        <v>1664841.0</v>
      </c>
      <c r="J81" s="2">
        <v>160975.0</v>
      </c>
    </row>
    <row r="82">
      <c r="A82" s="2">
        <v>2024.0</v>
      </c>
      <c r="B82" s="1" t="s">
        <v>20</v>
      </c>
      <c r="C82" s="2" t="s">
        <v>178</v>
      </c>
      <c r="D82" s="2" t="s">
        <v>179</v>
      </c>
      <c r="E82" s="2" t="s">
        <v>56</v>
      </c>
      <c r="F82" s="2">
        <v>5798434.0</v>
      </c>
      <c r="H82" s="2">
        <v>8999376.0</v>
      </c>
      <c r="I82" s="2">
        <v>6011661.0</v>
      </c>
      <c r="J82" s="2">
        <v>2987715.0</v>
      </c>
    </row>
    <row r="83">
      <c r="A83" s="2">
        <v>2024.0</v>
      </c>
      <c r="B83" s="1" t="s">
        <v>20</v>
      </c>
      <c r="C83" s="2" t="s">
        <v>178</v>
      </c>
      <c r="D83" s="2" t="s">
        <v>182</v>
      </c>
      <c r="E83" s="2" t="s">
        <v>32</v>
      </c>
      <c r="F83" s="2">
        <v>51030.0</v>
      </c>
      <c r="H83" s="2">
        <v>109994.0</v>
      </c>
      <c r="I83" s="2">
        <v>53270.0</v>
      </c>
      <c r="J83" s="2">
        <v>56724.0</v>
      </c>
    </row>
    <row r="84">
      <c r="A84" s="2">
        <v>2024.0</v>
      </c>
      <c r="B84" s="1" t="s">
        <v>20</v>
      </c>
      <c r="C84" s="2" t="s">
        <v>178</v>
      </c>
      <c r="D84" s="2" t="s">
        <v>182</v>
      </c>
      <c r="E84" s="2" t="s">
        <v>76</v>
      </c>
      <c r="F84" s="2">
        <v>40628.0</v>
      </c>
      <c r="H84" s="2">
        <v>41474.0</v>
      </c>
      <c r="I84" s="2">
        <v>29053.0</v>
      </c>
      <c r="J84" s="2">
        <v>12421.0</v>
      </c>
    </row>
    <row r="85">
      <c r="A85" s="2">
        <v>2024.0</v>
      </c>
      <c r="B85" s="1" t="s">
        <v>20</v>
      </c>
      <c r="C85" s="2" t="s">
        <v>178</v>
      </c>
      <c r="D85" s="2" t="s">
        <v>182</v>
      </c>
      <c r="E85" s="2" t="s">
        <v>56</v>
      </c>
      <c r="F85" s="2">
        <v>2583865.0</v>
      </c>
      <c r="H85" s="2">
        <v>4457641.0</v>
      </c>
      <c r="I85" s="2">
        <v>1827309.0</v>
      </c>
      <c r="J85" s="2">
        <v>2630332.0</v>
      </c>
    </row>
    <row r="86">
      <c r="A86" s="2">
        <v>2024.0</v>
      </c>
      <c r="B86" s="1" t="s">
        <v>20</v>
      </c>
      <c r="C86" s="2" t="s">
        <v>178</v>
      </c>
      <c r="D86" s="2" t="s">
        <v>182</v>
      </c>
      <c r="E86" s="2" t="s">
        <v>124</v>
      </c>
      <c r="F86" s="2">
        <v>136979.0</v>
      </c>
      <c r="H86" s="2">
        <v>1188624.0</v>
      </c>
      <c r="I86" s="2">
        <v>1185600.0</v>
      </c>
      <c r="J86" s="2">
        <v>3024.0</v>
      </c>
    </row>
    <row r="87">
      <c r="A87" s="2">
        <v>2024.0</v>
      </c>
      <c r="B87" s="1" t="s">
        <v>20</v>
      </c>
      <c r="C87" s="2" t="s">
        <v>178</v>
      </c>
      <c r="D87" s="2" t="s">
        <v>182</v>
      </c>
      <c r="E87" s="2" t="s">
        <v>25</v>
      </c>
      <c r="F87" s="2">
        <v>3774983.0</v>
      </c>
      <c r="H87" s="2">
        <v>5526119.0</v>
      </c>
      <c r="I87" s="2">
        <v>2423713.0</v>
      </c>
      <c r="J87" s="2">
        <v>3102406.0</v>
      </c>
    </row>
    <row r="88">
      <c r="A88" s="2">
        <v>2024.0</v>
      </c>
      <c r="B88" s="1" t="s">
        <v>20</v>
      </c>
      <c r="C88" s="2" t="s">
        <v>178</v>
      </c>
      <c r="D88" s="2" t="s">
        <v>192</v>
      </c>
      <c r="E88" s="2" t="s">
        <v>25</v>
      </c>
      <c r="F88" s="2">
        <v>7420793.0</v>
      </c>
      <c r="H88" s="2">
        <v>1.1769174E7</v>
      </c>
      <c r="I88" s="2">
        <v>4548778.0</v>
      </c>
      <c r="J88" s="2">
        <v>7220396.0</v>
      </c>
    </row>
    <row r="89">
      <c r="A89" s="2">
        <v>2024.0</v>
      </c>
      <c r="B89" s="1" t="s">
        <v>20</v>
      </c>
      <c r="C89" s="2" t="s">
        <v>178</v>
      </c>
      <c r="D89" s="2" t="s">
        <v>192</v>
      </c>
      <c r="E89" s="2" t="s">
        <v>56</v>
      </c>
      <c r="F89" s="2">
        <v>1320792.0</v>
      </c>
      <c r="H89" s="2">
        <v>6948461.0</v>
      </c>
      <c r="I89" s="2">
        <v>5090092.0</v>
      </c>
      <c r="J89" s="2">
        <v>1858369.0</v>
      </c>
    </row>
    <row r="90">
      <c r="A90" s="2">
        <v>2024.0</v>
      </c>
      <c r="B90" s="1" t="s">
        <v>20</v>
      </c>
      <c r="C90" s="2" t="s">
        <v>178</v>
      </c>
      <c r="D90" s="2" t="s">
        <v>192</v>
      </c>
      <c r="E90" s="2" t="s">
        <v>32</v>
      </c>
      <c r="F90" s="2">
        <v>73201.0</v>
      </c>
      <c r="H90" s="2">
        <v>510103.0</v>
      </c>
      <c r="I90" s="2">
        <v>371290.0</v>
      </c>
      <c r="J90" s="2">
        <v>138813.0</v>
      </c>
    </row>
    <row r="91">
      <c r="A91" s="2">
        <v>2024.0</v>
      </c>
      <c r="B91" s="1" t="s">
        <v>20</v>
      </c>
      <c r="C91" s="2" t="s">
        <v>178</v>
      </c>
      <c r="D91" s="2" t="s">
        <v>200</v>
      </c>
      <c r="E91" s="2" t="s">
        <v>25</v>
      </c>
      <c r="F91" s="2">
        <v>3715768.0</v>
      </c>
      <c r="H91" s="2">
        <v>5521868.0</v>
      </c>
      <c r="I91" s="2">
        <v>2150389.0</v>
      </c>
      <c r="J91" s="2">
        <v>3371479.0</v>
      </c>
    </row>
    <row r="92">
      <c r="A92" s="2">
        <v>2024.0</v>
      </c>
      <c r="B92" s="1" t="s">
        <v>20</v>
      </c>
      <c r="C92" s="2" t="s">
        <v>178</v>
      </c>
      <c r="D92" s="2" t="s">
        <v>200</v>
      </c>
      <c r="E92" s="2" t="s">
        <v>56</v>
      </c>
      <c r="F92" s="2">
        <v>1058593.0</v>
      </c>
      <c r="H92" s="2">
        <v>3606952.0</v>
      </c>
      <c r="I92" s="2">
        <v>2384272.0</v>
      </c>
      <c r="J92" s="2">
        <v>1222680.0</v>
      </c>
    </row>
    <row r="93">
      <c r="A93" s="2">
        <v>2024.0</v>
      </c>
      <c r="B93" s="1" t="s">
        <v>20</v>
      </c>
      <c r="C93" s="2" t="s">
        <v>178</v>
      </c>
      <c r="D93" s="2" t="s">
        <v>200</v>
      </c>
      <c r="E93" s="2" t="s">
        <v>32</v>
      </c>
      <c r="F93" s="2">
        <v>138976.0</v>
      </c>
      <c r="H93" s="2">
        <v>411265.0</v>
      </c>
      <c r="I93" s="2">
        <v>366540.0</v>
      </c>
      <c r="J93" s="2">
        <v>44725.0</v>
      </c>
    </row>
    <row r="94">
      <c r="A94" s="2">
        <v>2024.0</v>
      </c>
      <c r="B94" s="1" t="s">
        <v>20</v>
      </c>
      <c r="C94" s="2" t="s">
        <v>209</v>
      </c>
      <c r="D94" s="2" t="s">
        <v>210</v>
      </c>
      <c r="E94" s="2" t="s">
        <v>25</v>
      </c>
      <c r="F94" s="2">
        <v>2106812.0</v>
      </c>
      <c r="H94" s="2">
        <v>4005543.0</v>
      </c>
      <c r="I94" s="2">
        <v>1064500.0</v>
      </c>
      <c r="J94" s="2">
        <v>2941043.0</v>
      </c>
    </row>
    <row r="95">
      <c r="A95" s="2">
        <v>2024.0</v>
      </c>
      <c r="B95" s="1" t="s">
        <v>20</v>
      </c>
      <c r="C95" s="2" t="s">
        <v>209</v>
      </c>
      <c r="D95" s="2" t="s">
        <v>210</v>
      </c>
      <c r="E95" s="2" t="s">
        <v>76</v>
      </c>
      <c r="F95" s="2">
        <v>3908.0</v>
      </c>
      <c r="H95" s="2">
        <v>3937.0</v>
      </c>
      <c r="I95" s="2">
        <v>3908.0</v>
      </c>
      <c r="J95" s="2">
        <v>29.0</v>
      </c>
    </row>
    <row r="96">
      <c r="A96" s="2">
        <v>2024.0</v>
      </c>
      <c r="B96" s="1" t="s">
        <v>20</v>
      </c>
      <c r="C96" s="2" t="s">
        <v>209</v>
      </c>
      <c r="D96" s="2" t="s">
        <v>210</v>
      </c>
      <c r="E96" s="2" t="s">
        <v>32</v>
      </c>
      <c r="F96" s="2">
        <v>355750.0</v>
      </c>
      <c r="H96" s="2">
        <v>1836748.0</v>
      </c>
      <c r="I96" s="2">
        <v>1678819.0</v>
      </c>
      <c r="J96" s="2">
        <v>157929.0</v>
      </c>
    </row>
    <row r="97">
      <c r="A97" s="2">
        <v>2024.0</v>
      </c>
      <c r="B97" s="1" t="s">
        <v>20</v>
      </c>
      <c r="C97" s="2" t="s">
        <v>209</v>
      </c>
      <c r="D97" s="2" t="s">
        <v>210</v>
      </c>
      <c r="E97" s="2" t="s">
        <v>32</v>
      </c>
      <c r="F97" s="2">
        <v>396202.0</v>
      </c>
      <c r="H97" s="2">
        <v>518286.0</v>
      </c>
      <c r="I97" s="2">
        <v>378721.0</v>
      </c>
      <c r="J97" s="2">
        <v>139565.0</v>
      </c>
    </row>
    <row r="98">
      <c r="A98" s="2">
        <v>2024.0</v>
      </c>
      <c r="B98" s="1" t="s">
        <v>20</v>
      </c>
      <c r="C98" s="2" t="s">
        <v>209</v>
      </c>
      <c r="D98" s="2" t="s">
        <v>210</v>
      </c>
      <c r="E98" s="2" t="s">
        <v>92</v>
      </c>
      <c r="F98" s="2">
        <v>4315882.0</v>
      </c>
      <c r="H98" s="2">
        <v>8049444.0</v>
      </c>
      <c r="I98" s="2">
        <v>4800906.0</v>
      </c>
      <c r="J98" s="2">
        <v>3248538.0</v>
      </c>
    </row>
    <row r="99">
      <c r="A99" s="2">
        <v>2024.0</v>
      </c>
      <c r="B99" s="1" t="s">
        <v>20</v>
      </c>
      <c r="C99" s="2" t="s">
        <v>209</v>
      </c>
      <c r="D99" s="2" t="s">
        <v>224</v>
      </c>
      <c r="E99" s="2" t="s">
        <v>32</v>
      </c>
      <c r="F99" s="2">
        <v>326490.0</v>
      </c>
      <c r="H99" s="2">
        <v>572964.0</v>
      </c>
      <c r="I99" s="2">
        <v>544705.0</v>
      </c>
      <c r="J99" s="2">
        <v>28259.0</v>
      </c>
    </row>
    <row r="100">
      <c r="A100" s="2">
        <v>2024.0</v>
      </c>
      <c r="B100" s="1" t="s">
        <v>20</v>
      </c>
      <c r="C100" s="2" t="s">
        <v>209</v>
      </c>
      <c r="D100" s="2" t="s">
        <v>224</v>
      </c>
      <c r="E100" s="2" t="s">
        <v>124</v>
      </c>
      <c r="F100" s="2">
        <v>781847.0</v>
      </c>
      <c r="H100" s="2">
        <v>2474914.0</v>
      </c>
      <c r="I100" s="2">
        <v>1705091.0</v>
      </c>
      <c r="J100" s="2">
        <v>769823.0</v>
      </c>
    </row>
    <row r="101">
      <c r="A101" s="2">
        <v>2024.0</v>
      </c>
      <c r="B101" s="1" t="s">
        <v>20</v>
      </c>
      <c r="C101" s="2" t="s">
        <v>209</v>
      </c>
      <c r="D101" s="2" t="s">
        <v>224</v>
      </c>
      <c r="E101" s="2" t="s">
        <v>25</v>
      </c>
      <c r="F101" s="2">
        <v>3444902.0</v>
      </c>
      <c r="H101" s="2">
        <v>5588666.0</v>
      </c>
      <c r="I101" s="2">
        <v>2112691.0</v>
      </c>
      <c r="J101" s="2">
        <v>3475975.0</v>
      </c>
    </row>
    <row r="102">
      <c r="A102" s="2">
        <v>2024.0</v>
      </c>
      <c r="B102" s="1" t="s">
        <v>20</v>
      </c>
      <c r="C102" s="2" t="s">
        <v>209</v>
      </c>
      <c r="D102" s="2" t="s">
        <v>224</v>
      </c>
      <c r="E102" s="2" t="s">
        <v>228</v>
      </c>
      <c r="F102" s="2">
        <v>4989553.0</v>
      </c>
      <c r="H102" s="2">
        <v>7439753.0</v>
      </c>
      <c r="I102" s="2">
        <v>1927096.0</v>
      </c>
      <c r="J102" s="2">
        <v>5512657.0</v>
      </c>
    </row>
    <row r="103">
      <c r="A103" s="2">
        <v>2024.0</v>
      </c>
      <c r="B103" s="1" t="s">
        <v>20</v>
      </c>
      <c r="C103" s="2" t="s">
        <v>209</v>
      </c>
      <c r="D103" s="2" t="s">
        <v>230</v>
      </c>
      <c r="E103" s="2" t="s">
        <v>25</v>
      </c>
      <c r="F103" s="2">
        <v>3006584.0</v>
      </c>
      <c r="H103" s="2">
        <v>4383665.0</v>
      </c>
      <c r="I103" s="2">
        <v>2349210.0</v>
      </c>
      <c r="J103" s="2">
        <v>2034455.0</v>
      </c>
    </row>
    <row r="104">
      <c r="A104" s="2">
        <v>2024.0</v>
      </c>
      <c r="B104" s="1" t="s">
        <v>20</v>
      </c>
      <c r="C104" s="2" t="s">
        <v>209</v>
      </c>
      <c r="D104" s="2" t="s">
        <v>230</v>
      </c>
      <c r="E104" s="2" t="s">
        <v>232</v>
      </c>
      <c r="F104" s="2">
        <v>1942883.0</v>
      </c>
      <c r="H104" s="2">
        <v>3276859.0</v>
      </c>
      <c r="I104" s="2">
        <v>1014749.0</v>
      </c>
      <c r="J104" s="2">
        <v>2262110.0</v>
      </c>
    </row>
    <row r="105">
      <c r="A105" s="2">
        <v>2024.0</v>
      </c>
      <c r="B105" s="1" t="s">
        <v>20</v>
      </c>
      <c r="C105" s="2" t="s">
        <v>209</v>
      </c>
      <c r="D105" s="2" t="s">
        <v>230</v>
      </c>
      <c r="E105" s="2" t="s">
        <v>32</v>
      </c>
      <c r="F105" s="2">
        <v>2211551.0</v>
      </c>
      <c r="H105" s="2">
        <v>2395285.0</v>
      </c>
      <c r="I105" s="2">
        <v>1119159.0</v>
      </c>
      <c r="J105" s="2">
        <v>1276126.0</v>
      </c>
    </row>
    <row r="106">
      <c r="A106" s="2">
        <v>2024.0</v>
      </c>
      <c r="B106" s="1" t="s">
        <v>20</v>
      </c>
      <c r="C106" s="2" t="s">
        <v>209</v>
      </c>
      <c r="D106" s="2" t="s">
        <v>230</v>
      </c>
      <c r="E106" s="2" t="s">
        <v>124</v>
      </c>
      <c r="F106" s="2">
        <v>623715.0</v>
      </c>
      <c r="H106" s="2">
        <v>2822886.0</v>
      </c>
      <c r="I106" s="2">
        <v>2279314.0</v>
      </c>
      <c r="J106" s="2">
        <v>543572.0</v>
      </c>
    </row>
    <row r="107">
      <c r="A107" s="2">
        <v>2024.0</v>
      </c>
      <c r="B107" s="1" t="s">
        <v>20</v>
      </c>
      <c r="C107" s="2" t="s">
        <v>209</v>
      </c>
      <c r="D107" s="2" t="s">
        <v>246</v>
      </c>
      <c r="E107" s="2" t="s">
        <v>249</v>
      </c>
      <c r="F107" s="2">
        <v>3502750.0</v>
      </c>
      <c r="H107" s="2">
        <v>5038311.0</v>
      </c>
      <c r="I107" s="2">
        <v>1674467.0</v>
      </c>
      <c r="J107" s="2">
        <v>3363844.0</v>
      </c>
    </row>
    <row r="108">
      <c r="A108" s="2">
        <v>2024.0</v>
      </c>
      <c r="B108" s="1" t="s">
        <v>20</v>
      </c>
      <c r="C108" s="2" t="s">
        <v>209</v>
      </c>
      <c r="D108" s="2" t="s">
        <v>246</v>
      </c>
      <c r="E108" s="2" t="s">
        <v>25</v>
      </c>
      <c r="F108" s="2">
        <v>3332185.0</v>
      </c>
      <c r="H108" s="2">
        <v>5931330.0</v>
      </c>
      <c r="I108" s="2">
        <v>2578000.0</v>
      </c>
      <c r="J108" s="2">
        <v>3353330.0</v>
      </c>
    </row>
    <row r="109">
      <c r="A109" s="2">
        <v>2024.0</v>
      </c>
      <c r="B109" s="1" t="s">
        <v>20</v>
      </c>
      <c r="C109" s="2" t="s">
        <v>209</v>
      </c>
      <c r="D109" s="2" t="s">
        <v>246</v>
      </c>
      <c r="E109" s="2" t="s">
        <v>254</v>
      </c>
      <c r="F109" s="2">
        <v>3412131.0</v>
      </c>
      <c r="H109" s="2">
        <v>3611376.0</v>
      </c>
      <c r="I109" s="2">
        <v>1830040.0</v>
      </c>
      <c r="J109" s="2">
        <v>1781336.0</v>
      </c>
    </row>
    <row r="110">
      <c r="A110" s="2">
        <v>2024.0</v>
      </c>
      <c r="B110" s="1" t="s">
        <v>20</v>
      </c>
      <c r="C110" s="2" t="s">
        <v>209</v>
      </c>
      <c r="D110" s="2" t="s">
        <v>258</v>
      </c>
      <c r="E110" s="2" t="s">
        <v>25</v>
      </c>
      <c r="F110" s="2">
        <v>2813874.0</v>
      </c>
      <c r="H110" s="2">
        <v>4118389.0</v>
      </c>
      <c r="I110" s="2">
        <v>2157230.0</v>
      </c>
      <c r="J110" s="2">
        <v>1961159.0</v>
      </c>
    </row>
    <row r="111">
      <c r="A111" s="2">
        <v>2024.0</v>
      </c>
      <c r="B111" s="1" t="s">
        <v>20</v>
      </c>
      <c r="C111" s="2" t="s">
        <v>209</v>
      </c>
      <c r="D111" s="2" t="s">
        <v>258</v>
      </c>
      <c r="E111" s="2" t="s">
        <v>92</v>
      </c>
      <c r="F111" s="2">
        <v>3142646.0</v>
      </c>
      <c r="H111" s="2">
        <v>7042892.0</v>
      </c>
      <c r="I111" s="2">
        <v>3655696.0</v>
      </c>
      <c r="J111" s="2">
        <v>3387196.0</v>
      </c>
    </row>
    <row r="112">
      <c r="A112" s="2">
        <v>2024.0</v>
      </c>
      <c r="B112" s="1" t="s">
        <v>20</v>
      </c>
      <c r="C112" s="2" t="s">
        <v>209</v>
      </c>
      <c r="D112" s="2" t="s">
        <v>258</v>
      </c>
      <c r="E112" s="2" t="s">
        <v>32</v>
      </c>
      <c r="F112" s="2">
        <v>823554.0</v>
      </c>
      <c r="H112" s="2">
        <v>1318030.0</v>
      </c>
      <c r="I112" s="2">
        <v>637746.0</v>
      </c>
      <c r="J112" s="2">
        <v>680284.0</v>
      </c>
    </row>
    <row r="113">
      <c r="A113" s="2">
        <v>2024.0</v>
      </c>
      <c r="B113" s="1" t="s">
        <v>20</v>
      </c>
      <c r="C113" s="2" t="s">
        <v>209</v>
      </c>
      <c r="D113" s="2" t="s">
        <v>263</v>
      </c>
      <c r="E113" s="2" t="s">
        <v>264</v>
      </c>
      <c r="F113" s="2">
        <v>3396256.0</v>
      </c>
      <c r="H113" s="2">
        <v>7710215.0</v>
      </c>
      <c r="I113" s="2">
        <v>6200627.0</v>
      </c>
      <c r="J113" s="2">
        <v>1509588.0</v>
      </c>
    </row>
    <row r="114">
      <c r="A114" s="2">
        <v>2024.0</v>
      </c>
      <c r="B114" s="1" t="s">
        <v>20</v>
      </c>
      <c r="C114" s="2" t="s">
        <v>209</v>
      </c>
      <c r="D114" s="2" t="s">
        <v>263</v>
      </c>
      <c r="E114" s="2" t="s">
        <v>25</v>
      </c>
      <c r="F114" s="2">
        <v>2484220.0</v>
      </c>
      <c r="H114" s="2">
        <v>4358625.0</v>
      </c>
      <c r="I114" s="2">
        <v>676000.0</v>
      </c>
      <c r="J114" s="2">
        <v>3682625.0</v>
      </c>
    </row>
    <row r="115">
      <c r="A115" s="2">
        <v>2024.0</v>
      </c>
      <c r="B115" s="1" t="s">
        <v>20</v>
      </c>
      <c r="C115" s="2" t="s">
        <v>209</v>
      </c>
      <c r="D115" s="2" t="s">
        <v>263</v>
      </c>
      <c r="E115" s="2" t="s">
        <v>76</v>
      </c>
      <c r="F115" s="2">
        <v>2165228.0</v>
      </c>
      <c r="H115" s="2">
        <v>2230336.0</v>
      </c>
      <c r="I115" s="2">
        <v>100000.0</v>
      </c>
      <c r="J115" s="2">
        <v>2130336.0</v>
      </c>
    </row>
    <row r="116">
      <c r="A116" s="2">
        <v>2024.0</v>
      </c>
      <c r="B116" s="1" t="s">
        <v>20</v>
      </c>
      <c r="C116" s="2" t="s">
        <v>209</v>
      </c>
      <c r="D116" s="2" t="s">
        <v>268</v>
      </c>
      <c r="E116" s="2" t="s">
        <v>54</v>
      </c>
      <c r="F116" s="2">
        <v>3785886.0</v>
      </c>
      <c r="H116" s="2">
        <v>7807476.0</v>
      </c>
      <c r="I116" s="2">
        <v>3962246.0</v>
      </c>
      <c r="J116" s="2">
        <v>3845230.0</v>
      </c>
    </row>
    <row r="117">
      <c r="A117" s="2">
        <v>2024.0</v>
      </c>
      <c r="B117" s="1" t="s">
        <v>20</v>
      </c>
      <c r="C117" s="2" t="s">
        <v>209</v>
      </c>
      <c r="D117" s="2" t="s">
        <v>268</v>
      </c>
      <c r="E117" s="2" t="s">
        <v>25</v>
      </c>
      <c r="F117" s="2">
        <v>2716145.0</v>
      </c>
      <c r="H117" s="2">
        <v>4862230.0</v>
      </c>
      <c r="I117" s="2">
        <v>2273866.0</v>
      </c>
      <c r="J117" s="2">
        <v>2588364.0</v>
      </c>
    </row>
    <row r="118">
      <c r="A118" s="2">
        <v>2024.0</v>
      </c>
      <c r="B118" s="1" t="s">
        <v>20</v>
      </c>
      <c r="C118" s="2" t="s">
        <v>209</v>
      </c>
      <c r="D118" s="2" t="s">
        <v>272</v>
      </c>
      <c r="E118" s="2" t="s">
        <v>25</v>
      </c>
      <c r="F118" s="2">
        <v>2609888.0</v>
      </c>
      <c r="H118" s="2">
        <v>3816142.0</v>
      </c>
      <c r="I118" s="2">
        <v>1605905.0</v>
      </c>
      <c r="J118" s="2">
        <v>2210237.0</v>
      </c>
    </row>
    <row r="119">
      <c r="A119" s="2">
        <v>2024.0</v>
      </c>
      <c r="B119" s="1" t="s">
        <v>20</v>
      </c>
      <c r="C119" s="2" t="s">
        <v>209</v>
      </c>
      <c r="D119" s="2" t="s">
        <v>272</v>
      </c>
      <c r="E119" s="2" t="s">
        <v>32</v>
      </c>
      <c r="F119" s="2">
        <v>67683.0</v>
      </c>
      <c r="H119" s="2">
        <v>478863.0</v>
      </c>
      <c r="I119" s="2">
        <v>294527.0</v>
      </c>
      <c r="J119" s="2">
        <v>184336.0</v>
      </c>
    </row>
    <row r="120">
      <c r="A120" s="2">
        <v>2024.0</v>
      </c>
      <c r="B120" s="1" t="s">
        <v>20</v>
      </c>
      <c r="C120" s="2" t="s">
        <v>209</v>
      </c>
      <c r="D120" s="2" t="s">
        <v>272</v>
      </c>
      <c r="E120" s="2" t="s">
        <v>92</v>
      </c>
      <c r="F120" s="2">
        <v>3987424.0</v>
      </c>
      <c r="H120" s="2">
        <v>5886393.0</v>
      </c>
      <c r="I120" s="2">
        <v>1896971.0</v>
      </c>
      <c r="J120" s="2">
        <v>3989422.0</v>
      </c>
    </row>
    <row r="121">
      <c r="A121" s="2">
        <v>2024.0</v>
      </c>
      <c r="B121" s="1" t="s">
        <v>20</v>
      </c>
      <c r="C121" s="2" t="s">
        <v>209</v>
      </c>
      <c r="D121" s="2" t="s">
        <v>278</v>
      </c>
      <c r="E121" s="2" t="s">
        <v>279</v>
      </c>
      <c r="F121" s="2">
        <v>3975556.0</v>
      </c>
      <c r="H121" s="2">
        <v>8993677.0</v>
      </c>
      <c r="I121" s="2">
        <v>3643592.0</v>
      </c>
      <c r="J121" s="2">
        <v>5350085.0</v>
      </c>
    </row>
    <row r="122">
      <c r="A122" s="2">
        <v>2024.0</v>
      </c>
      <c r="B122" s="1" t="s">
        <v>20</v>
      </c>
      <c r="C122" s="2" t="s">
        <v>209</v>
      </c>
      <c r="D122" s="2" t="s">
        <v>278</v>
      </c>
      <c r="E122" s="2" t="s">
        <v>25</v>
      </c>
      <c r="F122" s="2">
        <v>3139540.0</v>
      </c>
      <c r="H122" s="2">
        <v>6560016.0</v>
      </c>
      <c r="I122" s="2">
        <v>1811113.0</v>
      </c>
      <c r="J122" s="2">
        <v>4748903.0</v>
      </c>
    </row>
    <row r="123">
      <c r="A123" s="2">
        <v>2024.0</v>
      </c>
      <c r="B123" s="1" t="s">
        <v>20</v>
      </c>
      <c r="C123" s="2" t="s">
        <v>209</v>
      </c>
      <c r="D123" s="2" t="s">
        <v>278</v>
      </c>
      <c r="E123" s="2" t="s">
        <v>76</v>
      </c>
      <c r="F123" s="2">
        <v>13943.0</v>
      </c>
      <c r="H123" s="2">
        <v>14400.0</v>
      </c>
      <c r="I123" s="2">
        <v>0.0</v>
      </c>
      <c r="J123" s="2">
        <v>14400.0</v>
      </c>
    </row>
    <row r="124">
      <c r="A124" s="2">
        <v>2024.0</v>
      </c>
      <c r="B124" s="1" t="s">
        <v>20</v>
      </c>
      <c r="C124" s="2" t="s">
        <v>209</v>
      </c>
      <c r="D124" s="2" t="s">
        <v>278</v>
      </c>
      <c r="E124" s="2" t="s">
        <v>32</v>
      </c>
      <c r="F124" s="2">
        <v>1080850.0</v>
      </c>
      <c r="H124" s="2">
        <v>2527244.0</v>
      </c>
      <c r="I124" s="2">
        <v>1617438.0</v>
      </c>
      <c r="J124" s="2">
        <v>909806.0</v>
      </c>
    </row>
    <row r="125">
      <c r="A125" s="2">
        <v>2024.0</v>
      </c>
      <c r="B125" s="1" t="s">
        <v>20</v>
      </c>
      <c r="C125" s="2" t="s">
        <v>283</v>
      </c>
      <c r="D125" s="2" t="s">
        <v>284</v>
      </c>
      <c r="E125" s="2" t="s">
        <v>25</v>
      </c>
      <c r="F125" s="2">
        <v>2267010.0</v>
      </c>
      <c r="H125" s="2">
        <v>3773174.0</v>
      </c>
      <c r="I125" s="2">
        <v>1730118.0</v>
      </c>
      <c r="J125" s="2">
        <v>2043056.0</v>
      </c>
    </row>
    <row r="126">
      <c r="A126" s="2">
        <v>2024.0</v>
      </c>
      <c r="B126" s="1" t="s">
        <v>20</v>
      </c>
      <c r="C126" s="2" t="s">
        <v>283</v>
      </c>
      <c r="D126" s="2" t="s">
        <v>284</v>
      </c>
      <c r="E126" s="2" t="s">
        <v>56</v>
      </c>
      <c r="F126" s="2">
        <v>1679389.0</v>
      </c>
      <c r="H126" s="2">
        <v>4855990.0</v>
      </c>
      <c r="I126" s="2">
        <v>3240414.0</v>
      </c>
      <c r="J126" s="2">
        <v>1615576.0</v>
      </c>
    </row>
    <row r="127">
      <c r="A127" s="2">
        <v>2024.0</v>
      </c>
      <c r="B127" s="1" t="s">
        <v>20</v>
      </c>
      <c r="C127" s="2" t="s">
        <v>283</v>
      </c>
      <c r="D127" s="2" t="s">
        <v>284</v>
      </c>
      <c r="E127" s="2" t="s">
        <v>32</v>
      </c>
      <c r="F127" s="2">
        <v>332303.0</v>
      </c>
      <c r="H127" s="2">
        <v>419997.0</v>
      </c>
      <c r="I127" s="2">
        <v>214618.0</v>
      </c>
      <c r="J127" s="2">
        <v>205379.0</v>
      </c>
    </row>
    <row r="128">
      <c r="A128" s="2">
        <v>2024.0</v>
      </c>
      <c r="B128" s="1" t="s">
        <v>20</v>
      </c>
      <c r="C128" s="2" t="s">
        <v>283</v>
      </c>
      <c r="D128" s="2" t="s">
        <v>287</v>
      </c>
      <c r="E128" s="2" t="s">
        <v>56</v>
      </c>
      <c r="F128" s="2">
        <v>549350.0</v>
      </c>
      <c r="H128" s="2">
        <v>3411891.0</v>
      </c>
      <c r="I128" s="2">
        <v>2645255.0</v>
      </c>
      <c r="J128" s="2">
        <v>766636.0</v>
      </c>
    </row>
    <row r="129">
      <c r="A129" s="2">
        <v>2024.0</v>
      </c>
      <c r="B129" s="1" t="s">
        <v>20</v>
      </c>
      <c r="C129" s="2" t="s">
        <v>283</v>
      </c>
      <c r="D129" s="2" t="s">
        <v>287</v>
      </c>
      <c r="E129" s="2" t="s">
        <v>32</v>
      </c>
      <c r="F129" s="2">
        <v>235773.0</v>
      </c>
      <c r="H129" s="2">
        <v>272091.0</v>
      </c>
      <c r="I129" s="2">
        <v>5400.0</v>
      </c>
      <c r="J129" s="2">
        <v>266691.0</v>
      </c>
    </row>
    <row r="130">
      <c r="A130" s="2">
        <v>2024.0</v>
      </c>
      <c r="B130" s="1" t="s">
        <v>20</v>
      </c>
      <c r="C130" s="2" t="s">
        <v>283</v>
      </c>
      <c r="D130" s="2" t="s">
        <v>287</v>
      </c>
      <c r="E130" s="2" t="s">
        <v>25</v>
      </c>
      <c r="F130" s="2">
        <v>264013.0</v>
      </c>
      <c r="H130" s="2">
        <v>936447.0</v>
      </c>
      <c r="I130" s="2">
        <v>455744.0</v>
      </c>
      <c r="J130" s="2">
        <v>480703.0</v>
      </c>
    </row>
    <row r="131">
      <c r="A131" s="2">
        <v>2024.0</v>
      </c>
      <c r="B131" s="1" t="s">
        <v>20</v>
      </c>
      <c r="C131" s="2" t="s">
        <v>283</v>
      </c>
      <c r="D131" s="2" t="s">
        <v>291</v>
      </c>
      <c r="E131" s="2" t="s">
        <v>56</v>
      </c>
      <c r="F131" s="2">
        <v>1156941.0</v>
      </c>
      <c r="H131" s="2">
        <v>2543393.0</v>
      </c>
      <c r="I131" s="2">
        <v>1579848.0</v>
      </c>
      <c r="J131" s="2">
        <v>963545.0</v>
      </c>
    </row>
    <row r="132">
      <c r="A132" s="2">
        <v>2024.0</v>
      </c>
      <c r="B132" s="1" t="s">
        <v>20</v>
      </c>
      <c r="C132" s="2" t="s">
        <v>283</v>
      </c>
      <c r="D132" s="2" t="s">
        <v>291</v>
      </c>
      <c r="E132" s="2" t="s">
        <v>32</v>
      </c>
      <c r="F132" s="2">
        <v>173560.0</v>
      </c>
      <c r="H132" s="2">
        <v>277662.0</v>
      </c>
      <c r="I132" s="2">
        <v>55205.0</v>
      </c>
      <c r="J132" s="2">
        <v>222457.0</v>
      </c>
    </row>
    <row r="133">
      <c r="A133" s="2">
        <v>2024.0</v>
      </c>
      <c r="B133" s="1" t="s">
        <v>20</v>
      </c>
      <c r="C133" s="2" t="s">
        <v>283</v>
      </c>
      <c r="D133" s="2" t="s">
        <v>291</v>
      </c>
      <c r="E133" s="2" t="s">
        <v>25</v>
      </c>
      <c r="F133" s="2">
        <v>1925609.0</v>
      </c>
      <c r="H133" s="2">
        <v>2556939.0</v>
      </c>
      <c r="I133" s="2">
        <v>1239691.0</v>
      </c>
      <c r="J133" s="2">
        <v>1317248.0</v>
      </c>
    </row>
    <row r="134">
      <c r="A134" s="2">
        <v>2024.0</v>
      </c>
      <c r="B134" s="1" t="s">
        <v>20</v>
      </c>
      <c r="C134" s="2" t="s">
        <v>294</v>
      </c>
      <c r="D134" s="2" t="s">
        <v>294</v>
      </c>
      <c r="E134" s="2" t="s">
        <v>25</v>
      </c>
      <c r="F134" s="2">
        <v>1982929.0</v>
      </c>
      <c r="H134" s="2">
        <v>3226219.0</v>
      </c>
      <c r="I134" s="2">
        <v>612208.0</v>
      </c>
      <c r="J134" s="2">
        <v>2614011.0</v>
      </c>
    </row>
    <row r="135">
      <c r="A135" s="2">
        <v>2024.0</v>
      </c>
      <c r="B135" s="1" t="s">
        <v>20</v>
      </c>
      <c r="C135" s="2" t="s">
        <v>294</v>
      </c>
      <c r="D135" s="2" t="s">
        <v>294</v>
      </c>
      <c r="E135" s="2" t="s">
        <v>296</v>
      </c>
      <c r="F135" s="2">
        <v>1689379.0</v>
      </c>
      <c r="H135" s="2">
        <v>3425454.0</v>
      </c>
      <c r="I135" s="2">
        <v>1784632.0</v>
      </c>
      <c r="J135" s="2">
        <v>1640822.0</v>
      </c>
    </row>
    <row r="136">
      <c r="A136" s="2">
        <v>2024.0</v>
      </c>
      <c r="B136" s="1" t="s">
        <v>20</v>
      </c>
      <c r="C136" s="2" t="s">
        <v>294</v>
      </c>
      <c r="D136" s="2" t="s">
        <v>294</v>
      </c>
      <c r="E136" s="2" t="s">
        <v>299</v>
      </c>
      <c r="F136" s="2">
        <v>235165.0</v>
      </c>
      <c r="H136" s="2">
        <v>1960834.0</v>
      </c>
      <c r="I136" s="2">
        <v>1762623.0</v>
      </c>
      <c r="J136" s="2">
        <v>198211.0</v>
      </c>
    </row>
    <row r="137">
      <c r="A137" s="2">
        <v>2024.0</v>
      </c>
      <c r="B137" s="1" t="s">
        <v>20</v>
      </c>
      <c r="C137" s="2" t="s">
        <v>294</v>
      </c>
      <c r="D137" s="2" t="s">
        <v>300</v>
      </c>
      <c r="E137" s="2" t="s">
        <v>25</v>
      </c>
      <c r="F137" s="2">
        <v>1410801.0</v>
      </c>
      <c r="H137" s="2">
        <v>2788225.0</v>
      </c>
      <c r="I137" s="2">
        <v>690926.0</v>
      </c>
      <c r="J137" s="2">
        <v>2097299.0</v>
      </c>
    </row>
    <row r="138">
      <c r="A138" s="2">
        <v>2024.0</v>
      </c>
      <c r="B138" s="1" t="s">
        <v>20</v>
      </c>
      <c r="C138" s="2" t="s">
        <v>294</v>
      </c>
      <c r="D138" s="2" t="s">
        <v>300</v>
      </c>
      <c r="E138" s="2" t="s">
        <v>32</v>
      </c>
      <c r="F138" s="2">
        <v>68127.0</v>
      </c>
      <c r="H138" s="2">
        <v>304334.0</v>
      </c>
      <c r="I138" s="2">
        <v>196464.0</v>
      </c>
      <c r="J138" s="2">
        <v>107870.0</v>
      </c>
    </row>
    <row r="139">
      <c r="A139" s="2">
        <v>2024.0</v>
      </c>
      <c r="B139" s="1" t="s">
        <v>20</v>
      </c>
      <c r="C139" s="2" t="s">
        <v>294</v>
      </c>
      <c r="D139" s="2" t="s">
        <v>300</v>
      </c>
      <c r="E139" s="2" t="s">
        <v>302</v>
      </c>
      <c r="F139" s="2">
        <v>0.0</v>
      </c>
      <c r="H139" s="2">
        <v>218449.0</v>
      </c>
      <c r="I139" s="2">
        <v>127653.0</v>
      </c>
      <c r="J139" s="2">
        <v>90796.0</v>
      </c>
    </row>
    <row r="140">
      <c r="A140" s="2">
        <v>2024.0</v>
      </c>
      <c r="B140" s="1" t="s">
        <v>20</v>
      </c>
      <c r="C140" s="2" t="s">
        <v>294</v>
      </c>
      <c r="D140" s="2" t="s">
        <v>300</v>
      </c>
      <c r="E140" s="2" t="s">
        <v>56</v>
      </c>
      <c r="F140" s="2">
        <v>758457.0</v>
      </c>
      <c r="H140" s="2">
        <v>2790558.0</v>
      </c>
      <c r="I140" s="2">
        <v>1800503.0</v>
      </c>
      <c r="J140" s="2">
        <v>990055.0</v>
      </c>
    </row>
    <row r="141">
      <c r="A141" s="2">
        <v>2024.0</v>
      </c>
      <c r="B141" s="1" t="s">
        <v>20</v>
      </c>
      <c r="C141" s="2" t="s">
        <v>294</v>
      </c>
      <c r="D141" s="2" t="s">
        <v>303</v>
      </c>
      <c r="E141" s="2" t="s">
        <v>25</v>
      </c>
      <c r="F141" s="2">
        <v>1731319.0</v>
      </c>
      <c r="H141" s="2">
        <v>2893001.0</v>
      </c>
      <c r="I141" s="2">
        <v>1342686.0</v>
      </c>
      <c r="J141" s="2">
        <v>1550315.0</v>
      </c>
    </row>
    <row r="142">
      <c r="A142" s="2">
        <v>2024.0</v>
      </c>
      <c r="B142" s="1" t="s">
        <v>20</v>
      </c>
      <c r="C142" s="2" t="s">
        <v>294</v>
      </c>
      <c r="D142" s="2" t="s">
        <v>303</v>
      </c>
      <c r="E142" s="2" t="s">
        <v>92</v>
      </c>
      <c r="F142" s="2">
        <v>1657546.0</v>
      </c>
      <c r="H142" s="2">
        <v>6682478.0</v>
      </c>
      <c r="I142" s="2">
        <v>4823373.0</v>
      </c>
      <c r="J142" s="2">
        <v>1859105.0</v>
      </c>
    </row>
    <row r="143">
      <c r="A143" s="2">
        <v>2024.0</v>
      </c>
      <c r="B143" s="1" t="s">
        <v>20</v>
      </c>
      <c r="C143" s="2" t="s">
        <v>294</v>
      </c>
      <c r="D143" s="2" t="s">
        <v>303</v>
      </c>
      <c r="E143" s="2" t="s">
        <v>32</v>
      </c>
      <c r="F143" s="2">
        <v>68681.0</v>
      </c>
      <c r="H143" s="2">
        <v>912833.0</v>
      </c>
      <c r="I143" s="2">
        <v>877721.0</v>
      </c>
      <c r="J143" s="2">
        <v>35112.0</v>
      </c>
    </row>
    <row r="144">
      <c r="A144" s="2">
        <v>2024.0</v>
      </c>
      <c r="B144" s="1" t="s">
        <v>20</v>
      </c>
      <c r="C144" s="2" t="s">
        <v>294</v>
      </c>
      <c r="D144" s="2" t="s">
        <v>306</v>
      </c>
      <c r="E144" s="2" t="s">
        <v>25</v>
      </c>
      <c r="F144" s="2">
        <v>5263979.0</v>
      </c>
      <c r="H144" s="2">
        <v>8240295.0</v>
      </c>
      <c r="I144" s="2">
        <v>3457817.0</v>
      </c>
      <c r="J144" s="2">
        <v>4782478.0</v>
      </c>
    </row>
    <row r="145">
      <c r="A145" s="2">
        <v>2024.0</v>
      </c>
      <c r="B145" s="1" t="s">
        <v>20</v>
      </c>
      <c r="C145" s="2" t="s">
        <v>294</v>
      </c>
      <c r="D145" s="2" t="s">
        <v>306</v>
      </c>
      <c r="E145" s="2" t="s">
        <v>56</v>
      </c>
      <c r="F145" s="2">
        <v>1855332.0</v>
      </c>
      <c r="H145" s="2">
        <v>4872854.0</v>
      </c>
      <c r="I145" s="2">
        <v>2995414.0</v>
      </c>
      <c r="J145" s="2">
        <v>1877440.0</v>
      </c>
    </row>
    <row r="146">
      <c r="A146" s="2">
        <v>2024.0</v>
      </c>
      <c r="B146" s="1" t="s">
        <v>20</v>
      </c>
      <c r="C146" s="2" t="s">
        <v>294</v>
      </c>
      <c r="D146" s="2" t="s">
        <v>306</v>
      </c>
      <c r="E146" s="2" t="s">
        <v>124</v>
      </c>
      <c r="F146" s="2">
        <v>260249.0</v>
      </c>
      <c r="H146" s="2">
        <v>1260210.0</v>
      </c>
      <c r="I146" s="2">
        <v>956693.0</v>
      </c>
      <c r="J146" s="2">
        <v>303517.0</v>
      </c>
    </row>
    <row r="147">
      <c r="A147" s="2">
        <v>2024.0</v>
      </c>
      <c r="B147" s="1" t="s">
        <v>20</v>
      </c>
      <c r="C147" s="2" t="s">
        <v>294</v>
      </c>
      <c r="D147" s="2" t="s">
        <v>306</v>
      </c>
      <c r="E147" s="2" t="s">
        <v>32</v>
      </c>
      <c r="F147" s="2">
        <v>119738.0</v>
      </c>
      <c r="H147" s="2">
        <v>388879.0</v>
      </c>
      <c r="I147" s="2">
        <v>220875.0</v>
      </c>
      <c r="J147" s="2">
        <v>168004.0</v>
      </c>
    </row>
    <row r="148">
      <c r="A148" s="2">
        <v>2024.0</v>
      </c>
      <c r="B148" s="1" t="s">
        <v>20</v>
      </c>
      <c r="C148" s="2" t="s">
        <v>294</v>
      </c>
      <c r="D148" s="2" t="s">
        <v>311</v>
      </c>
      <c r="E148" s="2" t="s">
        <v>25</v>
      </c>
      <c r="F148" s="2">
        <v>1018181.0</v>
      </c>
      <c r="H148" s="2">
        <v>2089333.0</v>
      </c>
      <c r="I148" s="2">
        <v>1150506.0</v>
      </c>
      <c r="J148" s="2">
        <v>938827.0</v>
      </c>
    </row>
    <row r="149">
      <c r="A149" s="2">
        <v>2024.0</v>
      </c>
      <c r="B149" s="1" t="s">
        <v>20</v>
      </c>
      <c r="C149" s="2" t="s">
        <v>294</v>
      </c>
      <c r="D149" s="2" t="s">
        <v>311</v>
      </c>
      <c r="E149" s="2" t="s">
        <v>313</v>
      </c>
      <c r="F149" s="2">
        <v>93490.0</v>
      </c>
      <c r="H149" s="2">
        <v>200766.0</v>
      </c>
      <c r="I149" s="2">
        <v>161530.0</v>
      </c>
      <c r="J149" s="2">
        <v>39236.0</v>
      </c>
    </row>
    <row r="150">
      <c r="A150" s="2">
        <v>2024.0</v>
      </c>
      <c r="B150" s="1" t="s">
        <v>20</v>
      </c>
      <c r="C150" s="2" t="s">
        <v>294</v>
      </c>
      <c r="D150" s="2" t="s">
        <v>311</v>
      </c>
      <c r="E150" s="2" t="s">
        <v>56</v>
      </c>
      <c r="F150" s="2">
        <v>1318129.0</v>
      </c>
      <c r="H150" s="2">
        <v>3271741.0</v>
      </c>
      <c r="I150" s="2">
        <v>1959484.0</v>
      </c>
      <c r="J150" s="2">
        <v>1312257.0</v>
      </c>
    </row>
    <row r="151">
      <c r="A151" s="2">
        <v>2024.0</v>
      </c>
      <c r="B151" s="1" t="s">
        <v>20</v>
      </c>
      <c r="C151" s="2" t="s">
        <v>294</v>
      </c>
      <c r="D151" s="2" t="s">
        <v>317</v>
      </c>
      <c r="E151" s="2" t="s">
        <v>25</v>
      </c>
      <c r="F151" s="2">
        <v>2835963.0</v>
      </c>
      <c r="H151" s="2">
        <v>4522077.0</v>
      </c>
      <c r="I151" s="2">
        <v>2581528.0</v>
      </c>
      <c r="J151" s="2">
        <v>1940549.0</v>
      </c>
    </row>
    <row r="152">
      <c r="A152" s="2">
        <v>2024.0</v>
      </c>
      <c r="B152" s="1" t="s">
        <v>20</v>
      </c>
      <c r="C152" s="2" t="s">
        <v>294</v>
      </c>
      <c r="D152" s="2" t="s">
        <v>317</v>
      </c>
      <c r="E152" s="2" t="s">
        <v>32</v>
      </c>
      <c r="F152" s="2">
        <v>90131.0</v>
      </c>
      <c r="H152" s="2">
        <v>543871.0</v>
      </c>
      <c r="I152" s="2">
        <v>455243.0</v>
      </c>
      <c r="J152" s="2">
        <v>88628.0</v>
      </c>
    </row>
    <row r="153">
      <c r="A153" s="2">
        <v>2024.0</v>
      </c>
      <c r="B153" s="1" t="s">
        <v>20</v>
      </c>
      <c r="C153" s="2" t="s">
        <v>294</v>
      </c>
      <c r="D153" s="2" t="s">
        <v>317</v>
      </c>
      <c r="E153" s="2" t="s">
        <v>124</v>
      </c>
      <c r="F153" s="2">
        <v>117939.0</v>
      </c>
      <c r="H153" s="2">
        <v>1928063.0</v>
      </c>
      <c r="I153" s="2">
        <v>1795306.0</v>
      </c>
      <c r="J153" s="2">
        <v>132757.0</v>
      </c>
    </row>
    <row r="154">
      <c r="A154" s="2">
        <v>2024.0</v>
      </c>
      <c r="B154" s="1" t="s">
        <v>20</v>
      </c>
      <c r="C154" s="2" t="s">
        <v>294</v>
      </c>
      <c r="D154" s="2" t="s">
        <v>317</v>
      </c>
      <c r="E154" s="2" t="s">
        <v>56</v>
      </c>
      <c r="F154" s="2">
        <v>931549.0</v>
      </c>
      <c r="H154" s="2">
        <v>2751501.0</v>
      </c>
      <c r="I154" s="2">
        <v>1609354.0</v>
      </c>
      <c r="J154" s="2">
        <v>1142147.0</v>
      </c>
    </row>
    <row r="155">
      <c r="A155" s="2">
        <v>2024.0</v>
      </c>
      <c r="B155" s="1" t="s">
        <v>20</v>
      </c>
      <c r="C155" s="2" t="s">
        <v>294</v>
      </c>
      <c r="D155" s="2" t="s">
        <v>322</v>
      </c>
      <c r="E155" s="2" t="s">
        <v>25</v>
      </c>
      <c r="F155" s="2">
        <v>1941133.0</v>
      </c>
      <c r="H155" s="2">
        <v>2836946.0</v>
      </c>
      <c r="I155" s="2">
        <v>1017187.0</v>
      </c>
      <c r="J155" s="2">
        <v>1819759.0</v>
      </c>
    </row>
    <row r="156">
      <c r="A156" s="2">
        <v>2024.0</v>
      </c>
      <c r="B156" s="1" t="s">
        <v>20</v>
      </c>
      <c r="C156" s="2" t="s">
        <v>294</v>
      </c>
      <c r="D156" s="2" t="s">
        <v>322</v>
      </c>
      <c r="E156" s="2" t="s">
        <v>32</v>
      </c>
      <c r="F156" s="2">
        <v>355541.0</v>
      </c>
      <c r="H156" s="2">
        <v>526630.0</v>
      </c>
      <c r="I156" s="2">
        <v>294898.0</v>
      </c>
      <c r="J156" s="2">
        <v>231732.0</v>
      </c>
    </row>
    <row r="157">
      <c r="A157" s="2">
        <v>2024.0</v>
      </c>
      <c r="B157" s="1" t="s">
        <v>20</v>
      </c>
      <c r="C157" s="2" t="s">
        <v>294</v>
      </c>
      <c r="D157" s="2" t="s">
        <v>322</v>
      </c>
      <c r="E157" s="2" t="s">
        <v>76</v>
      </c>
      <c r="F157" s="2">
        <v>455303.0</v>
      </c>
      <c r="H157" s="2">
        <v>461476.0</v>
      </c>
      <c r="I157" s="2">
        <v>411407.0</v>
      </c>
      <c r="J157" s="2">
        <v>50069.0</v>
      </c>
    </row>
    <row r="158">
      <c r="A158" s="2">
        <v>2024.0</v>
      </c>
      <c r="B158" s="1" t="s">
        <v>20</v>
      </c>
      <c r="C158" s="2" t="s">
        <v>294</v>
      </c>
      <c r="D158" s="2" t="s">
        <v>322</v>
      </c>
      <c r="E158" s="2" t="s">
        <v>56</v>
      </c>
      <c r="F158" s="2">
        <v>2334935.0</v>
      </c>
      <c r="H158" s="2">
        <v>4385482.0</v>
      </c>
      <c r="I158" s="2">
        <v>1568699.0</v>
      </c>
      <c r="J158" s="2">
        <v>2816783.0</v>
      </c>
    </row>
    <row r="159">
      <c r="A159" s="2">
        <v>2024.0</v>
      </c>
      <c r="B159" s="1" t="s">
        <v>20</v>
      </c>
      <c r="C159" s="2" t="s">
        <v>294</v>
      </c>
      <c r="D159" s="2" t="s">
        <v>322</v>
      </c>
      <c r="E159" s="2" t="s">
        <v>329</v>
      </c>
      <c r="F159" s="2">
        <v>306936.0</v>
      </c>
      <c r="H159" s="2">
        <v>1989161.0</v>
      </c>
      <c r="I159" s="2">
        <v>1711758.0</v>
      </c>
      <c r="J159" s="2">
        <v>277403.0</v>
      </c>
    </row>
    <row r="160">
      <c r="A160" s="2">
        <v>2024.0</v>
      </c>
      <c r="B160" s="1" t="s">
        <v>20</v>
      </c>
      <c r="C160" s="2" t="s">
        <v>330</v>
      </c>
      <c r="D160" s="2" t="s">
        <v>330</v>
      </c>
      <c r="E160" s="2" t="s">
        <v>25</v>
      </c>
      <c r="F160" s="2">
        <v>7449449.0</v>
      </c>
      <c r="H160" s="2">
        <v>1.1189059E7</v>
      </c>
      <c r="I160" s="2">
        <v>4092851.0</v>
      </c>
      <c r="J160" s="2">
        <v>7096208.0</v>
      </c>
    </row>
    <row r="161">
      <c r="A161" s="2">
        <v>2024.0</v>
      </c>
      <c r="B161" s="1" t="s">
        <v>20</v>
      </c>
      <c r="C161" s="2" t="s">
        <v>330</v>
      </c>
      <c r="D161" s="2" t="s">
        <v>330</v>
      </c>
      <c r="E161" s="2" t="s">
        <v>92</v>
      </c>
      <c r="F161" s="2">
        <v>1.0243003E7</v>
      </c>
      <c r="H161" s="2">
        <v>1.5894607E7</v>
      </c>
      <c r="I161" s="2">
        <v>8516906.0</v>
      </c>
      <c r="J161" s="2">
        <v>7377701.0</v>
      </c>
    </row>
    <row r="162">
      <c r="A162" s="2">
        <v>2024.0</v>
      </c>
      <c r="B162" s="1" t="s">
        <v>20</v>
      </c>
      <c r="C162" s="2" t="s">
        <v>330</v>
      </c>
      <c r="D162" s="2" t="s">
        <v>330</v>
      </c>
      <c r="E162" s="2" t="s">
        <v>32</v>
      </c>
      <c r="F162" s="2">
        <v>893324.0</v>
      </c>
      <c r="H162" s="2">
        <v>1194193.0</v>
      </c>
      <c r="I162" s="2">
        <v>1010343.0</v>
      </c>
      <c r="J162" s="2">
        <v>183850.0</v>
      </c>
    </row>
    <row r="163">
      <c r="A163" s="2">
        <v>2024.0</v>
      </c>
      <c r="B163" s="1" t="s">
        <v>20</v>
      </c>
      <c r="C163" s="2" t="s">
        <v>330</v>
      </c>
      <c r="D163" s="2" t="s">
        <v>337</v>
      </c>
      <c r="E163" s="2" t="s">
        <v>56</v>
      </c>
      <c r="F163" s="2">
        <v>3016708.0</v>
      </c>
      <c r="H163" s="2">
        <v>5227934.0</v>
      </c>
      <c r="I163" s="2">
        <v>1744516.0</v>
      </c>
      <c r="J163" s="2">
        <v>3483418.0</v>
      </c>
    </row>
    <row r="164">
      <c r="A164" s="2">
        <v>2024.0</v>
      </c>
      <c r="B164" s="1" t="s">
        <v>20</v>
      </c>
      <c r="C164" s="2" t="s">
        <v>330</v>
      </c>
      <c r="D164" s="2" t="s">
        <v>337</v>
      </c>
      <c r="E164" s="2" t="s">
        <v>25</v>
      </c>
      <c r="F164" s="2">
        <v>3307412.0</v>
      </c>
      <c r="H164" s="2">
        <v>5283394.0</v>
      </c>
      <c r="I164" s="2">
        <v>2529146.0</v>
      </c>
      <c r="J164" s="2">
        <v>2754248.0</v>
      </c>
    </row>
    <row r="165">
      <c r="A165" s="2">
        <v>2024.0</v>
      </c>
      <c r="B165" s="1" t="s">
        <v>20</v>
      </c>
      <c r="C165" s="2" t="s">
        <v>330</v>
      </c>
      <c r="D165" s="2" t="s">
        <v>337</v>
      </c>
      <c r="E165" s="2" t="s">
        <v>32</v>
      </c>
      <c r="F165" s="2">
        <v>1289174.0</v>
      </c>
      <c r="H165" s="2">
        <v>1704785.0</v>
      </c>
      <c r="I165" s="2">
        <v>446504.0</v>
      </c>
      <c r="J165" s="2">
        <v>1258281.0</v>
      </c>
    </row>
    <row r="166">
      <c r="A166" s="2">
        <v>2024.0</v>
      </c>
      <c r="B166" s="1" t="s">
        <v>20</v>
      </c>
      <c r="C166" s="2" t="s">
        <v>330</v>
      </c>
      <c r="D166" s="2" t="s">
        <v>342</v>
      </c>
      <c r="E166" s="2" t="s">
        <v>25</v>
      </c>
      <c r="F166" s="2">
        <v>1989747.0</v>
      </c>
      <c r="H166" s="2">
        <v>3130528.0</v>
      </c>
      <c r="I166" s="2">
        <v>1250379.0</v>
      </c>
      <c r="J166" s="2">
        <v>1880149.0</v>
      </c>
    </row>
    <row r="167">
      <c r="A167" s="2">
        <v>2024.0</v>
      </c>
      <c r="B167" s="1" t="s">
        <v>20</v>
      </c>
      <c r="C167" s="2" t="s">
        <v>330</v>
      </c>
      <c r="D167" s="2" t="s">
        <v>342</v>
      </c>
      <c r="E167" s="2" t="s">
        <v>345</v>
      </c>
      <c r="F167" s="2">
        <v>3505637.0</v>
      </c>
      <c r="H167" s="2">
        <v>6275412.0</v>
      </c>
      <c r="I167" s="2">
        <v>3826298.0</v>
      </c>
      <c r="J167" s="2">
        <v>2449114.0</v>
      </c>
    </row>
    <row r="168">
      <c r="A168" s="2">
        <v>2024.0</v>
      </c>
      <c r="B168" s="1" t="s">
        <v>20</v>
      </c>
      <c r="C168" s="2" t="s">
        <v>330</v>
      </c>
      <c r="D168" s="2" t="s">
        <v>342</v>
      </c>
      <c r="E168" s="2" t="s">
        <v>348</v>
      </c>
      <c r="F168" s="2">
        <v>0.0</v>
      </c>
      <c r="H168" s="2">
        <v>771448.0</v>
      </c>
      <c r="I168" s="2">
        <v>30921.0</v>
      </c>
      <c r="J168" s="2">
        <v>740527.0</v>
      </c>
    </row>
    <row r="169">
      <c r="A169" s="2">
        <v>2024.0</v>
      </c>
      <c r="B169" s="1" t="s">
        <v>20</v>
      </c>
      <c r="C169" s="2" t="s">
        <v>330</v>
      </c>
      <c r="D169" s="2" t="s">
        <v>350</v>
      </c>
      <c r="E169" s="2" t="s">
        <v>25</v>
      </c>
      <c r="F169" s="2">
        <v>2227450.0</v>
      </c>
      <c r="H169" s="2">
        <v>4545217.0</v>
      </c>
      <c r="I169" s="2">
        <v>2227450.0</v>
      </c>
      <c r="J169" s="2">
        <v>2317767.0</v>
      </c>
    </row>
    <row r="170">
      <c r="A170" s="2">
        <v>2024.0</v>
      </c>
      <c r="B170" s="1" t="s">
        <v>20</v>
      </c>
      <c r="C170" s="2" t="s">
        <v>330</v>
      </c>
      <c r="D170" s="2" t="s">
        <v>350</v>
      </c>
      <c r="E170" s="2" t="s">
        <v>232</v>
      </c>
      <c r="F170" s="2">
        <v>9808034.0</v>
      </c>
      <c r="H170" s="2">
        <v>1.1797642E7</v>
      </c>
      <c r="I170" s="2">
        <v>1.1134192E7</v>
      </c>
      <c r="J170" s="2">
        <v>663450.0</v>
      </c>
    </row>
    <row r="171">
      <c r="A171" s="2">
        <v>2024.0</v>
      </c>
      <c r="B171" s="1" t="s">
        <v>20</v>
      </c>
      <c r="C171" s="2" t="s">
        <v>330</v>
      </c>
      <c r="D171" s="2" t="s">
        <v>350</v>
      </c>
      <c r="E171" s="2" t="s">
        <v>32</v>
      </c>
      <c r="F171" s="2">
        <v>194485.0</v>
      </c>
      <c r="H171" s="2">
        <v>456431.0</v>
      </c>
      <c r="I171" s="2">
        <v>124289.0</v>
      </c>
      <c r="J171" s="2">
        <v>332142.0</v>
      </c>
    </row>
    <row r="172">
      <c r="A172" s="2">
        <v>2024.0</v>
      </c>
      <c r="B172" s="1" t="s">
        <v>20</v>
      </c>
      <c r="C172" s="2" t="s">
        <v>358</v>
      </c>
      <c r="D172" s="2" t="s">
        <v>360</v>
      </c>
      <c r="E172" s="2" t="s">
        <v>25</v>
      </c>
      <c r="F172" s="2">
        <v>1083480.0</v>
      </c>
      <c r="H172" s="2">
        <v>1858344.0</v>
      </c>
      <c r="I172" s="2">
        <v>1152047.0</v>
      </c>
      <c r="J172" s="2">
        <v>706297.0</v>
      </c>
    </row>
    <row r="173">
      <c r="A173" s="2">
        <v>2024.0</v>
      </c>
      <c r="B173" s="1" t="s">
        <v>20</v>
      </c>
      <c r="C173" s="2" t="s">
        <v>358</v>
      </c>
      <c r="D173" s="2" t="s">
        <v>360</v>
      </c>
      <c r="E173" s="2" t="s">
        <v>361</v>
      </c>
      <c r="F173" s="2">
        <v>600307.0</v>
      </c>
      <c r="H173" s="2">
        <v>2324016.0</v>
      </c>
      <c r="I173" s="2">
        <v>1355302.0</v>
      </c>
      <c r="J173" s="2">
        <v>968714.0</v>
      </c>
    </row>
    <row r="174">
      <c r="A174" s="2">
        <v>2024.0</v>
      </c>
      <c r="B174" s="1" t="s">
        <v>20</v>
      </c>
      <c r="C174" s="2" t="s">
        <v>358</v>
      </c>
      <c r="D174" s="2" t="s">
        <v>364</v>
      </c>
      <c r="E174" s="2" t="s">
        <v>32</v>
      </c>
      <c r="F174" s="2">
        <v>202411.0</v>
      </c>
      <c r="H174" s="2">
        <v>383916.0</v>
      </c>
      <c r="I174" s="2">
        <v>368956.0</v>
      </c>
      <c r="J174" s="2">
        <v>14960.0</v>
      </c>
    </row>
    <row r="175">
      <c r="A175" s="2">
        <v>2024.0</v>
      </c>
      <c r="B175" s="1" t="s">
        <v>20</v>
      </c>
      <c r="C175" s="2" t="s">
        <v>358</v>
      </c>
      <c r="D175" s="2" t="s">
        <v>364</v>
      </c>
      <c r="E175" s="2" t="s">
        <v>25</v>
      </c>
      <c r="F175" s="2">
        <v>2436980.0</v>
      </c>
      <c r="H175" s="2">
        <v>3938501.0</v>
      </c>
      <c r="I175" s="2">
        <v>2260433.0</v>
      </c>
      <c r="J175" s="2">
        <v>1678068.0</v>
      </c>
    </row>
    <row r="176">
      <c r="A176" s="2">
        <v>2024.0</v>
      </c>
      <c r="B176" s="1" t="s">
        <v>20</v>
      </c>
      <c r="C176" s="2" t="s">
        <v>358</v>
      </c>
      <c r="D176" s="2" t="s">
        <v>364</v>
      </c>
      <c r="E176" s="2" t="s">
        <v>56</v>
      </c>
      <c r="F176" s="2">
        <v>791779.0</v>
      </c>
      <c r="H176" s="2">
        <v>2321550.0</v>
      </c>
      <c r="I176" s="2">
        <v>1511080.0</v>
      </c>
      <c r="J176" s="2">
        <v>810470.0</v>
      </c>
    </row>
    <row r="177">
      <c r="A177" s="2">
        <v>2024.0</v>
      </c>
      <c r="B177" s="1" t="s">
        <v>20</v>
      </c>
      <c r="C177" s="2" t="s">
        <v>358</v>
      </c>
      <c r="D177" s="2" t="s">
        <v>370</v>
      </c>
      <c r="E177" s="2" t="s">
        <v>361</v>
      </c>
      <c r="F177" s="2">
        <v>559753.0</v>
      </c>
      <c r="H177" s="2">
        <v>2145171.0</v>
      </c>
      <c r="I177" s="2">
        <v>1620800.0</v>
      </c>
      <c r="J177" s="2">
        <v>524371.0</v>
      </c>
    </row>
    <row r="178">
      <c r="A178" s="2">
        <v>2024.0</v>
      </c>
      <c r="B178" s="1" t="s">
        <v>20</v>
      </c>
      <c r="C178" s="2" t="s">
        <v>358</v>
      </c>
      <c r="D178" s="2" t="s">
        <v>370</v>
      </c>
      <c r="E178" s="2" t="s">
        <v>25</v>
      </c>
      <c r="F178" s="2">
        <v>1657590.0</v>
      </c>
      <c r="H178" s="2">
        <v>2903947.0</v>
      </c>
      <c r="I178" s="2">
        <v>2047453.0</v>
      </c>
      <c r="J178" s="2">
        <v>856494.0</v>
      </c>
    </row>
    <row r="179">
      <c r="A179" s="2">
        <v>2024.0</v>
      </c>
      <c r="B179" s="1" t="s">
        <v>20</v>
      </c>
      <c r="C179" s="2" t="s">
        <v>358</v>
      </c>
      <c r="D179" s="2" t="s">
        <v>372</v>
      </c>
      <c r="E179" s="2" t="s">
        <v>361</v>
      </c>
      <c r="F179" s="2">
        <v>613830.0</v>
      </c>
      <c r="H179" s="2">
        <v>1462000.0</v>
      </c>
      <c r="I179" s="2">
        <v>925745.0</v>
      </c>
      <c r="J179" s="2">
        <v>536255.0</v>
      </c>
    </row>
    <row r="180">
      <c r="A180" s="2">
        <v>2024.0</v>
      </c>
      <c r="B180" s="1" t="s">
        <v>20</v>
      </c>
      <c r="C180" s="2" t="s">
        <v>358</v>
      </c>
      <c r="D180" s="2" t="s">
        <v>372</v>
      </c>
      <c r="E180" s="2" t="s">
        <v>25</v>
      </c>
      <c r="F180" s="2">
        <v>841958.0</v>
      </c>
      <c r="H180" s="2">
        <v>1235034.0</v>
      </c>
      <c r="I180" s="2">
        <v>442663.0</v>
      </c>
      <c r="J180" s="2">
        <v>792371.0</v>
      </c>
    </row>
    <row r="181">
      <c r="A181" s="2">
        <v>2024.0</v>
      </c>
      <c r="B181" s="1" t="s">
        <v>20</v>
      </c>
      <c r="C181" s="2" t="s">
        <v>358</v>
      </c>
      <c r="D181" s="2" t="s">
        <v>374</v>
      </c>
      <c r="E181" s="2" t="s">
        <v>25</v>
      </c>
      <c r="F181" s="2">
        <v>2787285.0</v>
      </c>
      <c r="H181" s="2">
        <v>3596779.0</v>
      </c>
      <c r="I181" s="2">
        <v>454358.0</v>
      </c>
      <c r="J181" s="2">
        <v>3142421.0</v>
      </c>
    </row>
    <row r="182">
      <c r="A182" s="2">
        <v>2024.0</v>
      </c>
      <c r="B182" s="1" t="s">
        <v>20</v>
      </c>
      <c r="C182" s="2" t="s">
        <v>358</v>
      </c>
      <c r="D182" s="2" t="s">
        <v>374</v>
      </c>
      <c r="E182" s="2" t="s">
        <v>361</v>
      </c>
      <c r="F182" s="2">
        <v>2503239.0</v>
      </c>
      <c r="H182" s="2">
        <v>2874594.0</v>
      </c>
      <c r="I182" s="2">
        <v>488567.0</v>
      </c>
      <c r="J182" s="2">
        <v>2386027.0</v>
      </c>
    </row>
    <row r="183">
      <c r="A183" s="2">
        <v>2024.0</v>
      </c>
      <c r="B183" s="1" t="s">
        <v>20</v>
      </c>
      <c r="C183" s="2" t="s">
        <v>358</v>
      </c>
      <c r="D183" s="2" t="s">
        <v>377</v>
      </c>
      <c r="E183" s="2" t="s">
        <v>25</v>
      </c>
      <c r="F183" s="2">
        <v>2337489.0</v>
      </c>
      <c r="H183" s="2">
        <v>3122172.0</v>
      </c>
      <c r="I183" s="2">
        <v>984812.0</v>
      </c>
      <c r="J183" s="2">
        <v>2137360.0</v>
      </c>
    </row>
    <row r="184">
      <c r="A184" s="2">
        <v>2024.0</v>
      </c>
      <c r="B184" s="1" t="s">
        <v>20</v>
      </c>
      <c r="C184" s="2" t="s">
        <v>358</v>
      </c>
      <c r="D184" s="2" t="s">
        <v>377</v>
      </c>
      <c r="E184" s="2" t="s">
        <v>296</v>
      </c>
      <c r="F184" s="2">
        <v>2502667.0</v>
      </c>
      <c r="H184" s="2">
        <v>5124181.0</v>
      </c>
      <c r="I184" s="2">
        <v>1588228.0</v>
      </c>
      <c r="J184" s="2">
        <v>3535953.0</v>
      </c>
    </row>
    <row r="185">
      <c r="A185" s="2">
        <v>2024.0</v>
      </c>
      <c r="B185" s="1" t="s">
        <v>20</v>
      </c>
      <c r="C185" s="2" t="s">
        <v>358</v>
      </c>
      <c r="D185" s="2" t="s">
        <v>380</v>
      </c>
      <c r="E185" s="2" t="s">
        <v>25</v>
      </c>
      <c r="F185" s="2">
        <v>1309945.0</v>
      </c>
      <c r="H185" s="2">
        <v>2146260.0</v>
      </c>
      <c r="I185" s="2">
        <v>981011.0</v>
      </c>
      <c r="J185" s="2">
        <v>1165249.0</v>
      </c>
    </row>
    <row r="186">
      <c r="A186" s="2">
        <v>2024.0</v>
      </c>
      <c r="B186" s="1" t="s">
        <v>20</v>
      </c>
      <c r="C186" s="2" t="s">
        <v>358</v>
      </c>
      <c r="D186" s="2" t="s">
        <v>380</v>
      </c>
      <c r="E186" s="2" t="s">
        <v>56</v>
      </c>
      <c r="F186" s="2">
        <v>1117037.0</v>
      </c>
      <c r="H186" s="2">
        <v>3714544.0</v>
      </c>
      <c r="I186" s="2">
        <v>1696532.0</v>
      </c>
      <c r="J186" s="2">
        <v>2018012.0</v>
      </c>
    </row>
    <row r="187">
      <c r="A187" s="2">
        <v>2024.0</v>
      </c>
      <c r="B187" s="1" t="s">
        <v>20</v>
      </c>
      <c r="C187" s="2" t="s">
        <v>358</v>
      </c>
      <c r="D187" s="2" t="s">
        <v>380</v>
      </c>
      <c r="E187" s="2" t="s">
        <v>32</v>
      </c>
      <c r="F187" s="2">
        <v>19808.0</v>
      </c>
      <c r="H187" s="2">
        <v>66293.0</v>
      </c>
      <c r="I187" s="2">
        <v>13300.0</v>
      </c>
      <c r="J187" s="2">
        <v>52993.0</v>
      </c>
    </row>
    <row r="188">
      <c r="A188" s="2">
        <v>2024.0</v>
      </c>
      <c r="B188" s="1" t="s">
        <v>20</v>
      </c>
      <c r="C188" s="2" t="s">
        <v>358</v>
      </c>
      <c r="D188" s="2" t="s">
        <v>384</v>
      </c>
      <c r="E188" s="2" t="s">
        <v>25</v>
      </c>
      <c r="F188" s="2">
        <v>4066446.0</v>
      </c>
      <c r="H188" s="2">
        <v>5078149.0</v>
      </c>
      <c r="I188" s="2">
        <v>1557001.0</v>
      </c>
      <c r="J188" s="2">
        <v>3521148.0</v>
      </c>
    </row>
    <row r="189">
      <c r="A189" s="2">
        <v>2024.0</v>
      </c>
      <c r="B189" s="1" t="s">
        <v>20</v>
      </c>
      <c r="C189" s="2" t="s">
        <v>358</v>
      </c>
      <c r="D189" s="2" t="s">
        <v>384</v>
      </c>
      <c r="E189" s="2" t="s">
        <v>32</v>
      </c>
      <c r="F189" s="2">
        <v>296761.0</v>
      </c>
      <c r="H189" s="2">
        <v>462460.0</v>
      </c>
      <c r="I189" s="2">
        <v>129500.0</v>
      </c>
      <c r="J189" s="2">
        <v>332960.0</v>
      </c>
    </row>
    <row r="190">
      <c r="A190" s="2">
        <v>2024.0</v>
      </c>
      <c r="B190" s="1" t="s">
        <v>20</v>
      </c>
      <c r="C190" s="2" t="s">
        <v>358</v>
      </c>
      <c r="D190" s="2" t="s">
        <v>384</v>
      </c>
      <c r="E190" s="2" t="s">
        <v>27</v>
      </c>
      <c r="F190" s="2">
        <v>222452.0</v>
      </c>
      <c r="H190" s="2">
        <v>913700.0</v>
      </c>
      <c r="I190" s="2">
        <v>789427.0</v>
      </c>
      <c r="J190" s="2">
        <v>124273.0</v>
      </c>
    </row>
    <row r="191">
      <c r="A191" s="2">
        <v>2024.0</v>
      </c>
      <c r="B191" s="1" t="s">
        <v>20</v>
      </c>
      <c r="C191" s="2" t="s">
        <v>358</v>
      </c>
      <c r="D191" s="2" t="s">
        <v>384</v>
      </c>
      <c r="E191" s="2" t="s">
        <v>388</v>
      </c>
      <c r="F191" s="2">
        <v>3998610.0</v>
      </c>
      <c r="H191" s="2">
        <v>6222843.0</v>
      </c>
      <c r="I191" s="2">
        <v>1789496.0</v>
      </c>
      <c r="J191" s="2">
        <v>4433347.0</v>
      </c>
    </row>
    <row r="192">
      <c r="A192" s="2">
        <v>2024.0</v>
      </c>
      <c r="B192" s="1" t="s">
        <v>20</v>
      </c>
      <c r="C192" s="2" t="s">
        <v>358</v>
      </c>
      <c r="D192" s="2" t="s">
        <v>390</v>
      </c>
      <c r="E192" s="2" t="s">
        <v>25</v>
      </c>
      <c r="F192" s="2">
        <v>2155059.0</v>
      </c>
      <c r="H192" s="2">
        <v>3310885.0</v>
      </c>
      <c r="I192" s="2">
        <v>858025.0</v>
      </c>
      <c r="J192" s="2">
        <v>2452860.0</v>
      </c>
    </row>
    <row r="193">
      <c r="A193" s="2">
        <v>2024.0</v>
      </c>
      <c r="B193" s="1" t="s">
        <v>20</v>
      </c>
      <c r="C193" s="2" t="s">
        <v>358</v>
      </c>
      <c r="D193" s="2" t="s">
        <v>390</v>
      </c>
      <c r="E193" s="2" t="s">
        <v>56</v>
      </c>
      <c r="F193" s="2">
        <v>2089386.0</v>
      </c>
      <c r="H193" s="2">
        <v>4662778.0</v>
      </c>
      <c r="I193" s="2">
        <v>2091613.0</v>
      </c>
      <c r="J193" s="2">
        <v>2571165.0</v>
      </c>
    </row>
    <row r="194">
      <c r="A194" s="2">
        <v>2024.0</v>
      </c>
      <c r="B194" s="1" t="s">
        <v>20</v>
      </c>
      <c r="C194" s="2" t="s">
        <v>358</v>
      </c>
      <c r="D194" s="2" t="s">
        <v>390</v>
      </c>
      <c r="E194" s="2" t="s">
        <v>32</v>
      </c>
      <c r="F194" s="2">
        <v>301396.0</v>
      </c>
      <c r="H194" s="2">
        <v>352586.0</v>
      </c>
      <c r="I194" s="2">
        <v>237170.0</v>
      </c>
      <c r="J194" s="2">
        <v>115416.0</v>
      </c>
    </row>
    <row r="195">
      <c r="A195" s="2">
        <v>2024.0</v>
      </c>
      <c r="B195" s="1" t="s">
        <v>20</v>
      </c>
      <c r="C195" s="2" t="s">
        <v>358</v>
      </c>
      <c r="D195" s="2" t="s">
        <v>393</v>
      </c>
      <c r="E195" s="2" t="s">
        <v>394</v>
      </c>
      <c r="F195" s="2">
        <v>2733172.0</v>
      </c>
      <c r="H195" s="2">
        <v>5654383.0</v>
      </c>
      <c r="I195" s="2">
        <v>1666934.0</v>
      </c>
      <c r="J195" s="2">
        <v>3987449.0</v>
      </c>
    </row>
    <row r="196">
      <c r="A196" s="2">
        <v>2024.0</v>
      </c>
      <c r="B196" s="1" t="s">
        <v>20</v>
      </c>
      <c r="C196" s="2" t="s">
        <v>358</v>
      </c>
      <c r="D196" s="2" t="s">
        <v>393</v>
      </c>
      <c r="E196" s="2" t="s">
        <v>27</v>
      </c>
      <c r="F196" s="2">
        <v>169136.0</v>
      </c>
      <c r="H196" s="2">
        <v>1704557.0</v>
      </c>
      <c r="I196" s="2">
        <v>1485288.0</v>
      </c>
      <c r="J196" s="2">
        <v>219269.0</v>
      </c>
    </row>
    <row r="197">
      <c r="A197" s="2">
        <v>2024.0</v>
      </c>
      <c r="B197" s="1" t="s">
        <v>20</v>
      </c>
      <c r="C197" s="2" t="s">
        <v>358</v>
      </c>
      <c r="D197" s="2" t="s">
        <v>393</v>
      </c>
      <c r="E197" s="2" t="s">
        <v>25</v>
      </c>
      <c r="F197" s="2">
        <v>2715279.0</v>
      </c>
      <c r="H197" s="2">
        <v>3377696.0</v>
      </c>
      <c r="I197" s="2">
        <v>1209285.0</v>
      </c>
      <c r="J197" s="2">
        <v>2168411.0</v>
      </c>
    </row>
    <row r="198">
      <c r="A198" s="2">
        <v>2024.0</v>
      </c>
      <c r="B198" s="1" t="s">
        <v>20</v>
      </c>
      <c r="C198" s="2" t="s">
        <v>358</v>
      </c>
      <c r="D198" s="2" t="s">
        <v>398</v>
      </c>
      <c r="E198" s="2" t="s">
        <v>27</v>
      </c>
      <c r="F198" s="2">
        <v>178807.0</v>
      </c>
      <c r="H198" s="2">
        <v>869264.0</v>
      </c>
      <c r="I198" s="2">
        <v>731841.0</v>
      </c>
      <c r="J198" s="2">
        <v>137423.0</v>
      </c>
    </row>
    <row r="199">
      <c r="A199" s="2">
        <v>2024.0</v>
      </c>
      <c r="B199" s="1" t="s">
        <v>20</v>
      </c>
      <c r="C199" s="2" t="s">
        <v>358</v>
      </c>
      <c r="D199" s="2" t="s">
        <v>398</v>
      </c>
      <c r="E199" s="2" t="s">
        <v>25</v>
      </c>
      <c r="F199" s="2">
        <v>1387477.0</v>
      </c>
      <c r="H199" s="2">
        <v>1850819.0</v>
      </c>
      <c r="I199" s="2">
        <v>679956.0</v>
      </c>
      <c r="J199" s="2">
        <v>1170863.0</v>
      </c>
    </row>
    <row r="200">
      <c r="A200" s="2">
        <v>2024.0</v>
      </c>
      <c r="B200" s="1" t="s">
        <v>20</v>
      </c>
      <c r="C200" s="2" t="s">
        <v>358</v>
      </c>
      <c r="D200" s="2" t="s">
        <v>398</v>
      </c>
      <c r="E200" s="2" t="s">
        <v>394</v>
      </c>
      <c r="F200" s="2">
        <v>1436490.0</v>
      </c>
      <c r="H200" s="2">
        <v>3581705.0</v>
      </c>
      <c r="I200" s="2">
        <v>1347418.0</v>
      </c>
      <c r="J200" s="2">
        <v>2234287.0</v>
      </c>
    </row>
    <row r="201">
      <c r="A201" s="2">
        <v>2024.0</v>
      </c>
      <c r="B201" s="1" t="s">
        <v>20</v>
      </c>
      <c r="C201" s="2" t="s">
        <v>358</v>
      </c>
      <c r="D201" s="2" t="s">
        <v>402</v>
      </c>
      <c r="E201" s="2" t="s">
        <v>403</v>
      </c>
      <c r="F201" s="2">
        <v>3695693.0</v>
      </c>
      <c r="H201" s="2">
        <v>5779868.0</v>
      </c>
      <c r="I201" s="2">
        <v>1270572.0</v>
      </c>
      <c r="J201" s="2">
        <v>4509296.0</v>
      </c>
    </row>
    <row r="202">
      <c r="A202" s="2">
        <v>2024.0</v>
      </c>
      <c r="B202" s="1" t="s">
        <v>20</v>
      </c>
      <c r="C202" s="2" t="s">
        <v>358</v>
      </c>
      <c r="D202" s="2" t="s">
        <v>402</v>
      </c>
      <c r="E202" s="2" t="s">
        <v>25</v>
      </c>
      <c r="F202" s="2">
        <v>3547020.0</v>
      </c>
      <c r="H202" s="2">
        <v>5098484.0</v>
      </c>
      <c r="I202" s="2">
        <v>635128.0</v>
      </c>
      <c r="J202" s="2">
        <v>4463356.0</v>
      </c>
    </row>
    <row r="203">
      <c r="A203" s="2">
        <v>2024.0</v>
      </c>
      <c r="B203" s="1" t="s">
        <v>20</v>
      </c>
      <c r="C203" s="2" t="s">
        <v>358</v>
      </c>
      <c r="D203" s="2" t="s">
        <v>402</v>
      </c>
      <c r="E203" s="2" t="s">
        <v>124</v>
      </c>
      <c r="F203" s="2">
        <v>104438.0</v>
      </c>
      <c r="H203" s="2">
        <v>1897253.0</v>
      </c>
      <c r="I203" s="2">
        <v>1850896.0</v>
      </c>
      <c r="J203" s="2">
        <v>46357.0</v>
      </c>
    </row>
    <row r="204">
      <c r="A204" s="2">
        <v>2024.0</v>
      </c>
      <c r="B204" s="1" t="s">
        <v>20</v>
      </c>
      <c r="C204" s="2" t="s">
        <v>358</v>
      </c>
      <c r="D204" s="2" t="s">
        <v>404</v>
      </c>
      <c r="E204" s="2" t="s">
        <v>25</v>
      </c>
      <c r="F204" s="2">
        <v>1876823.0</v>
      </c>
      <c r="H204" s="2">
        <v>3222350.0</v>
      </c>
      <c r="I204" s="2">
        <v>1391252.0</v>
      </c>
      <c r="J204" s="2">
        <v>1831098.0</v>
      </c>
    </row>
    <row r="205">
      <c r="A205" s="2">
        <v>2024.0</v>
      </c>
      <c r="B205" s="1" t="s">
        <v>20</v>
      </c>
      <c r="C205" s="2" t="s">
        <v>358</v>
      </c>
      <c r="D205" s="2" t="s">
        <v>404</v>
      </c>
      <c r="E205" s="2" t="s">
        <v>394</v>
      </c>
      <c r="F205" s="2">
        <v>1855075.0</v>
      </c>
      <c r="H205" s="2">
        <v>4483032.0</v>
      </c>
      <c r="I205" s="2">
        <v>1579163.0</v>
      </c>
      <c r="J205" s="2">
        <v>2903869.0</v>
      </c>
    </row>
    <row r="206">
      <c r="A206" s="2">
        <v>2024.0</v>
      </c>
      <c r="B206" s="1" t="s">
        <v>20</v>
      </c>
      <c r="C206" s="2" t="s">
        <v>358</v>
      </c>
      <c r="D206" s="2" t="s">
        <v>404</v>
      </c>
      <c r="E206" s="2" t="s">
        <v>124</v>
      </c>
      <c r="F206" s="2">
        <v>26992.0</v>
      </c>
      <c r="H206" s="2">
        <v>1122697.0</v>
      </c>
      <c r="I206" s="2">
        <v>768313.0</v>
      </c>
      <c r="J206" s="2">
        <v>354384.0</v>
      </c>
    </row>
    <row r="207">
      <c r="A207" s="2">
        <v>2024.0</v>
      </c>
      <c r="B207" s="1" t="s">
        <v>20</v>
      </c>
      <c r="C207" s="2" t="s">
        <v>358</v>
      </c>
      <c r="D207" s="2" t="s">
        <v>406</v>
      </c>
      <c r="E207" s="2" t="s">
        <v>27</v>
      </c>
      <c r="F207" s="2">
        <v>172111.0</v>
      </c>
      <c r="H207" s="2">
        <v>2312818.0</v>
      </c>
      <c r="I207" s="2">
        <v>2158178.0</v>
      </c>
      <c r="J207" s="2">
        <v>154640.0</v>
      </c>
    </row>
    <row r="208">
      <c r="A208" s="2">
        <v>2024.0</v>
      </c>
      <c r="B208" s="1" t="s">
        <v>20</v>
      </c>
      <c r="C208" s="2" t="s">
        <v>358</v>
      </c>
      <c r="D208" s="2" t="s">
        <v>406</v>
      </c>
      <c r="E208" s="2" t="s">
        <v>25</v>
      </c>
      <c r="F208" s="2">
        <v>3331671.0</v>
      </c>
      <c r="H208" s="2">
        <v>4901215.0</v>
      </c>
      <c r="I208" s="2">
        <v>1622624.0</v>
      </c>
      <c r="J208" s="2">
        <v>3278591.0</v>
      </c>
    </row>
    <row r="209">
      <c r="A209" s="2">
        <v>2024.0</v>
      </c>
      <c r="B209" s="1" t="s">
        <v>20</v>
      </c>
      <c r="C209" s="2" t="s">
        <v>358</v>
      </c>
      <c r="D209" s="2" t="s">
        <v>406</v>
      </c>
      <c r="E209" s="2" t="s">
        <v>394</v>
      </c>
      <c r="F209" s="2">
        <v>4344899.0</v>
      </c>
      <c r="H209" s="2">
        <v>7048021.0</v>
      </c>
      <c r="I209" s="2">
        <v>2979390.0</v>
      </c>
      <c r="J209" s="2">
        <v>4068631.0</v>
      </c>
    </row>
    <row r="210">
      <c r="A210" s="2">
        <v>2024.0</v>
      </c>
      <c r="B210" s="1" t="s">
        <v>20</v>
      </c>
      <c r="C210" s="2" t="s">
        <v>358</v>
      </c>
      <c r="D210" s="2" t="s">
        <v>407</v>
      </c>
      <c r="E210" s="2" t="s">
        <v>32</v>
      </c>
      <c r="F210" s="2">
        <v>291000.0</v>
      </c>
      <c r="H210" s="2">
        <v>309296.0</v>
      </c>
      <c r="I210" s="2">
        <v>0.0</v>
      </c>
      <c r="J210" s="2">
        <v>309296.0</v>
      </c>
    </row>
    <row r="211">
      <c r="A211" s="2">
        <v>2024.0</v>
      </c>
      <c r="B211" s="1" t="s">
        <v>20</v>
      </c>
      <c r="C211" s="2" t="s">
        <v>358</v>
      </c>
      <c r="D211" s="2" t="s">
        <v>407</v>
      </c>
      <c r="E211" s="2" t="s">
        <v>25</v>
      </c>
      <c r="F211" s="2">
        <v>2045284.0</v>
      </c>
      <c r="H211" s="2">
        <v>3002421.0</v>
      </c>
      <c r="I211" s="2">
        <v>1277849.0</v>
      </c>
      <c r="J211" s="2">
        <v>1724572.0</v>
      </c>
    </row>
    <row r="212">
      <c r="A212" s="2">
        <v>2024.0</v>
      </c>
      <c r="B212" s="1" t="s">
        <v>20</v>
      </c>
      <c r="C212" s="2" t="s">
        <v>358</v>
      </c>
      <c r="D212" s="2" t="s">
        <v>407</v>
      </c>
      <c r="E212" s="2" t="s">
        <v>394</v>
      </c>
      <c r="F212" s="2">
        <v>2440534.0</v>
      </c>
      <c r="H212" s="2">
        <v>6545323.0</v>
      </c>
      <c r="I212" s="2">
        <v>4019525.0</v>
      </c>
      <c r="J212" s="2">
        <v>2525798.0</v>
      </c>
    </row>
    <row r="213">
      <c r="A213" s="2">
        <v>2024.0</v>
      </c>
      <c r="B213" s="1" t="s">
        <v>20</v>
      </c>
      <c r="C213" s="2" t="s">
        <v>358</v>
      </c>
      <c r="D213" s="2" t="s">
        <v>410</v>
      </c>
      <c r="E213" s="2" t="s">
        <v>25</v>
      </c>
      <c r="F213" s="2">
        <v>1705347.0</v>
      </c>
      <c r="H213" s="2">
        <v>3377380.0</v>
      </c>
      <c r="I213" s="2">
        <v>1482435.0</v>
      </c>
      <c r="J213" s="2">
        <v>1894945.0</v>
      </c>
    </row>
    <row r="214">
      <c r="A214" s="2">
        <v>2024.0</v>
      </c>
      <c r="B214" s="1" t="s">
        <v>20</v>
      </c>
      <c r="C214" s="2" t="s">
        <v>358</v>
      </c>
      <c r="D214" s="2" t="s">
        <v>410</v>
      </c>
      <c r="E214" s="2" t="s">
        <v>361</v>
      </c>
      <c r="F214" s="2">
        <v>2065526.0</v>
      </c>
      <c r="H214" s="2">
        <v>4881733.0</v>
      </c>
      <c r="I214" s="2">
        <v>2091711.0</v>
      </c>
      <c r="J214" s="2">
        <v>2790022.0</v>
      </c>
    </row>
    <row r="215">
      <c r="A215" s="2">
        <v>2024.0</v>
      </c>
      <c r="B215" s="1" t="s">
        <v>20</v>
      </c>
      <c r="C215" s="2" t="s">
        <v>358</v>
      </c>
      <c r="D215" s="2" t="s">
        <v>410</v>
      </c>
      <c r="E215" s="2" t="s">
        <v>69</v>
      </c>
      <c r="F215" s="2">
        <v>95324.0</v>
      </c>
      <c r="H215" s="2">
        <v>121218.0</v>
      </c>
      <c r="I215" s="2">
        <v>318.0</v>
      </c>
      <c r="J215" s="2">
        <v>120900.0</v>
      </c>
    </row>
    <row r="216">
      <c r="A216" s="2">
        <v>2024.0</v>
      </c>
      <c r="B216" s="1" t="s">
        <v>20</v>
      </c>
      <c r="C216" s="2" t="s">
        <v>358</v>
      </c>
      <c r="D216" s="2" t="s">
        <v>415</v>
      </c>
      <c r="E216" s="2" t="s">
        <v>25</v>
      </c>
      <c r="F216" s="2">
        <v>2426728.0</v>
      </c>
      <c r="H216" s="2">
        <v>4167332.0</v>
      </c>
      <c r="I216" s="2">
        <v>1756878.0</v>
      </c>
      <c r="J216" s="2">
        <v>2410454.0</v>
      </c>
    </row>
    <row r="217">
      <c r="A217" s="2">
        <v>2024.0</v>
      </c>
      <c r="B217" s="1" t="s">
        <v>20</v>
      </c>
      <c r="C217" s="2" t="s">
        <v>358</v>
      </c>
      <c r="D217" s="2" t="s">
        <v>415</v>
      </c>
      <c r="E217" s="2" t="s">
        <v>56</v>
      </c>
      <c r="F217" s="2">
        <v>3196063.0</v>
      </c>
      <c r="H217" s="2">
        <v>5923464.0</v>
      </c>
      <c r="I217" s="2">
        <v>1242860.0</v>
      </c>
      <c r="J217" s="2">
        <v>4680604.0</v>
      </c>
    </row>
    <row r="218">
      <c r="A218" s="2">
        <v>2024.0</v>
      </c>
      <c r="B218" s="1" t="s">
        <v>20</v>
      </c>
      <c r="C218" s="2" t="s">
        <v>358</v>
      </c>
      <c r="D218" s="2" t="s">
        <v>415</v>
      </c>
      <c r="E218" s="2" t="s">
        <v>32</v>
      </c>
      <c r="F218" s="2">
        <v>40484.0</v>
      </c>
      <c r="H218" s="2">
        <v>322709.0</v>
      </c>
      <c r="I218" s="2">
        <v>303545.0</v>
      </c>
      <c r="J218" s="2">
        <v>19164.0</v>
      </c>
    </row>
    <row r="219">
      <c r="A219" s="2">
        <v>2024.0</v>
      </c>
      <c r="B219" s="1" t="s">
        <v>20</v>
      </c>
      <c r="C219" s="2" t="s">
        <v>417</v>
      </c>
      <c r="D219" s="2" t="s">
        <v>418</v>
      </c>
      <c r="E219" s="2" t="s">
        <v>25</v>
      </c>
      <c r="F219" s="2">
        <v>1906912.0</v>
      </c>
      <c r="H219" s="2">
        <v>2933046.0</v>
      </c>
      <c r="I219" s="2">
        <v>1965232.0</v>
      </c>
      <c r="J219" s="2">
        <v>967814.0</v>
      </c>
    </row>
    <row r="220">
      <c r="A220" s="2">
        <v>2024.0</v>
      </c>
      <c r="B220" s="1" t="s">
        <v>20</v>
      </c>
      <c r="C220" s="2" t="s">
        <v>417</v>
      </c>
      <c r="D220" s="2" t="s">
        <v>418</v>
      </c>
      <c r="E220" s="2" t="s">
        <v>32</v>
      </c>
      <c r="F220" s="2">
        <v>84271.0</v>
      </c>
      <c r="H220" s="2">
        <v>115565.0</v>
      </c>
      <c r="I220" s="2">
        <v>56820.0</v>
      </c>
      <c r="J220" s="2">
        <v>58745.0</v>
      </c>
    </row>
    <row r="221">
      <c r="A221" s="2">
        <v>2024.0</v>
      </c>
      <c r="B221" s="1" t="s">
        <v>20</v>
      </c>
      <c r="C221" s="2" t="s">
        <v>417</v>
      </c>
      <c r="D221" s="2" t="s">
        <v>418</v>
      </c>
      <c r="E221" s="2" t="s">
        <v>56</v>
      </c>
      <c r="F221" s="2">
        <v>2069907.0</v>
      </c>
      <c r="H221" s="2">
        <v>4331802.0</v>
      </c>
      <c r="I221" s="2">
        <v>2051426.0</v>
      </c>
      <c r="J221" s="2">
        <v>2280376.0</v>
      </c>
    </row>
    <row r="222">
      <c r="A222" s="2">
        <v>2024.0</v>
      </c>
      <c r="B222" s="1" t="s">
        <v>20</v>
      </c>
      <c r="C222" s="2" t="s">
        <v>417</v>
      </c>
      <c r="D222" s="2" t="s">
        <v>422</v>
      </c>
      <c r="E222" s="2" t="s">
        <v>56</v>
      </c>
      <c r="F222" s="2">
        <v>845834.0</v>
      </c>
      <c r="H222" s="2">
        <v>3745337.0</v>
      </c>
      <c r="I222" s="2">
        <v>2767327.0</v>
      </c>
      <c r="J222" s="2">
        <v>978010.0</v>
      </c>
    </row>
    <row r="223">
      <c r="A223" s="2">
        <v>2024.0</v>
      </c>
      <c r="B223" s="1" t="s">
        <v>20</v>
      </c>
      <c r="C223" s="2" t="s">
        <v>417</v>
      </c>
      <c r="D223" s="2" t="s">
        <v>422</v>
      </c>
      <c r="E223" s="2" t="s">
        <v>32</v>
      </c>
      <c r="F223" s="2">
        <v>6495.0</v>
      </c>
      <c r="H223" s="2">
        <v>23707.0</v>
      </c>
      <c r="I223" s="2">
        <v>5000.0</v>
      </c>
      <c r="J223" s="2">
        <v>18707.0</v>
      </c>
    </row>
    <row r="224">
      <c r="A224" s="2">
        <v>2024.0</v>
      </c>
      <c r="B224" s="1" t="s">
        <v>20</v>
      </c>
      <c r="C224" s="2" t="s">
        <v>417</v>
      </c>
      <c r="D224" s="2" t="s">
        <v>422</v>
      </c>
      <c r="E224" s="2" t="s">
        <v>25</v>
      </c>
      <c r="F224" s="2">
        <v>963526.0</v>
      </c>
      <c r="H224" s="2">
        <v>1539319.0</v>
      </c>
      <c r="I224" s="2">
        <v>723304.0</v>
      </c>
      <c r="J224" s="2">
        <v>816015.0</v>
      </c>
    </row>
    <row r="225">
      <c r="A225" s="2">
        <v>2024.0</v>
      </c>
      <c r="B225" s="1" t="s">
        <v>20</v>
      </c>
      <c r="C225" s="2" t="s">
        <v>417</v>
      </c>
      <c r="D225" s="2" t="s">
        <v>424</v>
      </c>
      <c r="E225" s="2" t="s">
        <v>25</v>
      </c>
      <c r="F225" s="2">
        <v>2197791.0</v>
      </c>
      <c r="H225" s="2">
        <v>3347124.0</v>
      </c>
      <c r="I225" s="2">
        <v>1171991.0</v>
      </c>
      <c r="J225" s="2">
        <v>2175133.0</v>
      </c>
    </row>
    <row r="226">
      <c r="A226" s="2">
        <v>2024.0</v>
      </c>
      <c r="B226" s="1" t="s">
        <v>20</v>
      </c>
      <c r="C226" s="2" t="s">
        <v>417</v>
      </c>
      <c r="D226" s="2" t="s">
        <v>424</v>
      </c>
      <c r="E226" s="2" t="s">
        <v>56</v>
      </c>
      <c r="F226" s="2">
        <v>2543600.0</v>
      </c>
      <c r="H226" s="2">
        <v>6006639.0</v>
      </c>
      <c r="I226" s="2">
        <v>2354817.0</v>
      </c>
      <c r="J226" s="2">
        <v>3651822.0</v>
      </c>
    </row>
    <row r="227">
      <c r="A227" s="2">
        <v>2024.0</v>
      </c>
      <c r="B227" s="1" t="s">
        <v>20</v>
      </c>
      <c r="C227" s="2" t="s">
        <v>417</v>
      </c>
      <c r="D227" s="2" t="s">
        <v>424</v>
      </c>
      <c r="E227" s="2" t="s">
        <v>32</v>
      </c>
      <c r="F227" s="2">
        <v>164659.0</v>
      </c>
      <c r="H227" s="2">
        <v>406235.0</v>
      </c>
      <c r="I227" s="2">
        <v>189932.0</v>
      </c>
      <c r="J227" s="2">
        <v>216303.0</v>
      </c>
    </row>
    <row r="228">
      <c r="A228" s="2">
        <v>2024.0</v>
      </c>
      <c r="B228" s="1" t="s">
        <v>20</v>
      </c>
      <c r="C228" s="2" t="s">
        <v>417</v>
      </c>
      <c r="D228" s="2" t="s">
        <v>417</v>
      </c>
      <c r="E228" s="2" t="s">
        <v>25</v>
      </c>
      <c r="F228" s="2">
        <v>2537565.0</v>
      </c>
      <c r="H228" s="2">
        <v>3722460.0</v>
      </c>
      <c r="I228" s="2">
        <v>1708194.0</v>
      </c>
      <c r="J228" s="2">
        <v>2014266.0</v>
      </c>
    </row>
    <row r="229">
      <c r="A229" s="2">
        <v>2024.0</v>
      </c>
      <c r="B229" s="1" t="s">
        <v>20</v>
      </c>
      <c r="C229" s="2" t="s">
        <v>417</v>
      </c>
      <c r="D229" s="2" t="s">
        <v>417</v>
      </c>
      <c r="E229" s="2" t="s">
        <v>32</v>
      </c>
      <c r="F229" s="2">
        <v>293274.0</v>
      </c>
      <c r="H229" s="2">
        <v>415930.0</v>
      </c>
      <c r="I229" s="2">
        <v>181940.0</v>
      </c>
      <c r="J229" s="2">
        <v>233990.0</v>
      </c>
    </row>
    <row r="230">
      <c r="A230" s="2">
        <v>2024.0</v>
      </c>
      <c r="B230" s="1" t="s">
        <v>20</v>
      </c>
      <c r="C230" s="2" t="s">
        <v>417</v>
      </c>
      <c r="D230" s="2" t="s">
        <v>417</v>
      </c>
      <c r="E230" s="2" t="s">
        <v>56</v>
      </c>
      <c r="F230" s="2">
        <v>3172542.0</v>
      </c>
      <c r="H230" s="2">
        <v>6669527.0</v>
      </c>
      <c r="I230" s="2">
        <v>2967584.0</v>
      </c>
      <c r="J230" s="2">
        <v>3701943.0</v>
      </c>
    </row>
    <row r="231">
      <c r="A231" s="2">
        <v>2024.0</v>
      </c>
      <c r="B231" s="1" t="s">
        <v>20</v>
      </c>
      <c r="C231" s="2" t="s">
        <v>435</v>
      </c>
      <c r="D231" s="2" t="s">
        <v>436</v>
      </c>
      <c r="E231" s="2" t="s">
        <v>25</v>
      </c>
      <c r="F231" s="2">
        <v>3605683.0</v>
      </c>
      <c r="H231" s="2">
        <v>5304526.0</v>
      </c>
      <c r="I231" s="2">
        <v>300000.0</v>
      </c>
      <c r="J231" s="2">
        <v>5004526.0</v>
      </c>
    </row>
    <row r="232">
      <c r="A232" s="2">
        <v>2024.0</v>
      </c>
      <c r="B232" s="1" t="s">
        <v>20</v>
      </c>
      <c r="C232" s="2" t="s">
        <v>435</v>
      </c>
      <c r="D232" s="2" t="s">
        <v>436</v>
      </c>
      <c r="E232" s="2" t="s">
        <v>56</v>
      </c>
      <c r="F232" s="2">
        <v>3239919.0</v>
      </c>
      <c r="H232" s="2">
        <v>4619722.0</v>
      </c>
      <c r="I232" s="2">
        <v>130000.0</v>
      </c>
      <c r="J232" s="2">
        <v>4489722.0</v>
      </c>
    </row>
    <row r="233">
      <c r="A233" s="2">
        <v>2024.0</v>
      </c>
      <c r="B233" s="1" t="s">
        <v>20</v>
      </c>
      <c r="C233" s="2" t="s">
        <v>435</v>
      </c>
      <c r="D233" s="2" t="s">
        <v>436</v>
      </c>
      <c r="E233" s="2" t="s">
        <v>32</v>
      </c>
      <c r="F233" s="2">
        <v>934741.0</v>
      </c>
      <c r="H233" s="2">
        <v>1242725.0</v>
      </c>
      <c r="I233" s="2">
        <v>345968.0</v>
      </c>
      <c r="J233" s="2">
        <v>896757.0</v>
      </c>
    </row>
    <row r="234">
      <c r="A234" s="2">
        <v>2024.0</v>
      </c>
      <c r="B234" s="1" t="s">
        <v>20</v>
      </c>
      <c r="C234" s="2" t="s">
        <v>435</v>
      </c>
      <c r="D234" s="2" t="s">
        <v>435</v>
      </c>
      <c r="E234" s="2" t="s">
        <v>25</v>
      </c>
      <c r="F234" s="2">
        <v>5453427.0</v>
      </c>
      <c r="H234" s="2">
        <v>8042758.0</v>
      </c>
      <c r="I234" s="2">
        <v>193420.0</v>
      </c>
      <c r="J234" s="2">
        <v>7849338.0</v>
      </c>
    </row>
    <row r="235">
      <c r="A235" s="2">
        <v>2024.0</v>
      </c>
      <c r="B235" s="1" t="s">
        <v>20</v>
      </c>
      <c r="C235" s="2" t="s">
        <v>435</v>
      </c>
      <c r="D235" s="2" t="s">
        <v>435</v>
      </c>
      <c r="E235" s="2" t="s">
        <v>32</v>
      </c>
      <c r="F235" s="2">
        <v>799344.0</v>
      </c>
      <c r="H235" s="2">
        <v>1077791.0</v>
      </c>
      <c r="I235" s="2">
        <v>128325.0</v>
      </c>
      <c r="J235" s="2">
        <v>949466.0</v>
      </c>
    </row>
    <row r="236">
      <c r="A236" s="2">
        <v>2024.0</v>
      </c>
      <c r="B236" s="1" t="s">
        <v>20</v>
      </c>
      <c r="C236" s="2" t="s">
        <v>435</v>
      </c>
      <c r="D236" s="2" t="s">
        <v>435</v>
      </c>
      <c r="E236" s="2" t="s">
        <v>92</v>
      </c>
      <c r="F236" s="2">
        <v>4990290.0</v>
      </c>
      <c r="H236" s="2">
        <v>8643720.0</v>
      </c>
      <c r="I236" s="2">
        <v>1535794.0</v>
      </c>
      <c r="J236" s="2">
        <v>7107926.0</v>
      </c>
    </row>
    <row r="237">
      <c r="A237" s="2">
        <v>2024.0</v>
      </c>
      <c r="B237" s="1" t="s">
        <v>20</v>
      </c>
      <c r="C237" s="2" t="s">
        <v>435</v>
      </c>
      <c r="D237" s="2" t="s">
        <v>442</v>
      </c>
      <c r="E237" s="2" t="s">
        <v>32</v>
      </c>
      <c r="F237" s="2">
        <v>34956.0</v>
      </c>
      <c r="H237" s="2">
        <v>67580.0</v>
      </c>
      <c r="I237" s="2">
        <v>57146.0</v>
      </c>
      <c r="J237" s="2">
        <v>10434.0</v>
      </c>
    </row>
    <row r="238">
      <c r="A238" s="2">
        <v>2024.0</v>
      </c>
      <c r="B238" s="1" t="s">
        <v>20</v>
      </c>
      <c r="C238" s="2" t="s">
        <v>435</v>
      </c>
      <c r="D238" s="2" t="s">
        <v>442</v>
      </c>
      <c r="E238" s="2" t="s">
        <v>279</v>
      </c>
      <c r="F238" s="2">
        <v>886709.0</v>
      </c>
      <c r="H238" s="2">
        <v>2939126.0</v>
      </c>
      <c r="I238" s="2">
        <v>1882998.0</v>
      </c>
      <c r="J238" s="2">
        <v>1056128.0</v>
      </c>
    </row>
    <row r="239">
      <c r="A239" s="2">
        <v>2024.0</v>
      </c>
      <c r="B239" s="1" t="s">
        <v>20</v>
      </c>
      <c r="C239" s="2" t="s">
        <v>435</v>
      </c>
      <c r="D239" s="2" t="s">
        <v>442</v>
      </c>
      <c r="E239" s="2" t="s">
        <v>25</v>
      </c>
      <c r="F239" s="2">
        <v>883157.0</v>
      </c>
      <c r="H239" s="2">
        <v>1381457.0</v>
      </c>
      <c r="I239" s="2">
        <v>37000.0</v>
      </c>
      <c r="J239" s="2">
        <v>1344457.0</v>
      </c>
    </row>
    <row r="240">
      <c r="A240" s="2">
        <v>2024.0</v>
      </c>
      <c r="B240" s="1" t="s">
        <v>20</v>
      </c>
      <c r="C240" s="2" t="s">
        <v>435</v>
      </c>
      <c r="D240" s="2" t="s">
        <v>443</v>
      </c>
      <c r="E240" s="2" t="s">
        <v>25</v>
      </c>
      <c r="F240" s="2">
        <v>1841029.0</v>
      </c>
      <c r="H240" s="2">
        <v>3405174.0</v>
      </c>
      <c r="I240" s="2">
        <v>1465847.0</v>
      </c>
      <c r="J240" s="2">
        <v>1939327.0</v>
      </c>
    </row>
    <row r="241">
      <c r="A241" s="2">
        <v>2024.0</v>
      </c>
      <c r="B241" s="1" t="s">
        <v>20</v>
      </c>
      <c r="C241" s="2" t="s">
        <v>435</v>
      </c>
      <c r="D241" s="2" t="s">
        <v>443</v>
      </c>
      <c r="E241" s="2" t="s">
        <v>181</v>
      </c>
      <c r="F241" s="2">
        <v>1146499.0</v>
      </c>
      <c r="H241" s="2">
        <v>3221255.0</v>
      </c>
      <c r="I241" s="2">
        <v>1404295.0</v>
      </c>
      <c r="J241" s="2">
        <v>1816960.0</v>
      </c>
    </row>
    <row r="242">
      <c r="A242" s="2">
        <v>2024.0</v>
      </c>
      <c r="B242" s="1" t="s">
        <v>20</v>
      </c>
      <c r="C242" s="2" t="s">
        <v>441</v>
      </c>
      <c r="D242" s="2" t="s">
        <v>446</v>
      </c>
      <c r="E242" s="2" t="s">
        <v>92</v>
      </c>
      <c r="F242" s="2">
        <v>2781767.0</v>
      </c>
      <c r="H242" s="2">
        <v>6353417.0</v>
      </c>
      <c r="I242" s="2">
        <v>3793067.0</v>
      </c>
      <c r="J242" s="2">
        <v>2560350.0</v>
      </c>
    </row>
    <row r="243">
      <c r="A243" s="2">
        <v>2024.0</v>
      </c>
      <c r="B243" s="1" t="s">
        <v>20</v>
      </c>
      <c r="C243" s="2" t="s">
        <v>441</v>
      </c>
      <c r="D243" s="2" t="s">
        <v>446</v>
      </c>
      <c r="E243" s="2" t="s">
        <v>25</v>
      </c>
      <c r="F243" s="2">
        <v>934033.0</v>
      </c>
      <c r="H243" s="2">
        <v>1742261.0</v>
      </c>
      <c r="I243" s="2">
        <v>552240.0</v>
      </c>
      <c r="J243" s="2">
        <v>1190021.0</v>
      </c>
    </row>
    <row r="244">
      <c r="A244" s="2">
        <v>2024.0</v>
      </c>
      <c r="B244" s="1" t="s">
        <v>20</v>
      </c>
      <c r="C244" s="2" t="s">
        <v>441</v>
      </c>
      <c r="D244" s="2" t="s">
        <v>446</v>
      </c>
      <c r="E244" s="2" t="s">
        <v>32</v>
      </c>
      <c r="F244" s="2">
        <v>66782.0</v>
      </c>
      <c r="H244" s="2">
        <v>151540.0</v>
      </c>
      <c r="I244" s="2">
        <v>108117.0</v>
      </c>
      <c r="J244" s="2">
        <v>43423.0</v>
      </c>
    </row>
    <row r="245">
      <c r="A245" s="2">
        <v>2024.0</v>
      </c>
      <c r="B245" s="1" t="s">
        <v>20</v>
      </c>
      <c r="C245" s="2" t="s">
        <v>441</v>
      </c>
      <c r="D245" s="2" t="s">
        <v>449</v>
      </c>
      <c r="E245" s="2" t="s">
        <v>32</v>
      </c>
      <c r="F245" s="2">
        <v>209868.0</v>
      </c>
      <c r="H245" s="2">
        <v>236738.0</v>
      </c>
      <c r="I245" s="2">
        <v>57950.0</v>
      </c>
      <c r="J245" s="2">
        <v>178788.0</v>
      </c>
    </row>
    <row r="246">
      <c r="A246" s="2">
        <v>2024.0</v>
      </c>
      <c r="B246" s="1" t="s">
        <v>20</v>
      </c>
      <c r="C246" s="2" t="s">
        <v>441</v>
      </c>
      <c r="D246" s="2" t="s">
        <v>449</v>
      </c>
      <c r="E246" s="2" t="s">
        <v>25</v>
      </c>
      <c r="F246" s="2">
        <v>771137.0</v>
      </c>
      <c r="H246" s="2">
        <v>1536687.0</v>
      </c>
      <c r="I246" s="2">
        <v>638875.0</v>
      </c>
      <c r="J246" s="2">
        <v>897812.0</v>
      </c>
    </row>
    <row r="247">
      <c r="A247" s="2">
        <v>2024.0</v>
      </c>
      <c r="B247" s="1" t="s">
        <v>20</v>
      </c>
      <c r="C247" s="2" t="s">
        <v>441</v>
      </c>
      <c r="D247" s="2" t="s">
        <v>449</v>
      </c>
      <c r="E247" s="2" t="s">
        <v>76</v>
      </c>
      <c r="F247" s="2">
        <v>192363.0</v>
      </c>
      <c r="H247" s="2">
        <v>192363.0</v>
      </c>
      <c r="I247" s="2">
        <v>192363.0</v>
      </c>
      <c r="J247" s="2">
        <v>0.0</v>
      </c>
    </row>
    <row r="248">
      <c r="A248" s="2">
        <v>2024.0</v>
      </c>
      <c r="B248" s="1" t="s">
        <v>20</v>
      </c>
      <c r="C248" s="2" t="s">
        <v>441</v>
      </c>
      <c r="D248" s="2" t="s">
        <v>449</v>
      </c>
      <c r="E248" s="2" t="s">
        <v>76</v>
      </c>
      <c r="F248" s="2">
        <v>100642.0</v>
      </c>
      <c r="H248" s="2">
        <v>293005.0</v>
      </c>
      <c r="I248" s="2">
        <v>0.0</v>
      </c>
      <c r="J248" s="2">
        <v>293005.0</v>
      </c>
    </row>
    <row r="249">
      <c r="A249" s="2">
        <v>2024.0</v>
      </c>
      <c r="B249" s="1" t="s">
        <v>20</v>
      </c>
      <c r="C249" s="2" t="s">
        <v>441</v>
      </c>
      <c r="D249" s="2" t="s">
        <v>449</v>
      </c>
      <c r="E249" s="2" t="s">
        <v>27</v>
      </c>
      <c r="F249" s="2">
        <v>241481.0</v>
      </c>
      <c r="H249" s="2">
        <v>1483342.0</v>
      </c>
      <c r="I249" s="2">
        <v>1453334.0</v>
      </c>
      <c r="J249" s="2">
        <v>30008.0</v>
      </c>
    </row>
    <row r="250">
      <c r="A250" s="2">
        <v>2024.0</v>
      </c>
      <c r="B250" s="1" t="s">
        <v>20</v>
      </c>
      <c r="C250" s="2" t="s">
        <v>441</v>
      </c>
      <c r="D250" s="2" t="s">
        <v>449</v>
      </c>
      <c r="E250" s="2" t="s">
        <v>27</v>
      </c>
      <c r="F250" s="2">
        <v>1068329.0</v>
      </c>
      <c r="H250" s="2">
        <v>1964345.0</v>
      </c>
      <c r="I250" s="2">
        <v>1261507.0</v>
      </c>
      <c r="J250" s="2">
        <v>702838.0</v>
      </c>
    </row>
    <row r="251">
      <c r="A251" s="2">
        <v>2024.0</v>
      </c>
      <c r="B251" s="1" t="s">
        <v>20</v>
      </c>
      <c r="C251" s="2" t="s">
        <v>441</v>
      </c>
      <c r="D251" s="2" t="s">
        <v>449</v>
      </c>
      <c r="E251" s="2" t="s">
        <v>457</v>
      </c>
      <c r="F251" s="2">
        <v>182990.0</v>
      </c>
      <c r="H251" s="2">
        <v>182990.0</v>
      </c>
      <c r="I251" s="2">
        <v>20306.0</v>
      </c>
      <c r="J251" s="2">
        <v>162684.0</v>
      </c>
    </row>
    <row r="252">
      <c r="A252" s="2">
        <v>2024.0</v>
      </c>
      <c r="B252" s="1" t="s">
        <v>20</v>
      </c>
      <c r="C252" s="2" t="s">
        <v>441</v>
      </c>
      <c r="D252" s="2" t="s">
        <v>449</v>
      </c>
      <c r="E252" s="2" t="s">
        <v>457</v>
      </c>
      <c r="F252" s="2">
        <v>688.0</v>
      </c>
      <c r="H252" s="2">
        <v>688.0</v>
      </c>
      <c r="I252" s="2">
        <v>0.0</v>
      </c>
      <c r="J252" s="2">
        <v>688.0</v>
      </c>
    </row>
    <row r="253">
      <c r="A253" s="2">
        <v>2024.0</v>
      </c>
      <c r="B253" s="1" t="s">
        <v>20</v>
      </c>
      <c r="C253" s="2" t="s">
        <v>441</v>
      </c>
      <c r="D253" s="2" t="s">
        <v>449</v>
      </c>
      <c r="E253" s="2" t="s">
        <v>459</v>
      </c>
      <c r="F253" s="2">
        <v>548000.0</v>
      </c>
      <c r="H253" s="2">
        <v>1252000.0</v>
      </c>
      <c r="I253" s="2">
        <v>538485.0</v>
      </c>
      <c r="J253" s="2">
        <v>713515.0</v>
      </c>
    </row>
    <row r="254">
      <c r="A254" s="2">
        <v>2024.0</v>
      </c>
      <c r="B254" s="1" t="s">
        <v>20</v>
      </c>
      <c r="C254" s="2" t="s">
        <v>441</v>
      </c>
      <c r="D254" s="2" t="s">
        <v>449</v>
      </c>
      <c r="E254" s="2" t="s">
        <v>460</v>
      </c>
      <c r="F254" s="2">
        <v>5115.0</v>
      </c>
      <c r="H254" s="2">
        <v>5322.0</v>
      </c>
      <c r="I254" s="2">
        <v>0.0</v>
      </c>
      <c r="J254" s="2">
        <v>5322.0</v>
      </c>
    </row>
    <row r="255">
      <c r="A255" s="2">
        <v>2024.0</v>
      </c>
      <c r="B255" s="1" t="s">
        <v>20</v>
      </c>
      <c r="C255" s="2" t="s">
        <v>441</v>
      </c>
      <c r="D255" s="2" t="s">
        <v>449</v>
      </c>
      <c r="E255" s="2" t="s">
        <v>114</v>
      </c>
      <c r="F255" s="2">
        <v>7337.0</v>
      </c>
      <c r="H255" s="2">
        <v>7633.0</v>
      </c>
      <c r="I255" s="2">
        <v>0.0</v>
      </c>
      <c r="J255" s="2">
        <v>7633.0</v>
      </c>
    </row>
    <row r="256">
      <c r="A256" s="2">
        <v>2024.0</v>
      </c>
      <c r="B256" s="1" t="s">
        <v>20</v>
      </c>
      <c r="C256" s="2" t="s">
        <v>441</v>
      </c>
      <c r="D256" s="2" t="s">
        <v>463</v>
      </c>
      <c r="E256" s="2" t="s">
        <v>32</v>
      </c>
      <c r="F256" s="2">
        <v>31251.0</v>
      </c>
      <c r="H256" s="2">
        <v>31251.0</v>
      </c>
      <c r="I256" s="2">
        <v>19667.0</v>
      </c>
      <c r="J256" s="2">
        <v>11584.0</v>
      </c>
    </row>
    <row r="257">
      <c r="A257" s="2">
        <v>2024.0</v>
      </c>
      <c r="B257" s="1" t="s">
        <v>20</v>
      </c>
      <c r="C257" s="2" t="s">
        <v>441</v>
      </c>
      <c r="D257" s="2" t="s">
        <v>463</v>
      </c>
      <c r="E257" s="2" t="s">
        <v>25</v>
      </c>
      <c r="F257" s="2">
        <v>1679479.0</v>
      </c>
      <c r="H257" s="2">
        <v>2511127.0</v>
      </c>
      <c r="I257" s="2">
        <v>733338.0</v>
      </c>
      <c r="J257" s="2">
        <v>1777789.0</v>
      </c>
    </row>
    <row r="258">
      <c r="A258" s="2">
        <v>2024.0</v>
      </c>
      <c r="B258" s="1" t="s">
        <v>20</v>
      </c>
      <c r="C258" s="2" t="s">
        <v>441</v>
      </c>
      <c r="D258" s="2" t="s">
        <v>463</v>
      </c>
      <c r="E258" s="2" t="s">
        <v>76</v>
      </c>
      <c r="F258" s="2">
        <v>657921.0</v>
      </c>
      <c r="H258" s="2">
        <v>657921.0</v>
      </c>
      <c r="I258" s="2">
        <v>633921.0</v>
      </c>
      <c r="J258" s="2">
        <v>24000.0</v>
      </c>
    </row>
    <row r="259">
      <c r="A259" s="2">
        <v>2024.0</v>
      </c>
      <c r="B259" s="1" t="s">
        <v>20</v>
      </c>
      <c r="C259" s="2" t="s">
        <v>441</v>
      </c>
      <c r="D259" s="2" t="s">
        <v>463</v>
      </c>
      <c r="E259" s="2" t="s">
        <v>27</v>
      </c>
      <c r="H259" s="2">
        <v>571250.0</v>
      </c>
      <c r="I259" s="2">
        <v>524750.0</v>
      </c>
      <c r="J259" s="2">
        <v>46500.0</v>
      </c>
    </row>
    <row r="260">
      <c r="A260" s="2">
        <v>2024.0</v>
      </c>
      <c r="B260" s="1" t="s">
        <v>20</v>
      </c>
      <c r="C260" s="2" t="s">
        <v>441</v>
      </c>
      <c r="D260" s="2" t="s">
        <v>463</v>
      </c>
      <c r="E260" s="2" t="s">
        <v>56</v>
      </c>
      <c r="F260" s="2">
        <v>256129.0</v>
      </c>
      <c r="H260" s="2">
        <v>1132153.0</v>
      </c>
      <c r="I260" s="2">
        <v>548385.0</v>
      </c>
      <c r="J260" s="2">
        <v>583768.0</v>
      </c>
    </row>
    <row r="261">
      <c r="A261" s="2">
        <v>2024.0</v>
      </c>
      <c r="B261" s="1" t="s">
        <v>20</v>
      </c>
      <c r="C261" s="2" t="s">
        <v>441</v>
      </c>
      <c r="D261" s="2" t="s">
        <v>464</v>
      </c>
      <c r="E261" s="2" t="s">
        <v>27</v>
      </c>
      <c r="F261" s="2">
        <v>538449.0</v>
      </c>
      <c r="H261" s="2">
        <v>2098976.0</v>
      </c>
      <c r="I261" s="2">
        <v>1661862.0</v>
      </c>
      <c r="J261" s="2">
        <v>437114.0</v>
      </c>
    </row>
    <row r="262">
      <c r="A262" s="2">
        <v>2024.0</v>
      </c>
      <c r="B262" s="1" t="s">
        <v>20</v>
      </c>
      <c r="C262" s="2" t="s">
        <v>441</v>
      </c>
      <c r="D262" s="2" t="s">
        <v>464</v>
      </c>
      <c r="E262" s="2" t="s">
        <v>457</v>
      </c>
      <c r="F262" s="2">
        <v>313496.0</v>
      </c>
      <c r="H262" s="2">
        <v>313496.0</v>
      </c>
      <c r="I262" s="2">
        <v>313496.0</v>
      </c>
      <c r="J262" s="2">
        <v>0.0</v>
      </c>
    </row>
    <row r="263">
      <c r="A263" s="2">
        <v>2024.0</v>
      </c>
      <c r="B263" s="1" t="s">
        <v>20</v>
      </c>
      <c r="C263" s="2" t="s">
        <v>441</v>
      </c>
      <c r="D263" s="2" t="s">
        <v>464</v>
      </c>
      <c r="E263" s="2" t="s">
        <v>78</v>
      </c>
      <c r="F263" s="2">
        <v>848000.0</v>
      </c>
      <c r="H263" s="2">
        <v>1796047.0</v>
      </c>
      <c r="I263" s="2">
        <v>248148.0</v>
      </c>
      <c r="J263" s="2">
        <v>1547899.0</v>
      </c>
    </row>
    <row r="264">
      <c r="A264" s="2">
        <v>2024.0</v>
      </c>
      <c r="B264" s="1" t="s">
        <v>20</v>
      </c>
      <c r="C264" s="2" t="s">
        <v>441</v>
      </c>
      <c r="D264" s="2" t="s">
        <v>464</v>
      </c>
      <c r="E264" s="2" t="s">
        <v>25</v>
      </c>
      <c r="F264" s="2">
        <v>1725322.0</v>
      </c>
      <c r="H264" s="2">
        <v>2388561.0</v>
      </c>
      <c r="I264" s="2">
        <v>430000.0</v>
      </c>
      <c r="J264" s="2">
        <v>1958561.0</v>
      </c>
    </row>
    <row r="265">
      <c r="A265" s="2">
        <v>2024.0</v>
      </c>
      <c r="B265" s="1" t="s">
        <v>20</v>
      </c>
      <c r="C265" s="2" t="s">
        <v>441</v>
      </c>
      <c r="D265" s="2" t="s">
        <v>464</v>
      </c>
      <c r="E265" s="2" t="s">
        <v>32</v>
      </c>
      <c r="F265" s="2">
        <v>531654.0</v>
      </c>
      <c r="H265" s="2">
        <v>842740.0</v>
      </c>
      <c r="I265" s="2">
        <v>743836.0</v>
      </c>
      <c r="J265" s="2">
        <v>98904.0</v>
      </c>
    </row>
    <row r="266">
      <c r="A266" s="2">
        <v>2024.0</v>
      </c>
      <c r="B266" s="1" t="s">
        <v>20</v>
      </c>
      <c r="C266" s="2" t="s">
        <v>441</v>
      </c>
      <c r="D266" s="2" t="s">
        <v>467</v>
      </c>
      <c r="E266" s="2" t="s">
        <v>32</v>
      </c>
      <c r="F266" s="2">
        <v>1192489.0</v>
      </c>
      <c r="H266" s="2">
        <v>4590586.0</v>
      </c>
      <c r="I266" s="2">
        <v>3431286.0</v>
      </c>
      <c r="J266" s="2">
        <v>1159300.0</v>
      </c>
    </row>
    <row r="267">
      <c r="A267" s="2">
        <v>2024.0</v>
      </c>
      <c r="B267" s="1" t="s">
        <v>20</v>
      </c>
      <c r="C267" s="2" t="s">
        <v>441</v>
      </c>
      <c r="D267" s="2" t="s">
        <v>467</v>
      </c>
      <c r="E267" s="2" t="s">
        <v>25</v>
      </c>
      <c r="F267" s="2">
        <v>1197678.0</v>
      </c>
      <c r="H267" s="2">
        <v>3036723.0</v>
      </c>
      <c r="I267" s="2">
        <v>1531402.0</v>
      </c>
      <c r="J267" s="2">
        <v>1505321.0</v>
      </c>
    </row>
    <row r="268">
      <c r="A268" s="2">
        <v>2024.0</v>
      </c>
      <c r="B268" s="1" t="s">
        <v>20</v>
      </c>
      <c r="C268" s="2" t="s">
        <v>441</v>
      </c>
      <c r="D268" s="2" t="s">
        <v>467</v>
      </c>
      <c r="E268" s="2" t="s">
        <v>27</v>
      </c>
      <c r="F268" s="2">
        <v>1192489.0</v>
      </c>
      <c r="H268" s="2">
        <v>4590586.0</v>
      </c>
      <c r="I268" s="2">
        <v>3431286.0</v>
      </c>
      <c r="J268" s="2">
        <v>1159300.0</v>
      </c>
    </row>
    <row r="269">
      <c r="A269" s="2">
        <v>2024.0</v>
      </c>
      <c r="B269" s="1" t="s">
        <v>20</v>
      </c>
      <c r="C269" s="2" t="s">
        <v>441</v>
      </c>
      <c r="D269" s="2" t="s">
        <v>467</v>
      </c>
      <c r="E269" s="2" t="s">
        <v>56</v>
      </c>
      <c r="F269" s="2">
        <v>1192489.0</v>
      </c>
      <c r="H269" s="2">
        <v>4590586.0</v>
      </c>
      <c r="I269" s="2">
        <v>3431286.0</v>
      </c>
      <c r="J269" s="2">
        <v>1159300.0</v>
      </c>
    </row>
    <row r="270">
      <c r="A270" s="2">
        <v>2024.0</v>
      </c>
      <c r="B270" s="1" t="s">
        <v>20</v>
      </c>
      <c r="C270" s="2" t="s">
        <v>441</v>
      </c>
      <c r="D270" s="2" t="s">
        <v>470</v>
      </c>
      <c r="E270" s="2" t="s">
        <v>32</v>
      </c>
      <c r="F270" s="2">
        <v>300267.0</v>
      </c>
      <c r="H270" s="2">
        <v>747611.0</v>
      </c>
      <c r="I270" s="2">
        <v>91750.0</v>
      </c>
      <c r="J270" s="2">
        <v>655861.0</v>
      </c>
    </row>
    <row r="271">
      <c r="A271" s="2">
        <v>2024.0</v>
      </c>
      <c r="B271" s="1" t="s">
        <v>20</v>
      </c>
      <c r="C271" s="2" t="s">
        <v>441</v>
      </c>
      <c r="D271" s="2" t="s">
        <v>470</v>
      </c>
      <c r="E271" s="2" t="s">
        <v>25</v>
      </c>
      <c r="F271" s="2">
        <v>1844836.0</v>
      </c>
      <c r="H271" s="2">
        <v>3047827.0</v>
      </c>
      <c r="I271" s="2">
        <v>368573.0</v>
      </c>
      <c r="J271" s="2">
        <v>2679254.0</v>
      </c>
    </row>
    <row r="272">
      <c r="A272" s="2">
        <v>2024.0</v>
      </c>
      <c r="B272" s="1" t="s">
        <v>20</v>
      </c>
      <c r="C272" s="2" t="s">
        <v>441</v>
      </c>
      <c r="D272" s="2" t="s">
        <v>470</v>
      </c>
      <c r="E272" s="2" t="s">
        <v>76</v>
      </c>
      <c r="F272" s="2">
        <v>761314.0</v>
      </c>
      <c r="H272" s="2">
        <v>761314.0</v>
      </c>
      <c r="I272" s="2">
        <v>0.0</v>
      </c>
      <c r="J272" s="2">
        <v>761314.0</v>
      </c>
    </row>
    <row r="273">
      <c r="A273" s="2">
        <v>2024.0</v>
      </c>
      <c r="B273" s="1" t="s">
        <v>20</v>
      </c>
      <c r="C273" s="2" t="s">
        <v>441</v>
      </c>
      <c r="D273" s="2" t="s">
        <v>470</v>
      </c>
      <c r="E273" s="2" t="s">
        <v>27</v>
      </c>
      <c r="F273" s="2">
        <v>13800.0</v>
      </c>
      <c r="H273" s="2">
        <v>2302592.0</v>
      </c>
      <c r="I273" s="2">
        <v>2116102.0</v>
      </c>
      <c r="J273" s="2">
        <v>186490.0</v>
      </c>
    </row>
    <row r="274">
      <c r="A274" s="2">
        <v>2024.0</v>
      </c>
      <c r="B274" s="1" t="s">
        <v>20</v>
      </c>
      <c r="C274" s="2" t="s">
        <v>441</v>
      </c>
      <c r="D274" s="2" t="s">
        <v>470</v>
      </c>
      <c r="E274" s="2" t="s">
        <v>457</v>
      </c>
      <c r="F274" s="2">
        <v>116199.0</v>
      </c>
      <c r="H274" s="2">
        <v>116199.0</v>
      </c>
      <c r="I274" s="2">
        <v>4126.0</v>
      </c>
      <c r="J274" s="2">
        <v>112073.0</v>
      </c>
    </row>
    <row r="275">
      <c r="A275" s="2">
        <v>2024.0</v>
      </c>
      <c r="B275" s="1" t="s">
        <v>20</v>
      </c>
      <c r="C275" s="2" t="s">
        <v>441</v>
      </c>
      <c r="D275" s="2" t="s">
        <v>470</v>
      </c>
      <c r="E275" s="2" t="s">
        <v>78</v>
      </c>
      <c r="F275" s="2">
        <v>1994505.0</v>
      </c>
      <c r="H275" s="2">
        <v>4032561.0</v>
      </c>
      <c r="I275" s="2">
        <v>1115708.0</v>
      </c>
      <c r="J275" s="2">
        <v>2916853.0</v>
      </c>
    </row>
    <row r="276">
      <c r="A276" s="2">
        <v>2024.0</v>
      </c>
      <c r="B276" s="1" t="s">
        <v>20</v>
      </c>
      <c r="C276" s="2" t="s">
        <v>441</v>
      </c>
      <c r="D276" s="2" t="s">
        <v>473</v>
      </c>
      <c r="E276" s="2" t="s">
        <v>32</v>
      </c>
      <c r="F276" s="2">
        <v>207886.0</v>
      </c>
      <c r="H276" s="2">
        <v>488390.9</v>
      </c>
      <c r="I276" s="2">
        <v>198665.0</v>
      </c>
      <c r="J276" s="2">
        <v>289726.0</v>
      </c>
    </row>
    <row r="277">
      <c r="A277" s="2">
        <v>2024.0</v>
      </c>
      <c r="B277" s="1" t="s">
        <v>20</v>
      </c>
      <c r="C277" s="2" t="s">
        <v>441</v>
      </c>
      <c r="D277" s="2" t="s">
        <v>473</v>
      </c>
      <c r="E277" s="2" t="s">
        <v>25</v>
      </c>
      <c r="F277" s="2">
        <v>4422126.0</v>
      </c>
      <c r="H277" s="2">
        <v>6518987.0</v>
      </c>
      <c r="I277" s="2">
        <v>769183.0</v>
      </c>
      <c r="J277" s="2">
        <v>5749804.0</v>
      </c>
    </row>
    <row r="278">
      <c r="A278" s="2">
        <v>2024.0</v>
      </c>
      <c r="B278" s="1" t="s">
        <v>20</v>
      </c>
      <c r="C278" s="2" t="s">
        <v>441</v>
      </c>
      <c r="D278" s="2" t="s">
        <v>473</v>
      </c>
      <c r="E278" s="2" t="s">
        <v>76</v>
      </c>
      <c r="F278" s="2">
        <v>835585.0</v>
      </c>
      <c r="H278" s="2">
        <v>835585.0</v>
      </c>
      <c r="I278" s="2">
        <v>194338.0</v>
      </c>
      <c r="J278" s="2">
        <v>641247.0</v>
      </c>
    </row>
    <row r="279">
      <c r="A279" s="2">
        <v>2024.0</v>
      </c>
      <c r="B279" s="1" t="s">
        <v>20</v>
      </c>
      <c r="C279" s="2" t="s">
        <v>441</v>
      </c>
      <c r="D279" s="2" t="s">
        <v>473</v>
      </c>
      <c r="E279" s="2" t="s">
        <v>27</v>
      </c>
      <c r="F279" s="2">
        <v>2883.0</v>
      </c>
      <c r="H279" s="2">
        <v>1060998.0</v>
      </c>
      <c r="I279" s="2">
        <v>999484.0</v>
      </c>
      <c r="J279" s="2">
        <v>61514.0</v>
      </c>
    </row>
    <row r="280">
      <c r="A280" s="2">
        <v>2024.0</v>
      </c>
      <c r="B280" s="1" t="s">
        <v>20</v>
      </c>
      <c r="C280" s="2" t="s">
        <v>441</v>
      </c>
      <c r="D280" s="2" t="s">
        <v>473</v>
      </c>
      <c r="E280" s="2" t="s">
        <v>56</v>
      </c>
      <c r="F280" s="2">
        <v>2187294.0</v>
      </c>
      <c r="H280" s="2">
        <v>3691294.0</v>
      </c>
      <c r="I280" s="2">
        <v>68750.0</v>
      </c>
      <c r="J280" s="2">
        <v>3622544.0</v>
      </c>
    </row>
    <row r="281">
      <c r="A281" s="2">
        <v>2024.0</v>
      </c>
      <c r="B281" s="1" t="s">
        <v>20</v>
      </c>
      <c r="C281" s="2" t="s">
        <v>441</v>
      </c>
      <c r="D281" s="2" t="s">
        <v>473</v>
      </c>
      <c r="E281" s="2" t="s">
        <v>476</v>
      </c>
      <c r="F281" s="2">
        <v>375090.0</v>
      </c>
      <c r="H281" s="2">
        <v>375090.0</v>
      </c>
      <c r="I281" s="2">
        <v>40338.0</v>
      </c>
      <c r="J281" s="2">
        <v>334752.0</v>
      </c>
    </row>
    <row r="282">
      <c r="A282" s="2">
        <v>2024.0</v>
      </c>
      <c r="B282" s="1" t="s">
        <v>20</v>
      </c>
      <c r="C282" s="2" t="s">
        <v>478</v>
      </c>
      <c r="D282" s="2" t="s">
        <v>479</v>
      </c>
      <c r="E282" s="2" t="s">
        <v>25</v>
      </c>
      <c r="F282" s="2">
        <v>1776335.0</v>
      </c>
      <c r="H282" s="2">
        <v>2605194.0</v>
      </c>
      <c r="I282" s="2">
        <v>1606787.0</v>
      </c>
      <c r="J282" s="2">
        <v>998407.0</v>
      </c>
    </row>
    <row r="283">
      <c r="A283" s="2">
        <v>2024.0</v>
      </c>
      <c r="B283" s="1" t="s">
        <v>20</v>
      </c>
      <c r="C283" s="2" t="s">
        <v>478</v>
      </c>
      <c r="D283" s="2" t="s">
        <v>479</v>
      </c>
      <c r="E283" s="2" t="s">
        <v>32</v>
      </c>
      <c r="F283" s="2">
        <v>390791.0</v>
      </c>
      <c r="H283" s="2">
        <v>569905.0</v>
      </c>
      <c r="I283" s="2">
        <v>252478.0</v>
      </c>
      <c r="J283" s="2">
        <v>317427.0</v>
      </c>
    </row>
    <row r="284">
      <c r="A284" s="2">
        <v>2024.0</v>
      </c>
      <c r="B284" s="1" t="s">
        <v>20</v>
      </c>
      <c r="C284" s="2" t="s">
        <v>478</v>
      </c>
      <c r="D284" s="2" t="s">
        <v>479</v>
      </c>
      <c r="E284" s="2" t="s">
        <v>481</v>
      </c>
      <c r="F284" s="2">
        <v>1257839.0</v>
      </c>
      <c r="H284" s="2">
        <v>4698825.0</v>
      </c>
      <c r="I284" s="2">
        <v>2405020.0</v>
      </c>
      <c r="J284" s="2">
        <v>2293805.0</v>
      </c>
    </row>
    <row r="285">
      <c r="A285" s="2">
        <v>2024.0</v>
      </c>
      <c r="B285" s="1" t="s">
        <v>20</v>
      </c>
      <c r="C285" s="2" t="s">
        <v>478</v>
      </c>
      <c r="D285" s="2" t="s">
        <v>482</v>
      </c>
      <c r="E285" s="2" t="s">
        <v>32</v>
      </c>
      <c r="F285" s="2">
        <v>254712.0</v>
      </c>
      <c r="H285" s="2">
        <v>527860.0</v>
      </c>
      <c r="I285" s="2">
        <v>286920.0</v>
      </c>
      <c r="J285" s="2">
        <v>240940.0</v>
      </c>
    </row>
    <row r="286">
      <c r="A286" s="2">
        <v>2024.0</v>
      </c>
      <c r="B286" s="1" t="s">
        <v>20</v>
      </c>
      <c r="C286" s="2" t="s">
        <v>478</v>
      </c>
      <c r="D286" s="2" t="s">
        <v>482</v>
      </c>
      <c r="E286" s="2" t="s">
        <v>25</v>
      </c>
      <c r="F286" s="2">
        <v>5146645.0</v>
      </c>
      <c r="H286" s="2">
        <v>7572563.0</v>
      </c>
      <c r="I286" s="2">
        <v>3891289.0</v>
      </c>
      <c r="J286" s="2">
        <v>3681274.0</v>
      </c>
    </row>
    <row r="287">
      <c r="A287" s="2">
        <v>2024.0</v>
      </c>
      <c r="B287" s="1" t="s">
        <v>20</v>
      </c>
      <c r="C287" s="2" t="s">
        <v>478</v>
      </c>
      <c r="D287" s="2" t="s">
        <v>482</v>
      </c>
      <c r="E287" s="2" t="s">
        <v>76</v>
      </c>
      <c r="F287" s="2">
        <v>359917.0</v>
      </c>
      <c r="H287" s="2">
        <v>362940.0</v>
      </c>
      <c r="I287" s="2">
        <v>360154.0</v>
      </c>
      <c r="J287" s="2">
        <v>2786.0</v>
      </c>
    </row>
    <row r="288">
      <c r="A288" s="2">
        <v>2024.0</v>
      </c>
      <c r="B288" s="1" t="s">
        <v>20</v>
      </c>
      <c r="C288" s="2" t="s">
        <v>478</v>
      </c>
      <c r="D288" s="2" t="s">
        <v>482</v>
      </c>
      <c r="E288" s="2" t="s">
        <v>78</v>
      </c>
      <c r="F288" s="2">
        <v>2120000.0</v>
      </c>
      <c r="H288" s="2">
        <v>3888000.0</v>
      </c>
      <c r="I288" s="2">
        <v>1530076.0</v>
      </c>
      <c r="J288" s="2">
        <v>2357924.0</v>
      </c>
    </row>
    <row r="289">
      <c r="A289" s="2">
        <v>2024.0</v>
      </c>
      <c r="B289" s="1" t="s">
        <v>20</v>
      </c>
      <c r="C289" s="2" t="s">
        <v>478</v>
      </c>
      <c r="D289" s="2" t="s">
        <v>482</v>
      </c>
      <c r="E289" s="2" t="s">
        <v>457</v>
      </c>
      <c r="F289" s="2">
        <v>546396.98</v>
      </c>
      <c r="H289" s="2">
        <v>546396.98</v>
      </c>
      <c r="I289" s="2">
        <v>18438.0</v>
      </c>
      <c r="J289" s="2">
        <v>527958.98</v>
      </c>
    </row>
    <row r="290">
      <c r="A290" s="2">
        <v>2024.0</v>
      </c>
      <c r="B290" s="1" t="s">
        <v>20</v>
      </c>
      <c r="C290" s="2" t="s">
        <v>478</v>
      </c>
      <c r="D290" s="2" t="s">
        <v>482</v>
      </c>
      <c r="E290" s="2" t="s">
        <v>27</v>
      </c>
      <c r="F290" s="2">
        <v>539617.74</v>
      </c>
      <c r="H290" s="2">
        <v>2608410.0</v>
      </c>
      <c r="I290" s="2">
        <v>1976445.3</v>
      </c>
      <c r="J290" s="2">
        <v>631965.39</v>
      </c>
    </row>
    <row r="291">
      <c r="A291" s="2">
        <v>2024.0</v>
      </c>
      <c r="B291" s="1" t="s">
        <v>20</v>
      </c>
      <c r="C291" s="2" t="s">
        <v>478</v>
      </c>
      <c r="D291" s="2" t="s">
        <v>486</v>
      </c>
      <c r="E291" s="2" t="s">
        <v>32</v>
      </c>
      <c r="F291" s="2">
        <v>244715.81</v>
      </c>
      <c r="H291" s="2">
        <v>797774.8</v>
      </c>
      <c r="I291" s="2">
        <v>675171.8</v>
      </c>
      <c r="J291" s="2">
        <v>122603.01</v>
      </c>
    </row>
    <row r="292">
      <c r="A292" s="2">
        <v>2024.0</v>
      </c>
      <c r="B292" s="1" t="s">
        <v>20</v>
      </c>
      <c r="C292" s="2" t="s">
        <v>478</v>
      </c>
      <c r="D292" s="2" t="s">
        <v>486</v>
      </c>
      <c r="E292" s="2" t="s">
        <v>76</v>
      </c>
      <c r="F292" s="2">
        <v>896309.9</v>
      </c>
      <c r="H292" s="2">
        <v>896309.9</v>
      </c>
      <c r="I292" s="2">
        <v>875457.0</v>
      </c>
      <c r="J292" s="2">
        <v>20852.9</v>
      </c>
    </row>
    <row r="293">
      <c r="A293" s="2">
        <v>2024.0</v>
      </c>
      <c r="B293" s="1" t="s">
        <v>20</v>
      </c>
      <c r="C293" s="2" t="s">
        <v>478</v>
      </c>
      <c r="D293" s="2" t="s">
        <v>486</v>
      </c>
      <c r="E293" s="2" t="s">
        <v>56</v>
      </c>
      <c r="F293" s="2">
        <v>484315.0</v>
      </c>
      <c r="H293" s="2">
        <v>484315.0</v>
      </c>
      <c r="I293" s="2">
        <v>256492.0</v>
      </c>
      <c r="J293" s="2">
        <v>227823.0</v>
      </c>
    </row>
    <row r="294">
      <c r="A294" s="2">
        <v>2024.0</v>
      </c>
      <c r="B294" s="1" t="s">
        <v>20</v>
      </c>
      <c r="C294" s="2" t="s">
        <v>478</v>
      </c>
      <c r="D294" s="2" t="s">
        <v>486</v>
      </c>
      <c r="E294" s="2" t="s">
        <v>460</v>
      </c>
      <c r="F294" s="2">
        <v>29644.0</v>
      </c>
      <c r="H294" s="2">
        <v>79306.0</v>
      </c>
      <c r="I294" s="2">
        <v>76400.0</v>
      </c>
      <c r="J294" s="2">
        <v>2906.0</v>
      </c>
    </row>
    <row r="295">
      <c r="A295" s="2">
        <v>2024.0</v>
      </c>
      <c r="B295" s="1" t="s">
        <v>20</v>
      </c>
      <c r="C295" s="2" t="s">
        <v>478</v>
      </c>
      <c r="D295" s="2" t="s">
        <v>486</v>
      </c>
      <c r="E295" s="2" t="s">
        <v>488</v>
      </c>
      <c r="F295" s="2">
        <v>86074.0</v>
      </c>
      <c r="H295" s="2">
        <v>87681.0</v>
      </c>
      <c r="I295" s="2">
        <v>150.0</v>
      </c>
      <c r="J295" s="2">
        <v>87531.0</v>
      </c>
    </row>
    <row r="296">
      <c r="A296" s="2">
        <v>2024.0</v>
      </c>
      <c r="B296" s="1" t="s">
        <v>20</v>
      </c>
      <c r="C296" s="2" t="s">
        <v>478</v>
      </c>
      <c r="D296" s="2" t="s">
        <v>490</v>
      </c>
      <c r="E296" s="2" t="s">
        <v>25</v>
      </c>
      <c r="F296" s="2">
        <v>3932415.0</v>
      </c>
      <c r="H296" s="2">
        <v>6020102.0</v>
      </c>
      <c r="I296" s="2">
        <v>2817348.0</v>
      </c>
      <c r="J296" s="2">
        <v>3202754.0</v>
      </c>
    </row>
    <row r="297">
      <c r="A297" s="2">
        <v>2024.0</v>
      </c>
      <c r="B297" s="1" t="s">
        <v>20</v>
      </c>
      <c r="C297" s="2" t="s">
        <v>478</v>
      </c>
      <c r="D297" s="2" t="s">
        <v>490</v>
      </c>
      <c r="E297" s="2" t="s">
        <v>32</v>
      </c>
      <c r="F297" s="2">
        <v>46301.0</v>
      </c>
      <c r="H297" s="2">
        <v>98106.0</v>
      </c>
      <c r="I297" s="2">
        <v>75100.0</v>
      </c>
      <c r="J297" s="2">
        <v>23006.0</v>
      </c>
    </row>
    <row r="298">
      <c r="A298" s="2">
        <v>2024.0</v>
      </c>
      <c r="B298" s="1" t="s">
        <v>20</v>
      </c>
      <c r="C298" s="2" t="s">
        <v>478</v>
      </c>
      <c r="D298" s="2" t="s">
        <v>490</v>
      </c>
      <c r="E298" s="2" t="s">
        <v>481</v>
      </c>
      <c r="F298" s="2">
        <v>2428766.0</v>
      </c>
      <c r="H298" s="2">
        <v>5214376.0</v>
      </c>
      <c r="I298" s="2">
        <v>4659043.0</v>
      </c>
      <c r="J298" s="2">
        <v>555333.0</v>
      </c>
    </row>
    <row r="299">
      <c r="A299" s="2">
        <v>2024.0</v>
      </c>
      <c r="B299" s="1" t="s">
        <v>20</v>
      </c>
      <c r="C299" s="2" t="s">
        <v>491</v>
      </c>
      <c r="D299" s="2" t="s">
        <v>379</v>
      </c>
      <c r="E299" s="2" t="s">
        <v>25</v>
      </c>
      <c r="F299" s="2">
        <v>2214469.0</v>
      </c>
      <c r="H299" s="2">
        <v>3622191.0</v>
      </c>
      <c r="I299" s="2">
        <v>1311196.0</v>
      </c>
      <c r="J299" s="2">
        <v>2310995.0</v>
      </c>
    </row>
    <row r="300">
      <c r="A300" s="2">
        <v>2024.0</v>
      </c>
      <c r="B300" s="1" t="s">
        <v>20</v>
      </c>
      <c r="C300" s="2" t="s">
        <v>491</v>
      </c>
      <c r="D300" s="2" t="s">
        <v>379</v>
      </c>
      <c r="E300" s="2" t="s">
        <v>32</v>
      </c>
      <c r="F300" s="2">
        <v>125806.0</v>
      </c>
      <c r="H300" s="2">
        <v>259348.0</v>
      </c>
      <c r="I300" s="2">
        <v>212016.0</v>
      </c>
      <c r="J300" s="2">
        <v>47332.0</v>
      </c>
    </row>
    <row r="301">
      <c r="A301" s="2">
        <v>2024.0</v>
      </c>
      <c r="B301" s="1" t="s">
        <v>20</v>
      </c>
      <c r="C301" s="2" t="s">
        <v>491</v>
      </c>
      <c r="D301" s="2" t="s">
        <v>379</v>
      </c>
      <c r="E301" s="2" t="s">
        <v>56</v>
      </c>
      <c r="F301" s="2">
        <v>1955748.0</v>
      </c>
      <c r="H301" s="2">
        <v>3050194.0</v>
      </c>
      <c r="I301" s="2">
        <v>1258385.0</v>
      </c>
      <c r="J301" s="2">
        <v>1791809.0</v>
      </c>
    </row>
    <row r="302">
      <c r="A302" s="2">
        <v>2024.0</v>
      </c>
      <c r="B302" s="1" t="s">
        <v>20</v>
      </c>
      <c r="C302" s="2" t="s">
        <v>491</v>
      </c>
      <c r="D302" s="2" t="s">
        <v>379</v>
      </c>
      <c r="E302" s="2" t="s">
        <v>27</v>
      </c>
      <c r="H302" s="2">
        <v>1818307.0</v>
      </c>
      <c r="I302" s="2">
        <v>1818307.0</v>
      </c>
      <c r="J302" s="2">
        <v>0.0</v>
      </c>
    </row>
    <row r="303">
      <c r="A303" s="2">
        <v>2024.0</v>
      </c>
      <c r="B303" s="1" t="s">
        <v>20</v>
      </c>
      <c r="C303" s="2" t="s">
        <v>491</v>
      </c>
      <c r="D303" s="2" t="s">
        <v>379</v>
      </c>
      <c r="E303" s="2" t="s">
        <v>494</v>
      </c>
      <c r="H303" s="2">
        <v>33500.0</v>
      </c>
      <c r="I303" s="2">
        <v>33500.0</v>
      </c>
      <c r="J303" s="2">
        <v>0.0</v>
      </c>
    </row>
    <row r="304">
      <c r="A304" s="2">
        <v>2024.0</v>
      </c>
      <c r="B304" s="1" t="s">
        <v>20</v>
      </c>
      <c r="C304" s="2" t="s">
        <v>491</v>
      </c>
      <c r="D304" s="2" t="s">
        <v>495</v>
      </c>
      <c r="E304" s="2" t="s">
        <v>25</v>
      </c>
      <c r="F304" s="2">
        <v>1245552.0</v>
      </c>
      <c r="H304" s="2">
        <v>2149168.0</v>
      </c>
      <c r="I304" s="2">
        <v>581176.0</v>
      </c>
      <c r="J304" s="2">
        <v>1567992.0</v>
      </c>
    </row>
    <row r="305">
      <c r="A305" s="2">
        <v>2024.0</v>
      </c>
      <c r="B305" s="1" t="s">
        <v>20</v>
      </c>
      <c r="C305" s="2" t="s">
        <v>491</v>
      </c>
      <c r="D305" s="2" t="s">
        <v>495</v>
      </c>
      <c r="E305" s="2" t="s">
        <v>32</v>
      </c>
      <c r="F305" s="2">
        <v>57464.0</v>
      </c>
      <c r="H305" s="2">
        <v>125895.0</v>
      </c>
      <c r="I305" s="2">
        <v>70300.0</v>
      </c>
      <c r="J305" s="2">
        <v>55595.0</v>
      </c>
    </row>
    <row r="306">
      <c r="A306" s="2">
        <v>2024.0</v>
      </c>
      <c r="B306" s="1" t="s">
        <v>20</v>
      </c>
      <c r="C306" s="2" t="s">
        <v>491</v>
      </c>
      <c r="D306" s="2" t="s">
        <v>495</v>
      </c>
      <c r="E306" s="2" t="s">
        <v>56</v>
      </c>
      <c r="F306" s="2">
        <v>637478.0</v>
      </c>
      <c r="H306" s="2">
        <v>2135294.0</v>
      </c>
      <c r="I306" s="2">
        <v>1745294.0</v>
      </c>
      <c r="J306" s="2">
        <v>390000.0</v>
      </c>
    </row>
    <row r="307">
      <c r="A307" s="2">
        <v>2024.0</v>
      </c>
      <c r="B307" s="1" t="s">
        <v>20</v>
      </c>
      <c r="C307" s="2" t="s">
        <v>491</v>
      </c>
      <c r="D307" s="2" t="s">
        <v>495</v>
      </c>
      <c r="E307" s="2" t="s">
        <v>27</v>
      </c>
      <c r="F307" s="2">
        <v>212244.0</v>
      </c>
      <c r="H307" s="2">
        <v>2397958.0</v>
      </c>
      <c r="I307" s="2">
        <v>2394181.0</v>
      </c>
      <c r="J307" s="2">
        <v>3777.0</v>
      </c>
    </row>
    <row r="308">
      <c r="A308" s="2">
        <v>2024.0</v>
      </c>
      <c r="B308" s="1" t="s">
        <v>20</v>
      </c>
      <c r="C308" s="2" t="s">
        <v>491</v>
      </c>
      <c r="D308" s="2" t="s">
        <v>378</v>
      </c>
      <c r="E308" s="2" t="s">
        <v>25</v>
      </c>
      <c r="F308" s="2">
        <v>2402250.0</v>
      </c>
      <c r="H308" s="2">
        <v>3668454.0</v>
      </c>
      <c r="I308" s="2">
        <v>1164941.0</v>
      </c>
      <c r="J308" s="2">
        <v>2503513.0</v>
      </c>
    </row>
    <row r="309">
      <c r="A309" s="2">
        <v>2024.0</v>
      </c>
      <c r="B309" s="1" t="s">
        <v>20</v>
      </c>
      <c r="C309" s="2" t="s">
        <v>491</v>
      </c>
      <c r="D309" s="2" t="s">
        <v>378</v>
      </c>
      <c r="E309" s="2" t="s">
        <v>32</v>
      </c>
      <c r="F309" s="2">
        <v>690878.0</v>
      </c>
      <c r="H309" s="2">
        <v>784689.0</v>
      </c>
      <c r="I309" s="2">
        <v>582525.0</v>
      </c>
      <c r="J309" s="2">
        <v>202164.0</v>
      </c>
    </row>
    <row r="310">
      <c r="A310" s="2">
        <v>2024.0</v>
      </c>
      <c r="B310" s="1" t="s">
        <v>20</v>
      </c>
      <c r="C310" s="2" t="s">
        <v>491</v>
      </c>
      <c r="D310" s="2" t="s">
        <v>378</v>
      </c>
      <c r="E310" s="2" t="s">
        <v>92</v>
      </c>
      <c r="F310" s="2">
        <v>1653190.0</v>
      </c>
      <c r="H310" s="2">
        <v>4790113.0</v>
      </c>
      <c r="I310" s="2">
        <v>2652271.0</v>
      </c>
      <c r="J310" s="2">
        <v>2137842.0</v>
      </c>
    </row>
    <row r="311">
      <c r="A311" s="2">
        <v>2024.0</v>
      </c>
      <c r="B311" s="1" t="s">
        <v>20</v>
      </c>
      <c r="C311" s="2" t="s">
        <v>491</v>
      </c>
      <c r="D311" s="2" t="s">
        <v>378</v>
      </c>
      <c r="E311" s="2" t="s">
        <v>497</v>
      </c>
      <c r="F311" s="2">
        <v>232169.0</v>
      </c>
      <c r="H311" s="2">
        <v>1031785.0</v>
      </c>
      <c r="I311" s="2">
        <v>931253.0</v>
      </c>
      <c r="J311" s="2">
        <v>100532.0</v>
      </c>
    </row>
    <row r="312">
      <c r="A312" s="2">
        <v>2024.0</v>
      </c>
      <c r="B312" s="1" t="s">
        <v>20</v>
      </c>
      <c r="C312" s="2" t="s">
        <v>491</v>
      </c>
      <c r="D312" s="2" t="s">
        <v>498</v>
      </c>
      <c r="E312" s="2" t="s">
        <v>25</v>
      </c>
      <c r="F312" s="2">
        <v>3413931.0</v>
      </c>
      <c r="H312" s="2">
        <v>5078129.0</v>
      </c>
      <c r="I312" s="2">
        <v>1861716.0</v>
      </c>
      <c r="J312" s="2">
        <v>3216413.0</v>
      </c>
    </row>
    <row r="313">
      <c r="A313" s="2">
        <v>2024.0</v>
      </c>
      <c r="B313" s="1" t="s">
        <v>20</v>
      </c>
      <c r="C313" s="2" t="s">
        <v>491</v>
      </c>
      <c r="D313" s="2" t="s">
        <v>498</v>
      </c>
      <c r="E313" s="2" t="s">
        <v>32</v>
      </c>
      <c r="F313" s="2">
        <v>162539.0</v>
      </c>
      <c r="H313" s="2">
        <v>537176.0</v>
      </c>
      <c r="I313" s="2">
        <v>283600.0</v>
      </c>
      <c r="J313" s="2">
        <v>253576.0</v>
      </c>
    </row>
    <row r="314">
      <c r="A314" s="2">
        <v>2024.0</v>
      </c>
      <c r="B314" s="1" t="s">
        <v>20</v>
      </c>
      <c r="C314" s="2" t="s">
        <v>491</v>
      </c>
      <c r="D314" s="2" t="s">
        <v>498</v>
      </c>
      <c r="E314" s="2" t="s">
        <v>92</v>
      </c>
      <c r="F314" s="2">
        <v>2961695.0</v>
      </c>
      <c r="H314" s="2">
        <v>5688614.0</v>
      </c>
      <c r="I314" s="2">
        <v>3263485.0</v>
      </c>
      <c r="J314" s="2">
        <v>2425129.0</v>
      </c>
    </row>
    <row r="315">
      <c r="A315" s="2">
        <v>2024.0</v>
      </c>
      <c r="B315" s="1" t="s">
        <v>20</v>
      </c>
      <c r="C315" s="2" t="s">
        <v>491</v>
      </c>
      <c r="D315" s="2" t="s">
        <v>500</v>
      </c>
      <c r="E315" s="2" t="s">
        <v>25</v>
      </c>
      <c r="F315" s="2">
        <v>1435898.0</v>
      </c>
      <c r="H315" s="2">
        <v>2794196.0</v>
      </c>
      <c r="I315" s="2">
        <v>1298530.0</v>
      </c>
      <c r="J315" s="2">
        <v>1495666.0</v>
      </c>
    </row>
    <row r="316">
      <c r="A316" s="2">
        <v>2024.0</v>
      </c>
      <c r="B316" s="1" t="s">
        <v>20</v>
      </c>
      <c r="C316" s="2" t="s">
        <v>491</v>
      </c>
      <c r="D316" s="2" t="s">
        <v>500</v>
      </c>
      <c r="E316" s="2" t="s">
        <v>32</v>
      </c>
      <c r="F316" s="2">
        <v>40386.0</v>
      </c>
      <c r="H316" s="2">
        <v>217056.0</v>
      </c>
      <c r="I316" s="2">
        <v>173120.0</v>
      </c>
      <c r="J316" s="2">
        <v>43936.0</v>
      </c>
    </row>
    <row r="317">
      <c r="A317" s="2">
        <v>2024.0</v>
      </c>
      <c r="B317" s="1" t="s">
        <v>20</v>
      </c>
      <c r="C317" s="2" t="s">
        <v>491</v>
      </c>
      <c r="D317" s="2" t="s">
        <v>500</v>
      </c>
      <c r="E317" s="2" t="s">
        <v>92</v>
      </c>
      <c r="F317" s="2">
        <v>1098288.0</v>
      </c>
      <c r="H317" s="2">
        <v>4262808.0</v>
      </c>
      <c r="I317" s="2">
        <v>3676094.0</v>
      </c>
      <c r="J317" s="2">
        <v>586714.0</v>
      </c>
    </row>
    <row r="318">
      <c r="A318" s="2">
        <v>2024.0</v>
      </c>
      <c r="B318" s="1" t="s">
        <v>20</v>
      </c>
      <c r="C318" s="2" t="s">
        <v>502</v>
      </c>
      <c r="D318" s="2" t="s">
        <v>503</v>
      </c>
      <c r="E318" s="2" t="s">
        <v>25</v>
      </c>
      <c r="F318" s="2">
        <v>1589441.0</v>
      </c>
      <c r="H318" s="2">
        <v>2685999.0</v>
      </c>
      <c r="I318" s="2">
        <v>1210183.0</v>
      </c>
      <c r="J318" s="2">
        <v>1475816.0</v>
      </c>
    </row>
    <row r="319">
      <c r="A319" s="2">
        <v>2024.0</v>
      </c>
      <c r="B319" s="1" t="s">
        <v>20</v>
      </c>
      <c r="C319" s="2" t="s">
        <v>502</v>
      </c>
      <c r="D319" s="2" t="s">
        <v>503</v>
      </c>
      <c r="E319" s="2" t="s">
        <v>32</v>
      </c>
      <c r="F319" s="2">
        <v>19875.0</v>
      </c>
      <c r="H319" s="2">
        <v>111273.0</v>
      </c>
      <c r="I319" s="2">
        <v>102948.0</v>
      </c>
      <c r="J319" s="2">
        <v>8325.0</v>
      </c>
    </row>
    <row r="320">
      <c r="A320" s="2">
        <v>2024.0</v>
      </c>
      <c r="B320" s="1" t="s">
        <v>20</v>
      </c>
      <c r="C320" s="2" t="s">
        <v>502</v>
      </c>
      <c r="D320" s="2" t="s">
        <v>503</v>
      </c>
      <c r="E320" s="2" t="s">
        <v>56</v>
      </c>
      <c r="F320" s="2">
        <v>240753.0</v>
      </c>
      <c r="H320" s="2">
        <v>2734512.0</v>
      </c>
      <c r="I320" s="2">
        <v>2049163.0</v>
      </c>
      <c r="J320" s="2">
        <v>685349.0</v>
      </c>
    </row>
    <row r="321">
      <c r="A321" s="2">
        <v>2024.0</v>
      </c>
      <c r="B321" s="1" t="s">
        <v>20</v>
      </c>
      <c r="C321" s="2" t="s">
        <v>502</v>
      </c>
      <c r="D321" s="2" t="s">
        <v>503</v>
      </c>
      <c r="E321" s="2" t="s">
        <v>27</v>
      </c>
      <c r="F321" s="2">
        <v>260175.0</v>
      </c>
      <c r="H321" s="2">
        <v>1872529.0</v>
      </c>
      <c r="I321" s="2">
        <v>1807431.0</v>
      </c>
      <c r="J321" s="2">
        <v>65098.0</v>
      </c>
    </row>
    <row r="322">
      <c r="A322" s="2">
        <v>2024.0</v>
      </c>
      <c r="B322" s="1" t="s">
        <v>20</v>
      </c>
      <c r="C322" s="2" t="s">
        <v>502</v>
      </c>
      <c r="D322" s="2" t="s">
        <v>504</v>
      </c>
      <c r="E322" s="2" t="s">
        <v>25</v>
      </c>
      <c r="F322" s="2">
        <v>1281221.0</v>
      </c>
      <c r="H322" s="2">
        <v>2381998.0</v>
      </c>
      <c r="I322" s="2">
        <v>1018412.0</v>
      </c>
      <c r="J322" s="2">
        <v>1363586.0</v>
      </c>
    </row>
    <row r="323">
      <c r="A323" s="2">
        <v>2024.0</v>
      </c>
      <c r="B323" s="1" t="s">
        <v>20</v>
      </c>
      <c r="C323" s="2" t="s">
        <v>502</v>
      </c>
      <c r="D323" s="2" t="s">
        <v>504</v>
      </c>
      <c r="E323" s="2" t="s">
        <v>32</v>
      </c>
      <c r="F323" s="2">
        <v>190195.0</v>
      </c>
      <c r="H323" s="2">
        <v>535004.0</v>
      </c>
      <c r="I323" s="2">
        <v>460759.0</v>
      </c>
      <c r="J323" s="2">
        <v>74245.0</v>
      </c>
    </row>
    <row r="324">
      <c r="A324" s="2">
        <v>2024.0</v>
      </c>
      <c r="B324" s="1" t="s">
        <v>20</v>
      </c>
      <c r="C324" s="2" t="s">
        <v>502</v>
      </c>
      <c r="D324" s="2" t="s">
        <v>504</v>
      </c>
      <c r="E324" s="2" t="s">
        <v>76</v>
      </c>
      <c r="F324" s="2">
        <v>414958.0</v>
      </c>
      <c r="H324" s="2">
        <v>414958.0</v>
      </c>
      <c r="I324" s="2">
        <v>323768.0</v>
      </c>
      <c r="J324" s="2">
        <v>91190.0</v>
      </c>
    </row>
    <row r="325">
      <c r="A325" s="2">
        <v>2024.0</v>
      </c>
      <c r="B325" s="1" t="s">
        <v>20</v>
      </c>
      <c r="C325" s="2" t="s">
        <v>502</v>
      </c>
      <c r="D325" s="2" t="s">
        <v>504</v>
      </c>
      <c r="E325" s="2" t="s">
        <v>92</v>
      </c>
      <c r="F325" s="2">
        <v>1572456.0</v>
      </c>
      <c r="H325" s="2">
        <v>5346315.0</v>
      </c>
      <c r="I325" s="2">
        <v>3750727.0</v>
      </c>
      <c r="J325" s="2">
        <v>1595588.0</v>
      </c>
    </row>
    <row r="326">
      <c r="A326" s="2">
        <v>2024.0</v>
      </c>
      <c r="B326" s="1" t="s">
        <v>20</v>
      </c>
      <c r="C326" s="2" t="s">
        <v>502</v>
      </c>
      <c r="D326" s="2" t="s">
        <v>506</v>
      </c>
      <c r="E326" s="2" t="s">
        <v>32</v>
      </c>
      <c r="F326" s="2">
        <v>282188.0</v>
      </c>
      <c r="H326" s="2">
        <v>969424.0</v>
      </c>
      <c r="I326" s="2">
        <v>552889.0</v>
      </c>
      <c r="J326" s="2">
        <v>416535.0</v>
      </c>
    </row>
    <row r="327">
      <c r="A327" s="2">
        <v>2024.0</v>
      </c>
      <c r="B327" s="1" t="s">
        <v>20</v>
      </c>
      <c r="C327" s="2" t="s">
        <v>502</v>
      </c>
      <c r="D327" s="2" t="s">
        <v>506</v>
      </c>
      <c r="E327" s="2" t="s">
        <v>25</v>
      </c>
      <c r="F327" s="2">
        <v>1448082.0</v>
      </c>
      <c r="H327" s="2">
        <v>2557718.0</v>
      </c>
      <c r="I327" s="2">
        <v>663122.0</v>
      </c>
      <c r="J327" s="2">
        <v>1894596.0</v>
      </c>
    </row>
    <row r="328">
      <c r="A328" s="2">
        <v>2024.0</v>
      </c>
      <c r="B328" s="1" t="s">
        <v>20</v>
      </c>
      <c r="C328" s="2" t="s">
        <v>502</v>
      </c>
      <c r="D328" s="2" t="s">
        <v>506</v>
      </c>
      <c r="E328" s="2" t="s">
        <v>92</v>
      </c>
      <c r="F328" s="2">
        <v>2507157.0</v>
      </c>
      <c r="H328" s="2">
        <v>6089624.0</v>
      </c>
      <c r="I328" s="2">
        <v>2685876.0</v>
      </c>
      <c r="J328" s="2">
        <v>3403748.0</v>
      </c>
    </row>
    <row r="329">
      <c r="A329" s="2">
        <v>2024.0</v>
      </c>
      <c r="B329" s="1" t="s">
        <v>20</v>
      </c>
      <c r="C329" s="2" t="s">
        <v>502</v>
      </c>
      <c r="D329" s="2" t="s">
        <v>475</v>
      </c>
      <c r="E329" s="2" t="s">
        <v>32</v>
      </c>
      <c r="F329" s="2">
        <v>842853.0</v>
      </c>
      <c r="H329" s="2">
        <v>1126028.0</v>
      </c>
      <c r="I329" s="2">
        <v>7800.0</v>
      </c>
      <c r="J329" s="2">
        <v>1118228.0</v>
      </c>
    </row>
    <row r="330">
      <c r="A330" s="2">
        <v>2024.0</v>
      </c>
      <c r="B330" s="1" t="s">
        <v>20</v>
      </c>
      <c r="C330" s="2" t="s">
        <v>502</v>
      </c>
      <c r="D330" s="2" t="s">
        <v>475</v>
      </c>
      <c r="E330" s="2"/>
      <c r="F330" s="2">
        <v>133226.0</v>
      </c>
      <c r="H330" s="2">
        <v>201634.0</v>
      </c>
      <c r="I330" s="2">
        <v>97637.0</v>
      </c>
      <c r="J330" s="2">
        <v>103997.0</v>
      </c>
    </row>
    <row r="331">
      <c r="A331" s="2">
        <v>2024.0</v>
      </c>
      <c r="B331" s="1" t="s">
        <v>20</v>
      </c>
      <c r="C331" s="2" t="s">
        <v>502</v>
      </c>
      <c r="D331" s="2" t="s">
        <v>475</v>
      </c>
      <c r="E331" s="2" t="s">
        <v>25</v>
      </c>
      <c r="F331" s="2">
        <v>529894.0</v>
      </c>
      <c r="H331" s="2">
        <v>1434260.0</v>
      </c>
      <c r="I331" s="2">
        <v>129251.0</v>
      </c>
      <c r="J331" s="2">
        <v>1305009.0</v>
      </c>
    </row>
    <row r="332">
      <c r="A332" s="2">
        <v>2024.0</v>
      </c>
      <c r="B332" s="1" t="s">
        <v>20</v>
      </c>
      <c r="C332" s="2" t="s">
        <v>502</v>
      </c>
      <c r="D332" s="2" t="s">
        <v>475</v>
      </c>
      <c r="E332" s="2" t="s">
        <v>56</v>
      </c>
      <c r="F332" s="2">
        <v>446994.0</v>
      </c>
      <c r="H332" s="2">
        <v>446994.0</v>
      </c>
      <c r="I332" s="2">
        <v>122169.0</v>
      </c>
      <c r="J332" s="2">
        <v>324825.0</v>
      </c>
    </row>
    <row r="333">
      <c r="A333" s="2">
        <v>2024.0</v>
      </c>
      <c r="B333" s="1" t="s">
        <v>20</v>
      </c>
      <c r="C333" s="2" t="s">
        <v>502</v>
      </c>
      <c r="D333" s="2" t="s">
        <v>475</v>
      </c>
      <c r="E333" s="2" t="s">
        <v>27</v>
      </c>
      <c r="F333" s="2">
        <v>0.0</v>
      </c>
      <c r="H333" s="2">
        <v>1753307.0</v>
      </c>
      <c r="I333" s="2">
        <v>1724307.0</v>
      </c>
      <c r="J333" s="2">
        <v>29000.0</v>
      </c>
    </row>
    <row r="334">
      <c r="A334" s="2">
        <v>2024.0</v>
      </c>
      <c r="B334" s="1" t="s">
        <v>20</v>
      </c>
      <c r="C334" s="2" t="s">
        <v>502</v>
      </c>
      <c r="D334" s="2" t="s">
        <v>475</v>
      </c>
      <c r="E334" s="2" t="s">
        <v>78</v>
      </c>
      <c r="F334" s="2">
        <v>197087.0</v>
      </c>
      <c r="H334" s="2">
        <v>1533087.0</v>
      </c>
      <c r="I334" s="2">
        <v>785984.0</v>
      </c>
      <c r="J334" s="2">
        <v>747103.0</v>
      </c>
    </row>
    <row r="335">
      <c r="A335" s="2">
        <v>2024.0</v>
      </c>
      <c r="B335" s="1" t="s">
        <v>20</v>
      </c>
      <c r="C335" s="2" t="s">
        <v>502</v>
      </c>
      <c r="D335" s="2" t="s">
        <v>475</v>
      </c>
      <c r="E335" s="2" t="s">
        <v>76</v>
      </c>
      <c r="F335" s="2">
        <v>1230135.0</v>
      </c>
      <c r="H335" s="2">
        <v>1230135.0</v>
      </c>
      <c r="I335" s="2">
        <v>64782.0</v>
      </c>
      <c r="J335" s="2">
        <v>1165353.0</v>
      </c>
    </row>
    <row r="336">
      <c r="A336" s="2">
        <v>2024.0</v>
      </c>
      <c r="B336" s="1" t="s">
        <v>20</v>
      </c>
      <c r="C336" s="2" t="s">
        <v>502</v>
      </c>
      <c r="D336" s="2" t="s">
        <v>509</v>
      </c>
      <c r="E336" s="2" t="s">
        <v>25</v>
      </c>
      <c r="F336" s="2">
        <v>2834737.0</v>
      </c>
      <c r="H336" s="2">
        <v>4799250.0</v>
      </c>
      <c r="I336" s="2">
        <v>451018.0</v>
      </c>
      <c r="J336" s="2">
        <v>4348232.0</v>
      </c>
    </row>
    <row r="337">
      <c r="A337" s="2">
        <v>2024.0</v>
      </c>
      <c r="B337" s="1" t="s">
        <v>20</v>
      </c>
      <c r="C337" s="2" t="s">
        <v>502</v>
      </c>
      <c r="D337" s="2" t="s">
        <v>509</v>
      </c>
      <c r="E337" s="2" t="s">
        <v>32</v>
      </c>
      <c r="F337" s="2">
        <v>139202.0</v>
      </c>
      <c r="H337" s="2">
        <v>405914.0</v>
      </c>
      <c r="I337" s="2">
        <v>65180.0</v>
      </c>
      <c r="J337" s="2">
        <v>340734.0</v>
      </c>
    </row>
    <row r="338">
      <c r="A338" s="2">
        <v>2024.0</v>
      </c>
      <c r="B338" s="1" t="s">
        <v>20</v>
      </c>
      <c r="C338" s="2" t="s">
        <v>502</v>
      </c>
      <c r="D338" s="2" t="s">
        <v>509</v>
      </c>
      <c r="E338" s="2" t="s">
        <v>511</v>
      </c>
      <c r="F338" s="2">
        <v>6651527.0</v>
      </c>
      <c r="H338" s="2">
        <v>1.02597E7</v>
      </c>
      <c r="I338" s="2">
        <v>3741807.0</v>
      </c>
      <c r="J338" s="2">
        <v>6517893.0</v>
      </c>
    </row>
    <row r="339">
      <c r="A339" s="2">
        <v>2024.0</v>
      </c>
      <c r="B339" s="1" t="s">
        <v>20</v>
      </c>
      <c r="C339" s="2" t="s">
        <v>512</v>
      </c>
      <c r="D339" s="2" t="s">
        <v>513</v>
      </c>
      <c r="E339" s="2" t="s">
        <v>25</v>
      </c>
      <c r="F339" s="2">
        <v>2514035.0</v>
      </c>
      <c r="H339" s="2">
        <v>4230815.0</v>
      </c>
      <c r="I339" s="2">
        <v>1581500.0</v>
      </c>
      <c r="J339" s="2">
        <v>2649315.0</v>
      </c>
    </row>
    <row r="340">
      <c r="A340" s="2">
        <v>2024.0</v>
      </c>
      <c r="B340" s="1" t="s">
        <v>20</v>
      </c>
      <c r="C340" s="2" t="s">
        <v>512</v>
      </c>
      <c r="D340" s="2" t="s">
        <v>513</v>
      </c>
      <c r="E340" s="2" t="s">
        <v>514</v>
      </c>
      <c r="F340" s="2">
        <v>2088002.0</v>
      </c>
      <c r="H340" s="2">
        <v>6689179.0</v>
      </c>
      <c r="I340" s="2">
        <v>4070456.0</v>
      </c>
      <c r="J340" s="2">
        <v>2618723.0</v>
      </c>
    </row>
    <row r="341">
      <c r="A341" s="2">
        <v>2024.0</v>
      </c>
      <c r="B341" s="1" t="s">
        <v>20</v>
      </c>
      <c r="C341" s="2" t="s">
        <v>512</v>
      </c>
      <c r="D341" s="2" t="s">
        <v>515</v>
      </c>
      <c r="E341" s="2" t="s">
        <v>25</v>
      </c>
      <c r="F341" s="2">
        <v>2584776.0</v>
      </c>
      <c r="H341" s="2">
        <v>4531781.0</v>
      </c>
      <c r="I341" s="2">
        <v>1522994.0</v>
      </c>
      <c r="J341" s="2">
        <v>3008787.0</v>
      </c>
    </row>
    <row r="342">
      <c r="A342" s="2">
        <v>2024.0</v>
      </c>
      <c r="B342" s="1" t="s">
        <v>20</v>
      </c>
      <c r="C342" s="2" t="s">
        <v>512</v>
      </c>
      <c r="D342" s="2" t="s">
        <v>515</v>
      </c>
      <c r="E342" s="2" t="s">
        <v>32</v>
      </c>
      <c r="F342" s="2">
        <v>41022.0</v>
      </c>
      <c r="H342" s="2">
        <v>101852.0</v>
      </c>
      <c r="I342" s="2">
        <v>68600.0</v>
      </c>
      <c r="J342" s="2">
        <v>33252.0</v>
      </c>
    </row>
    <row r="343">
      <c r="A343" s="2">
        <v>2024.0</v>
      </c>
      <c r="B343" s="1" t="s">
        <v>20</v>
      </c>
      <c r="C343" s="2" t="s">
        <v>512</v>
      </c>
      <c r="D343" s="2" t="s">
        <v>515</v>
      </c>
      <c r="E343" s="2" t="s">
        <v>56</v>
      </c>
      <c r="F343" s="2">
        <v>1809705.0</v>
      </c>
      <c r="H343" s="2">
        <v>5641070.0</v>
      </c>
      <c r="I343" s="2">
        <v>3655132.0</v>
      </c>
      <c r="J343" s="2">
        <v>1985938.0</v>
      </c>
    </row>
    <row r="344">
      <c r="A344" s="2">
        <v>2024.0</v>
      </c>
      <c r="B344" s="1" t="s">
        <v>20</v>
      </c>
      <c r="C344" s="2" t="s">
        <v>516</v>
      </c>
      <c r="D344" s="2" t="s">
        <v>517</v>
      </c>
      <c r="E344" s="2" t="s">
        <v>25</v>
      </c>
      <c r="F344" s="2">
        <v>1934820.0</v>
      </c>
      <c r="H344" s="2">
        <v>2972925.0</v>
      </c>
      <c r="I344" s="2">
        <v>0.0</v>
      </c>
      <c r="J344" s="2">
        <v>2972925.0</v>
      </c>
    </row>
    <row r="345">
      <c r="A345" s="2">
        <v>2024.0</v>
      </c>
      <c r="B345" s="1" t="s">
        <v>20</v>
      </c>
      <c r="C345" s="2" t="s">
        <v>516</v>
      </c>
      <c r="D345" s="2" t="s">
        <v>517</v>
      </c>
      <c r="E345" s="2" t="s">
        <v>228</v>
      </c>
      <c r="F345" s="2">
        <v>1606603.0</v>
      </c>
      <c r="H345" s="2">
        <v>4521294.0</v>
      </c>
      <c r="I345" s="2">
        <v>2390299.0</v>
      </c>
      <c r="J345" s="2">
        <v>2130995.0</v>
      </c>
    </row>
    <row r="346">
      <c r="A346" s="2">
        <v>2024.0</v>
      </c>
      <c r="B346" s="1" t="s">
        <v>20</v>
      </c>
      <c r="C346" s="2" t="s">
        <v>516</v>
      </c>
      <c r="D346" s="2" t="s">
        <v>519</v>
      </c>
      <c r="E346" s="2" t="s">
        <v>32</v>
      </c>
      <c r="F346" s="2">
        <v>40906.0</v>
      </c>
      <c r="H346" s="2">
        <v>114799.0</v>
      </c>
      <c r="I346" s="2">
        <v>56110.0</v>
      </c>
      <c r="J346" s="2">
        <v>58689.0</v>
      </c>
    </row>
    <row r="347">
      <c r="A347" s="2">
        <v>2024.0</v>
      </c>
      <c r="B347" s="1" t="s">
        <v>20</v>
      </c>
      <c r="C347" s="2" t="s">
        <v>516</v>
      </c>
      <c r="D347" s="2" t="s">
        <v>519</v>
      </c>
      <c r="E347" s="2" t="s">
        <v>25</v>
      </c>
      <c r="F347" s="2">
        <v>1298835.0</v>
      </c>
      <c r="H347" s="2">
        <v>2948997.0</v>
      </c>
      <c r="I347" s="2">
        <v>1252502.0</v>
      </c>
      <c r="J347" s="2">
        <v>1696495.0</v>
      </c>
    </row>
    <row r="348">
      <c r="A348" s="2">
        <v>2024.0</v>
      </c>
      <c r="B348" s="1" t="s">
        <v>20</v>
      </c>
      <c r="C348" s="2" t="s">
        <v>516</v>
      </c>
      <c r="D348" s="2" t="s">
        <v>519</v>
      </c>
      <c r="E348" s="2" t="s">
        <v>76</v>
      </c>
      <c r="F348" s="2">
        <v>1961808.0</v>
      </c>
      <c r="H348" s="2">
        <v>1961808.0</v>
      </c>
      <c r="I348" s="2">
        <v>1940438.0</v>
      </c>
      <c r="J348" s="2">
        <v>21370.0</v>
      </c>
    </row>
    <row r="349">
      <c r="A349" s="2">
        <v>2024.0</v>
      </c>
      <c r="B349" s="1" t="s">
        <v>20</v>
      </c>
      <c r="C349" s="2" t="s">
        <v>516</v>
      </c>
      <c r="D349" s="2" t="s">
        <v>519</v>
      </c>
      <c r="E349" s="2" t="s">
        <v>27</v>
      </c>
      <c r="F349" s="2">
        <v>356712.0</v>
      </c>
      <c r="H349" s="2">
        <v>2493454.0</v>
      </c>
      <c r="I349" s="2">
        <v>1715570.0</v>
      </c>
      <c r="J349" s="2">
        <v>777884.0</v>
      </c>
    </row>
    <row r="350">
      <c r="A350" s="2">
        <v>2024.0</v>
      </c>
      <c r="B350" s="1" t="s">
        <v>20</v>
      </c>
      <c r="C350" s="2" t="s">
        <v>516</v>
      </c>
      <c r="D350" s="2" t="s">
        <v>519</v>
      </c>
      <c r="E350" s="2" t="s">
        <v>56</v>
      </c>
      <c r="F350" s="2">
        <v>1149068.0</v>
      </c>
      <c r="H350" s="2">
        <v>3461897.0</v>
      </c>
      <c r="I350" s="2">
        <v>2596337.0</v>
      </c>
      <c r="J350" s="2">
        <v>865560.0</v>
      </c>
    </row>
    <row r="351">
      <c r="A351" s="2">
        <v>2024.0</v>
      </c>
      <c r="B351" s="1" t="s">
        <v>20</v>
      </c>
      <c r="C351" s="2" t="s">
        <v>516</v>
      </c>
      <c r="D351" s="2" t="s">
        <v>520</v>
      </c>
      <c r="E351" s="2" t="s">
        <v>32</v>
      </c>
      <c r="F351" s="2">
        <v>31331.0</v>
      </c>
      <c r="H351" s="2">
        <v>117947.0</v>
      </c>
      <c r="I351" s="2">
        <v>20725.0</v>
      </c>
      <c r="J351" s="2">
        <v>97222.0</v>
      </c>
    </row>
    <row r="352">
      <c r="A352" s="2">
        <v>2024.0</v>
      </c>
      <c r="B352" s="1" t="s">
        <v>20</v>
      </c>
      <c r="C352" s="2" t="s">
        <v>516</v>
      </c>
      <c r="D352" s="2" t="s">
        <v>520</v>
      </c>
      <c r="E352" s="2" t="s">
        <v>27</v>
      </c>
      <c r="F352" s="2">
        <v>203078.0</v>
      </c>
      <c r="H352" s="2">
        <v>874384.0</v>
      </c>
      <c r="I352" s="2">
        <v>681067.0</v>
      </c>
      <c r="J352" s="2">
        <v>193317.0</v>
      </c>
    </row>
    <row r="353">
      <c r="A353" s="2">
        <v>2024.0</v>
      </c>
      <c r="B353" s="1" t="s">
        <v>20</v>
      </c>
      <c r="C353" s="2" t="s">
        <v>516</v>
      </c>
      <c r="D353" s="2" t="s">
        <v>520</v>
      </c>
      <c r="E353" s="2" t="s">
        <v>76</v>
      </c>
      <c r="F353" s="2">
        <v>1441587.0</v>
      </c>
      <c r="H353" s="2">
        <v>3018401.0</v>
      </c>
      <c r="I353" s="2">
        <v>1335475.0</v>
      </c>
      <c r="J353" s="2">
        <v>1682926.0</v>
      </c>
    </row>
    <row r="354">
      <c r="A354" s="2">
        <v>2024.0</v>
      </c>
      <c r="B354" s="1" t="s">
        <v>20</v>
      </c>
      <c r="C354" s="2" t="s">
        <v>516</v>
      </c>
      <c r="D354" s="2" t="s">
        <v>520</v>
      </c>
      <c r="E354" s="2" t="s">
        <v>25</v>
      </c>
      <c r="F354" s="2">
        <v>1209561.0</v>
      </c>
      <c r="H354" s="2">
        <v>1839915.0</v>
      </c>
      <c r="I354" s="2">
        <v>552291.0</v>
      </c>
      <c r="J354" s="2">
        <v>1287624.0</v>
      </c>
    </row>
    <row r="355">
      <c r="A355" s="2">
        <v>2024.0</v>
      </c>
      <c r="B355" s="1" t="s">
        <v>20</v>
      </c>
      <c r="C355" s="2" t="s">
        <v>516</v>
      </c>
      <c r="D355" s="2" t="s">
        <v>522</v>
      </c>
      <c r="E355" s="2" t="s">
        <v>27</v>
      </c>
      <c r="F355" s="2">
        <v>164249.0</v>
      </c>
      <c r="H355" s="2">
        <v>705762.0</v>
      </c>
      <c r="I355" s="2">
        <v>525363.0</v>
      </c>
      <c r="J355" s="2">
        <v>180399.0</v>
      </c>
    </row>
    <row r="356">
      <c r="A356" s="2">
        <v>2024.0</v>
      </c>
      <c r="B356" s="1" t="s">
        <v>20</v>
      </c>
      <c r="C356" s="2" t="s">
        <v>516</v>
      </c>
      <c r="D356" s="2" t="s">
        <v>522</v>
      </c>
      <c r="E356" s="2" t="s">
        <v>32</v>
      </c>
      <c r="F356" s="2">
        <v>251938.0</v>
      </c>
      <c r="H356" s="2">
        <v>320368.0</v>
      </c>
      <c r="I356" s="2">
        <v>10000.0</v>
      </c>
      <c r="J356" s="2">
        <v>310368.0</v>
      </c>
    </row>
    <row r="357">
      <c r="A357" s="2">
        <v>2024.0</v>
      </c>
      <c r="B357" s="1" t="s">
        <v>20</v>
      </c>
      <c r="C357" s="2" t="s">
        <v>516</v>
      </c>
      <c r="D357" s="2" t="s">
        <v>522</v>
      </c>
      <c r="E357" s="2" t="s">
        <v>25</v>
      </c>
      <c r="F357" s="2">
        <v>411970.0</v>
      </c>
      <c r="H357" s="2">
        <v>843334.0</v>
      </c>
      <c r="I357" s="2">
        <v>288128.0</v>
      </c>
      <c r="J357" s="2">
        <v>555206.0</v>
      </c>
    </row>
    <row r="358">
      <c r="A358" s="2">
        <v>2024.0</v>
      </c>
      <c r="B358" s="1" t="s">
        <v>20</v>
      </c>
      <c r="C358" s="2" t="s">
        <v>516</v>
      </c>
      <c r="D358" s="2" t="s">
        <v>522</v>
      </c>
      <c r="E358" s="2" t="s">
        <v>76</v>
      </c>
      <c r="F358" s="2">
        <v>122730.0</v>
      </c>
      <c r="H358" s="2">
        <v>122730.0</v>
      </c>
      <c r="I358" s="2">
        <v>60089.0</v>
      </c>
      <c r="J358" s="2">
        <v>62641.0</v>
      </c>
    </row>
    <row r="359">
      <c r="A359" s="2">
        <v>2024.0</v>
      </c>
      <c r="B359" s="1" t="s">
        <v>20</v>
      </c>
      <c r="C359" s="2" t="s">
        <v>516</v>
      </c>
      <c r="D359" s="2" t="s">
        <v>522</v>
      </c>
      <c r="E359" s="2" t="s">
        <v>27</v>
      </c>
      <c r="F359" s="2">
        <v>477286.0</v>
      </c>
      <c r="H359" s="2">
        <v>1893737.0</v>
      </c>
      <c r="I359" s="2">
        <v>1714286.0</v>
      </c>
      <c r="J359" s="2">
        <v>179451.0</v>
      </c>
    </row>
    <row r="360">
      <c r="A360" s="2">
        <v>2024.0</v>
      </c>
      <c r="B360" s="1" t="s">
        <v>20</v>
      </c>
      <c r="C360" s="2" t="s">
        <v>516</v>
      </c>
      <c r="D360" s="2" t="s">
        <v>522</v>
      </c>
      <c r="E360" s="2" t="s">
        <v>78</v>
      </c>
      <c r="F360" s="2">
        <v>331000.0</v>
      </c>
      <c r="H360" s="2">
        <v>607000.0</v>
      </c>
      <c r="I360" s="2">
        <v>66400.0</v>
      </c>
      <c r="J360" s="2">
        <v>540600.0</v>
      </c>
    </row>
    <row r="361">
      <c r="A361" s="2">
        <v>2024.0</v>
      </c>
      <c r="B361" s="1" t="s">
        <v>20</v>
      </c>
      <c r="C361" s="2" t="s">
        <v>516</v>
      </c>
      <c r="D361" s="2" t="s">
        <v>522</v>
      </c>
      <c r="E361" s="2" t="s">
        <v>457</v>
      </c>
      <c r="F361" s="2">
        <v>38835.0</v>
      </c>
      <c r="H361" s="2">
        <v>38835.0</v>
      </c>
      <c r="I361" s="2">
        <v>33550.0</v>
      </c>
      <c r="J361" s="2">
        <v>5285.0</v>
      </c>
    </row>
    <row r="362">
      <c r="A362" s="2">
        <v>2024.0</v>
      </c>
      <c r="B362" s="1" t="s">
        <v>20</v>
      </c>
      <c r="C362" s="2" t="s">
        <v>516</v>
      </c>
      <c r="D362" s="2" t="s">
        <v>522</v>
      </c>
      <c r="E362" s="2" t="s">
        <v>459</v>
      </c>
      <c r="F362" s="2">
        <v>241000.0</v>
      </c>
      <c r="H362" s="2">
        <v>577000.0</v>
      </c>
      <c r="I362" s="2">
        <v>112000.0</v>
      </c>
      <c r="J362" s="2">
        <v>465000.0</v>
      </c>
    </row>
    <row r="363">
      <c r="A363" s="2">
        <v>2024.0</v>
      </c>
      <c r="B363" s="1" t="s">
        <v>20</v>
      </c>
      <c r="C363" s="2" t="s">
        <v>516</v>
      </c>
      <c r="D363" s="2" t="s">
        <v>522</v>
      </c>
      <c r="E363" s="2" t="s">
        <v>527</v>
      </c>
      <c r="F363" s="2">
        <v>173190.0</v>
      </c>
      <c r="H363" s="2">
        <v>209667.0</v>
      </c>
      <c r="I363" s="2">
        <v>0.0</v>
      </c>
      <c r="J363" s="2">
        <v>209667.0</v>
      </c>
    </row>
    <row r="364">
      <c r="A364" s="2">
        <v>2024.0</v>
      </c>
      <c r="B364" s="1" t="s">
        <v>20</v>
      </c>
      <c r="C364" s="2" t="s">
        <v>516</v>
      </c>
      <c r="D364" s="2" t="s">
        <v>528</v>
      </c>
      <c r="E364" s="2" t="s">
        <v>25</v>
      </c>
      <c r="F364" s="2">
        <v>1174773.0</v>
      </c>
      <c r="H364" s="2">
        <v>1734626.0</v>
      </c>
      <c r="I364" s="2">
        <v>655597.0</v>
      </c>
      <c r="J364" s="2">
        <v>1079029.0</v>
      </c>
    </row>
    <row r="365">
      <c r="A365" s="2">
        <v>2024.0</v>
      </c>
      <c r="B365" s="1" t="s">
        <v>20</v>
      </c>
      <c r="C365" s="2" t="s">
        <v>516</v>
      </c>
      <c r="D365" s="2" t="s">
        <v>528</v>
      </c>
      <c r="E365" s="2" t="s">
        <v>32</v>
      </c>
      <c r="F365" s="2">
        <v>337935.0</v>
      </c>
      <c r="H365" s="2">
        <v>660722.0</v>
      </c>
      <c r="I365" s="2">
        <v>376720.0</v>
      </c>
      <c r="J365" s="2">
        <v>284002.0</v>
      </c>
    </row>
    <row r="366">
      <c r="A366" s="2">
        <v>2024.0</v>
      </c>
      <c r="B366" s="1" t="s">
        <v>20</v>
      </c>
      <c r="C366" s="2" t="s">
        <v>516</v>
      </c>
      <c r="D366" s="2" t="s">
        <v>528</v>
      </c>
      <c r="E366" s="2" t="s">
        <v>529</v>
      </c>
      <c r="F366" s="2">
        <v>1955874.0</v>
      </c>
      <c r="H366" s="2">
        <v>3203185.0</v>
      </c>
      <c r="I366" s="2">
        <v>763246.0</v>
      </c>
      <c r="J366" s="2">
        <v>2439939.0</v>
      </c>
    </row>
    <row r="367">
      <c r="A367" s="2">
        <v>2024.0</v>
      </c>
      <c r="B367" s="1" t="s">
        <v>20</v>
      </c>
      <c r="C367" s="2" t="s">
        <v>530</v>
      </c>
      <c r="D367" s="2" t="s">
        <v>531</v>
      </c>
      <c r="E367" s="2" t="s">
        <v>32</v>
      </c>
      <c r="F367" s="2">
        <v>16893.0</v>
      </c>
      <c r="H367" s="2">
        <v>225071.0</v>
      </c>
      <c r="I367" s="2">
        <v>106476.0</v>
      </c>
      <c r="J367" s="2">
        <v>118595.0</v>
      </c>
    </row>
    <row r="368">
      <c r="A368" s="2">
        <v>2024.0</v>
      </c>
      <c r="B368" s="1" t="s">
        <v>20</v>
      </c>
      <c r="C368" s="2" t="s">
        <v>530</v>
      </c>
      <c r="D368" s="2" t="s">
        <v>531</v>
      </c>
      <c r="E368" s="2" t="s">
        <v>25</v>
      </c>
      <c r="F368" s="2">
        <v>2100637.0</v>
      </c>
      <c r="H368" s="2">
        <v>3194438.0</v>
      </c>
      <c r="I368" s="2">
        <v>1279766.0</v>
      </c>
      <c r="J368" s="2">
        <v>1914672.0</v>
      </c>
    </row>
    <row r="369">
      <c r="A369" s="2">
        <v>2024.0</v>
      </c>
      <c r="B369" s="1" t="s">
        <v>20</v>
      </c>
      <c r="C369" s="2" t="s">
        <v>530</v>
      </c>
      <c r="D369" s="2" t="s">
        <v>531</v>
      </c>
      <c r="E369" s="2" t="s">
        <v>533</v>
      </c>
      <c r="F369" s="2">
        <v>896668.0</v>
      </c>
      <c r="H369" s="2">
        <v>3360694.0</v>
      </c>
      <c r="I369" s="2">
        <v>1817926.0</v>
      </c>
      <c r="J369" s="2">
        <v>1542768.0</v>
      </c>
    </row>
    <row r="370">
      <c r="A370" s="2">
        <v>2024.0</v>
      </c>
      <c r="B370" s="1" t="s">
        <v>20</v>
      </c>
      <c r="C370" s="2" t="s">
        <v>530</v>
      </c>
      <c r="D370" s="2" t="s">
        <v>531</v>
      </c>
      <c r="E370" s="2" t="s">
        <v>27</v>
      </c>
      <c r="F370" s="2">
        <v>168896.0</v>
      </c>
      <c r="H370" s="2">
        <v>1739670.0</v>
      </c>
      <c r="I370" s="2">
        <v>1621871.0</v>
      </c>
      <c r="J370" s="2">
        <v>117799.0</v>
      </c>
    </row>
    <row r="371">
      <c r="A371" s="2">
        <v>2024.0</v>
      </c>
      <c r="B371" s="1" t="s">
        <v>20</v>
      </c>
      <c r="C371" s="2" t="s">
        <v>530</v>
      </c>
      <c r="D371" s="2" t="s">
        <v>531</v>
      </c>
      <c r="E371" s="2" t="s">
        <v>536</v>
      </c>
      <c r="F371" s="2">
        <v>4375.0</v>
      </c>
      <c r="H371" s="2">
        <v>891246.0</v>
      </c>
      <c r="I371" s="2">
        <v>829056.0</v>
      </c>
      <c r="J371" s="2">
        <v>62190.0</v>
      </c>
    </row>
    <row r="372">
      <c r="A372" s="2">
        <v>2024.0</v>
      </c>
      <c r="B372" s="1" t="s">
        <v>20</v>
      </c>
      <c r="C372" s="2" t="s">
        <v>530</v>
      </c>
      <c r="D372" s="2" t="s">
        <v>538</v>
      </c>
      <c r="E372" s="2" t="s">
        <v>92</v>
      </c>
      <c r="F372" s="2">
        <v>3610700.0</v>
      </c>
      <c r="H372" s="2">
        <v>6268037.0</v>
      </c>
      <c r="I372" s="2">
        <v>3161356.0</v>
      </c>
      <c r="J372" s="2">
        <v>3106681.0</v>
      </c>
    </row>
    <row r="373">
      <c r="A373" s="2">
        <v>2024.0</v>
      </c>
      <c r="B373" s="1" t="s">
        <v>20</v>
      </c>
      <c r="C373" s="2" t="s">
        <v>530</v>
      </c>
      <c r="D373" s="2" t="s">
        <v>538</v>
      </c>
      <c r="E373" s="2" t="s">
        <v>25</v>
      </c>
      <c r="F373" s="2">
        <v>2952908.0</v>
      </c>
      <c r="H373" s="2">
        <v>4756573.0</v>
      </c>
      <c r="I373" s="2">
        <v>0.0</v>
      </c>
      <c r="J373" s="2">
        <v>4756573.0</v>
      </c>
    </row>
    <row r="374">
      <c r="A374" s="2">
        <v>2024.0</v>
      </c>
      <c r="B374" s="1" t="s">
        <v>20</v>
      </c>
      <c r="C374" s="2" t="s">
        <v>530</v>
      </c>
      <c r="D374" s="2" t="s">
        <v>538</v>
      </c>
      <c r="E374" s="2" t="s">
        <v>540</v>
      </c>
      <c r="F374" s="2">
        <v>185551.0</v>
      </c>
      <c r="H374" s="2">
        <v>197260.0</v>
      </c>
      <c r="I374" s="2">
        <v>65950.0</v>
      </c>
      <c r="J374" s="2">
        <v>131310.0</v>
      </c>
    </row>
    <row r="375">
      <c r="A375" s="2">
        <v>2024.0</v>
      </c>
      <c r="B375" s="1" t="s">
        <v>20</v>
      </c>
      <c r="C375" s="2" t="s">
        <v>530</v>
      </c>
      <c r="D375" s="2" t="s">
        <v>541</v>
      </c>
      <c r="E375" s="2" t="s">
        <v>25</v>
      </c>
      <c r="F375" s="2">
        <v>3200137.0</v>
      </c>
      <c r="H375" s="2">
        <v>4730926.0</v>
      </c>
      <c r="I375" s="2">
        <v>0.0</v>
      </c>
      <c r="J375" s="2">
        <v>4730926.0</v>
      </c>
    </row>
    <row r="376">
      <c r="A376" s="2">
        <v>2024.0</v>
      </c>
      <c r="B376" s="1" t="s">
        <v>20</v>
      </c>
      <c r="C376" s="2" t="s">
        <v>530</v>
      </c>
      <c r="D376" s="2" t="s">
        <v>541</v>
      </c>
      <c r="E376" s="2" t="s">
        <v>32</v>
      </c>
      <c r="F376" s="2">
        <v>76970.0</v>
      </c>
      <c r="H376" s="2">
        <v>130998.0</v>
      </c>
      <c r="I376" s="2">
        <v>57690.0</v>
      </c>
      <c r="J376" s="2">
        <v>73308.0</v>
      </c>
    </row>
    <row r="377">
      <c r="A377" s="2">
        <v>2024.0</v>
      </c>
      <c r="B377" s="1" t="s">
        <v>20</v>
      </c>
      <c r="C377" s="2" t="s">
        <v>530</v>
      </c>
      <c r="D377" s="2" t="s">
        <v>542</v>
      </c>
      <c r="E377" s="2" t="s">
        <v>543</v>
      </c>
      <c r="F377" s="2">
        <v>6834664.0</v>
      </c>
      <c r="H377" s="2">
        <v>1.1529351E7</v>
      </c>
      <c r="I377" s="2">
        <v>4188695.0</v>
      </c>
      <c r="J377" s="2">
        <v>7340656.0</v>
      </c>
    </row>
    <row r="378">
      <c r="A378" s="2">
        <v>2024.0</v>
      </c>
      <c r="B378" s="1" t="s">
        <v>20</v>
      </c>
      <c r="C378" s="2" t="s">
        <v>530</v>
      </c>
      <c r="D378" s="2" t="s">
        <v>542</v>
      </c>
      <c r="E378" s="2" t="s">
        <v>25</v>
      </c>
      <c r="F378" s="2">
        <v>4882539.0</v>
      </c>
      <c r="H378" s="2">
        <v>7452741.0</v>
      </c>
      <c r="I378" s="2">
        <v>881605.0</v>
      </c>
      <c r="J378" s="2">
        <v>6571136.0</v>
      </c>
    </row>
    <row r="379">
      <c r="A379" s="2">
        <v>2024.0</v>
      </c>
      <c r="B379" s="1" t="s">
        <v>20</v>
      </c>
      <c r="C379" s="2" t="s">
        <v>530</v>
      </c>
      <c r="D379" s="2" t="s">
        <v>542</v>
      </c>
      <c r="E379" s="2" t="s">
        <v>32</v>
      </c>
      <c r="F379" s="2">
        <v>1077388.0</v>
      </c>
      <c r="H379" s="2">
        <v>2171351.0</v>
      </c>
      <c r="I379" s="2">
        <v>1065253.0</v>
      </c>
      <c r="J379" s="2">
        <v>1106098.0</v>
      </c>
    </row>
    <row r="380">
      <c r="A380" s="2">
        <v>2024.0</v>
      </c>
      <c r="B380" s="1" t="s">
        <v>20</v>
      </c>
      <c r="C380" s="2" t="s">
        <v>530</v>
      </c>
      <c r="D380" s="2" t="s">
        <v>544</v>
      </c>
      <c r="E380" s="2" t="s">
        <v>32</v>
      </c>
      <c r="F380" s="2">
        <v>75853.0</v>
      </c>
      <c r="H380" s="2">
        <v>331384.0</v>
      </c>
      <c r="I380" s="2">
        <v>300308.0</v>
      </c>
      <c r="J380" s="2">
        <v>31076.0</v>
      </c>
    </row>
    <row r="381">
      <c r="A381" s="2">
        <v>2024.0</v>
      </c>
      <c r="B381" s="1" t="s">
        <v>20</v>
      </c>
      <c r="C381" s="2" t="s">
        <v>530</v>
      </c>
      <c r="D381" s="2" t="s">
        <v>544</v>
      </c>
      <c r="E381" s="2" t="s">
        <v>279</v>
      </c>
      <c r="F381" s="2">
        <v>962184.0</v>
      </c>
      <c r="H381" s="2">
        <v>7658361.0</v>
      </c>
      <c r="I381" s="2">
        <v>6450875.0</v>
      </c>
      <c r="J381" s="2">
        <v>1207486.0</v>
      </c>
    </row>
    <row r="382">
      <c r="A382" s="2">
        <v>2024.0</v>
      </c>
      <c r="B382" s="1" t="s">
        <v>20</v>
      </c>
      <c r="C382" s="2" t="s">
        <v>530</v>
      </c>
      <c r="D382" s="2" t="s">
        <v>544</v>
      </c>
      <c r="E382" s="2" t="s">
        <v>25</v>
      </c>
      <c r="F382" s="2">
        <v>6874763.0</v>
      </c>
      <c r="H382" s="2">
        <v>1.078209E7</v>
      </c>
      <c r="I382" s="2">
        <v>6426378.0</v>
      </c>
      <c r="J382" s="2">
        <v>4355712.0</v>
      </c>
    </row>
    <row r="383">
      <c r="A383" s="2">
        <v>2024.0</v>
      </c>
      <c r="B383" s="1" t="s">
        <v>20</v>
      </c>
      <c r="C383" s="2" t="s">
        <v>550</v>
      </c>
      <c r="D383" s="2" t="s">
        <v>552</v>
      </c>
      <c r="E383" s="2" t="s">
        <v>553</v>
      </c>
      <c r="F383" s="2">
        <v>721098.0</v>
      </c>
      <c r="H383" s="2">
        <v>1519779.0</v>
      </c>
      <c r="I383" s="2">
        <v>1035206.0</v>
      </c>
      <c r="J383" s="2">
        <v>484573.0</v>
      </c>
    </row>
    <row r="384">
      <c r="A384" s="2">
        <v>2024.0</v>
      </c>
      <c r="B384" s="1" t="s">
        <v>20</v>
      </c>
      <c r="C384" s="2" t="s">
        <v>550</v>
      </c>
      <c r="D384" s="2" t="s">
        <v>552</v>
      </c>
      <c r="E384" s="2" t="s">
        <v>25</v>
      </c>
      <c r="F384" s="2">
        <v>2782467.0</v>
      </c>
      <c r="H384" s="2">
        <v>4365569.0</v>
      </c>
      <c r="I384" s="2">
        <v>1851861.0</v>
      </c>
      <c r="J384" s="2">
        <v>2513708.0</v>
      </c>
    </row>
    <row r="385">
      <c r="A385" s="2">
        <v>2024.0</v>
      </c>
      <c r="B385" s="1" t="s">
        <v>20</v>
      </c>
      <c r="C385" s="2" t="s">
        <v>550</v>
      </c>
      <c r="D385" s="2" t="s">
        <v>552</v>
      </c>
      <c r="E385" s="2" t="s">
        <v>558</v>
      </c>
      <c r="F385" s="2">
        <v>3814959.0</v>
      </c>
      <c r="H385" s="2">
        <v>7246401.0</v>
      </c>
      <c r="I385" s="2">
        <v>3950488.0</v>
      </c>
      <c r="J385" s="2">
        <v>3295913.0</v>
      </c>
    </row>
    <row r="386">
      <c r="A386" s="2">
        <v>2024.0</v>
      </c>
      <c r="B386" s="1" t="s">
        <v>20</v>
      </c>
      <c r="C386" s="2" t="s">
        <v>550</v>
      </c>
      <c r="D386" s="2" t="s">
        <v>550</v>
      </c>
      <c r="E386" s="2" t="s">
        <v>560</v>
      </c>
      <c r="F386" s="2">
        <v>3873274.0</v>
      </c>
      <c r="H386" s="2">
        <v>7614543.0</v>
      </c>
      <c r="I386" s="2">
        <v>4234462.0</v>
      </c>
      <c r="J386" s="2">
        <v>3380081.0</v>
      </c>
    </row>
    <row r="387">
      <c r="A387" s="2">
        <v>2024.0</v>
      </c>
      <c r="B387" s="1" t="s">
        <v>20</v>
      </c>
      <c r="C387" s="2" t="s">
        <v>550</v>
      </c>
      <c r="D387" s="2" t="s">
        <v>550</v>
      </c>
      <c r="E387" s="2" t="s">
        <v>32</v>
      </c>
      <c r="F387" s="2">
        <v>448723.0</v>
      </c>
      <c r="H387" s="2">
        <v>965763.0</v>
      </c>
      <c r="I387" s="2">
        <v>766268.0</v>
      </c>
      <c r="J387" s="2">
        <v>199495.0</v>
      </c>
    </row>
    <row r="388">
      <c r="A388" s="2">
        <v>2024.0</v>
      </c>
      <c r="B388" s="1" t="s">
        <v>20</v>
      </c>
      <c r="C388" s="2" t="s">
        <v>550</v>
      </c>
      <c r="D388" s="2" t="s">
        <v>550</v>
      </c>
      <c r="E388" s="2" t="s">
        <v>25</v>
      </c>
    </row>
    <row r="389">
      <c r="A389" s="2">
        <v>2024.0</v>
      </c>
      <c r="B389" s="1" t="s">
        <v>20</v>
      </c>
      <c r="C389" s="2" t="s">
        <v>550</v>
      </c>
      <c r="D389" s="2" t="s">
        <v>565</v>
      </c>
      <c r="E389" s="2" t="s">
        <v>25</v>
      </c>
      <c r="F389" s="2">
        <v>3692820.0</v>
      </c>
      <c r="H389" s="2">
        <v>5419081.0</v>
      </c>
      <c r="I389" s="2">
        <v>2264287.0</v>
      </c>
      <c r="J389" s="2">
        <v>3154794.0</v>
      </c>
    </row>
    <row r="390">
      <c r="A390" s="2">
        <v>2024.0</v>
      </c>
      <c r="B390" s="1" t="s">
        <v>20</v>
      </c>
      <c r="C390" s="2" t="s">
        <v>550</v>
      </c>
      <c r="D390" s="2" t="s">
        <v>565</v>
      </c>
      <c r="E390" s="2" t="s">
        <v>560</v>
      </c>
      <c r="F390" s="2">
        <v>5058200.0</v>
      </c>
      <c r="H390" s="2">
        <v>8675800.0</v>
      </c>
      <c r="I390" s="2">
        <v>3766573.0</v>
      </c>
      <c r="J390" s="2">
        <v>4909227.0</v>
      </c>
    </row>
    <row r="391">
      <c r="A391" s="2">
        <v>2024.0</v>
      </c>
      <c r="B391" s="1" t="s">
        <v>20</v>
      </c>
      <c r="C391" s="2" t="s">
        <v>550</v>
      </c>
      <c r="D391" s="2" t="s">
        <v>565</v>
      </c>
      <c r="E391" s="2" t="s">
        <v>32</v>
      </c>
      <c r="F391" s="2">
        <v>747924.0</v>
      </c>
      <c r="H391" s="2">
        <v>1100362.0</v>
      </c>
      <c r="I391" s="2">
        <v>665113.0</v>
      </c>
      <c r="J391" s="2">
        <v>435249.0</v>
      </c>
    </row>
    <row r="392">
      <c r="A392" s="2">
        <v>2024.0</v>
      </c>
      <c r="B392" s="1" t="s">
        <v>20</v>
      </c>
      <c r="C392" s="2" t="s">
        <v>550</v>
      </c>
      <c r="D392" s="2" t="s">
        <v>567</v>
      </c>
      <c r="E392" s="2" t="s">
        <v>232</v>
      </c>
      <c r="F392" s="2">
        <v>8101718.0</v>
      </c>
      <c r="H392" s="2">
        <v>1.198731E7</v>
      </c>
      <c r="I392" s="2">
        <v>3903524.0</v>
      </c>
      <c r="J392" s="2">
        <v>8083786.0</v>
      </c>
    </row>
    <row r="393">
      <c r="A393" s="2">
        <v>2024.0</v>
      </c>
      <c r="B393" s="1" t="s">
        <v>20</v>
      </c>
      <c r="C393" s="2" t="s">
        <v>550</v>
      </c>
      <c r="D393" s="2" t="s">
        <v>567</v>
      </c>
      <c r="E393" s="2" t="s">
        <v>569</v>
      </c>
      <c r="F393" s="2">
        <v>2314606.0</v>
      </c>
      <c r="H393" s="2">
        <v>2392486.0</v>
      </c>
      <c r="I393" s="2">
        <v>398519.0</v>
      </c>
      <c r="J393" s="2">
        <v>1993967.0</v>
      </c>
    </row>
    <row r="394">
      <c r="A394" s="2">
        <v>2024.0</v>
      </c>
      <c r="B394" s="1" t="s">
        <v>20</v>
      </c>
      <c r="C394" s="2" t="s">
        <v>550</v>
      </c>
      <c r="D394" s="2" t="s">
        <v>567</v>
      </c>
      <c r="E394" s="2" t="s">
        <v>25</v>
      </c>
      <c r="H394" s="2">
        <v>0.0</v>
      </c>
    </row>
    <row r="395">
      <c r="A395" s="2">
        <v>2024.0</v>
      </c>
      <c r="B395" s="1" t="s">
        <v>20</v>
      </c>
      <c r="C395" s="2" t="s">
        <v>550</v>
      </c>
      <c r="D395" s="2" t="s">
        <v>572</v>
      </c>
      <c r="E395" s="2" t="s">
        <v>56</v>
      </c>
      <c r="F395" s="2">
        <v>5705024.0</v>
      </c>
      <c r="H395" s="2">
        <v>1.0838266E7</v>
      </c>
      <c r="I395" s="2">
        <v>5626745.0</v>
      </c>
      <c r="J395" s="2">
        <v>5211521.0</v>
      </c>
    </row>
    <row r="396">
      <c r="A396" s="2">
        <v>2024.0</v>
      </c>
      <c r="B396" s="1" t="s">
        <v>20</v>
      </c>
      <c r="C396" s="2" t="s">
        <v>550</v>
      </c>
      <c r="D396" s="2" t="s">
        <v>572</v>
      </c>
      <c r="E396" s="2" t="s">
        <v>25</v>
      </c>
      <c r="F396" s="2">
        <v>6492688.0</v>
      </c>
      <c r="H396" s="2">
        <v>1.0374087E7</v>
      </c>
      <c r="I396" s="2">
        <v>2400629.0</v>
      </c>
      <c r="J396" s="2">
        <v>7973458.0</v>
      </c>
    </row>
    <row r="397">
      <c r="A397" s="2">
        <v>2024.0</v>
      </c>
      <c r="B397" s="1" t="s">
        <v>20</v>
      </c>
      <c r="C397" s="2" t="s">
        <v>550</v>
      </c>
      <c r="D397" s="2" t="s">
        <v>572</v>
      </c>
      <c r="E397" s="2" t="s">
        <v>32</v>
      </c>
      <c r="F397" s="2">
        <v>726107.0</v>
      </c>
      <c r="H397" s="2">
        <v>1271090.0</v>
      </c>
      <c r="I397" s="2">
        <v>584667.0</v>
      </c>
      <c r="J397" s="2">
        <v>686423.0</v>
      </c>
    </row>
    <row r="398">
      <c r="A398" s="2">
        <v>2024.0</v>
      </c>
      <c r="B398" s="1" t="s">
        <v>20</v>
      </c>
      <c r="C398" s="2" t="s">
        <v>573</v>
      </c>
      <c r="D398" s="2" t="s">
        <v>575</v>
      </c>
      <c r="E398" s="2" t="s">
        <v>25</v>
      </c>
      <c r="F398" s="2">
        <v>2800140.0</v>
      </c>
      <c r="H398" s="2">
        <v>5584922.0</v>
      </c>
      <c r="I398" s="2">
        <v>2412352.0</v>
      </c>
      <c r="J398" s="2">
        <v>3172570.0</v>
      </c>
    </row>
    <row r="399">
      <c r="A399" s="2">
        <v>2024.0</v>
      </c>
      <c r="B399" s="1" t="s">
        <v>20</v>
      </c>
      <c r="C399" s="2" t="s">
        <v>573</v>
      </c>
      <c r="D399" s="2" t="s">
        <v>575</v>
      </c>
      <c r="E399" s="2" t="s">
        <v>228</v>
      </c>
      <c r="F399" s="2">
        <v>1735742.0</v>
      </c>
      <c r="H399" s="2">
        <v>7480181.0</v>
      </c>
      <c r="I399" s="2">
        <v>5326560.0</v>
      </c>
      <c r="J399" s="2">
        <v>2153621.0</v>
      </c>
    </row>
    <row r="400">
      <c r="A400" s="2">
        <v>2024.0</v>
      </c>
      <c r="B400" s="1" t="s">
        <v>20</v>
      </c>
      <c r="C400" s="2" t="s">
        <v>573</v>
      </c>
      <c r="D400" s="2" t="s">
        <v>577</v>
      </c>
      <c r="E400" s="2" t="s">
        <v>25</v>
      </c>
      <c r="F400" s="2">
        <v>3482439.0</v>
      </c>
      <c r="H400" s="2">
        <v>5125953.0</v>
      </c>
      <c r="I400" s="2">
        <v>2585555.0</v>
      </c>
      <c r="J400" s="2">
        <v>2540398.0</v>
      </c>
    </row>
    <row r="401">
      <c r="A401" s="2">
        <v>2024.0</v>
      </c>
      <c r="B401" s="1" t="s">
        <v>20</v>
      </c>
      <c r="C401" s="2" t="s">
        <v>573</v>
      </c>
      <c r="D401" s="2" t="s">
        <v>577</v>
      </c>
      <c r="E401" s="2" t="s">
        <v>32</v>
      </c>
      <c r="F401" s="2">
        <v>189068.0</v>
      </c>
      <c r="H401" s="2">
        <v>923988.0</v>
      </c>
      <c r="I401" s="2">
        <v>638541.0</v>
      </c>
      <c r="J401" s="2">
        <v>285447.0</v>
      </c>
    </row>
    <row r="402">
      <c r="A402" s="2">
        <v>2024.0</v>
      </c>
      <c r="B402" s="1" t="s">
        <v>20</v>
      </c>
      <c r="C402" s="2" t="s">
        <v>573</v>
      </c>
      <c r="D402" s="2" t="s">
        <v>577</v>
      </c>
      <c r="E402" s="2" t="s">
        <v>76</v>
      </c>
      <c r="F402" s="2">
        <v>19237.0</v>
      </c>
      <c r="H402" s="2">
        <v>19237.0</v>
      </c>
      <c r="I402" s="2">
        <v>0.0</v>
      </c>
      <c r="J402" s="2">
        <v>19237.0</v>
      </c>
    </row>
    <row r="403">
      <c r="A403" s="2">
        <v>2024.0</v>
      </c>
      <c r="B403" s="1" t="s">
        <v>20</v>
      </c>
      <c r="C403" s="2" t="s">
        <v>573</v>
      </c>
      <c r="D403" s="2" t="s">
        <v>577</v>
      </c>
      <c r="E403" s="2" t="s">
        <v>27</v>
      </c>
      <c r="F403" s="2">
        <v>986279.0</v>
      </c>
      <c r="H403" s="2">
        <v>4049058.0</v>
      </c>
      <c r="I403" s="2">
        <v>2041105.0</v>
      </c>
      <c r="J403" s="2">
        <v>2007953.0</v>
      </c>
    </row>
    <row r="404">
      <c r="A404" s="2">
        <v>2024.0</v>
      </c>
      <c r="B404" s="1" t="s">
        <v>20</v>
      </c>
      <c r="C404" s="2" t="s">
        <v>573</v>
      </c>
      <c r="D404" s="2" t="s">
        <v>577</v>
      </c>
      <c r="E404" s="2" t="s">
        <v>56</v>
      </c>
      <c r="F404" s="2">
        <v>816043.0</v>
      </c>
      <c r="H404" s="2">
        <v>816043.0</v>
      </c>
      <c r="I404" s="2">
        <v>421079.0</v>
      </c>
      <c r="J404" s="2">
        <v>394964.0</v>
      </c>
    </row>
    <row r="405">
      <c r="A405" s="2">
        <v>2024.0</v>
      </c>
      <c r="B405" s="1" t="s">
        <v>20</v>
      </c>
      <c r="C405" s="2" t="s">
        <v>573</v>
      </c>
      <c r="D405" s="2" t="s">
        <v>580</v>
      </c>
      <c r="E405" s="2" t="s">
        <v>25</v>
      </c>
      <c r="F405" s="2">
        <v>3155337.0</v>
      </c>
      <c r="H405" s="2">
        <v>4637291.0</v>
      </c>
      <c r="I405" s="2">
        <v>1336300.0</v>
      </c>
      <c r="J405" s="2">
        <v>3300991.0</v>
      </c>
    </row>
    <row r="406">
      <c r="A406" s="2">
        <v>2024.0</v>
      </c>
      <c r="B406" s="1" t="s">
        <v>20</v>
      </c>
      <c r="C406" s="2" t="s">
        <v>573</v>
      </c>
      <c r="D406" s="2" t="s">
        <v>580</v>
      </c>
      <c r="E406" s="2" t="s">
        <v>32</v>
      </c>
      <c r="F406" s="2">
        <v>42898.0</v>
      </c>
      <c r="H406" s="2">
        <v>236388.0</v>
      </c>
      <c r="I406" s="2">
        <v>0.0</v>
      </c>
      <c r="J406" s="2">
        <v>236388.0</v>
      </c>
    </row>
    <row r="407">
      <c r="A407" s="2">
        <v>2024.0</v>
      </c>
      <c r="B407" s="1" t="s">
        <v>20</v>
      </c>
      <c r="C407" s="2" t="s">
        <v>573</v>
      </c>
      <c r="D407" s="2" t="s">
        <v>580</v>
      </c>
      <c r="E407" s="2" t="s">
        <v>56</v>
      </c>
      <c r="F407" s="2">
        <v>962440.0</v>
      </c>
      <c r="H407" s="2">
        <v>2064391.0</v>
      </c>
      <c r="I407" s="2">
        <v>1076417.0</v>
      </c>
      <c r="J407" s="2">
        <v>987974.0</v>
      </c>
    </row>
    <row r="408">
      <c r="A408" s="2">
        <v>2024.0</v>
      </c>
      <c r="B408" s="1" t="s">
        <v>20</v>
      </c>
      <c r="C408" s="2" t="s">
        <v>573</v>
      </c>
      <c r="D408" s="2" t="s">
        <v>580</v>
      </c>
      <c r="E408" s="2" t="s">
        <v>27</v>
      </c>
      <c r="H408" s="2">
        <v>869953.0</v>
      </c>
      <c r="I408" s="2">
        <v>869953.0</v>
      </c>
      <c r="J408" s="2">
        <v>0.0</v>
      </c>
    </row>
    <row r="409">
      <c r="A409" s="2">
        <v>2024.0</v>
      </c>
      <c r="B409" s="1" t="s">
        <v>20</v>
      </c>
      <c r="C409" s="2" t="s">
        <v>573</v>
      </c>
      <c r="D409" s="2" t="s">
        <v>582</v>
      </c>
      <c r="E409" s="2" t="s">
        <v>25</v>
      </c>
      <c r="F409" s="2">
        <v>3735394.0</v>
      </c>
      <c r="H409" s="2">
        <v>5443846.0</v>
      </c>
      <c r="I409" s="2">
        <v>1537987.0</v>
      </c>
      <c r="J409" s="2">
        <v>3905859.0</v>
      </c>
    </row>
    <row r="410">
      <c r="A410" s="2">
        <v>2024.0</v>
      </c>
      <c r="B410" s="1" t="s">
        <v>20</v>
      </c>
      <c r="C410" s="2" t="s">
        <v>573</v>
      </c>
      <c r="D410" s="2" t="s">
        <v>582</v>
      </c>
      <c r="E410" s="2" t="s">
        <v>32</v>
      </c>
      <c r="F410" s="2">
        <v>463772.0</v>
      </c>
      <c r="H410" s="2">
        <v>1383977.0</v>
      </c>
      <c r="I410" s="2">
        <v>717154.0</v>
      </c>
      <c r="J410" s="2">
        <v>666823.0</v>
      </c>
    </row>
    <row r="411">
      <c r="A411" s="2">
        <v>2024.0</v>
      </c>
      <c r="B411" s="1" t="s">
        <v>20</v>
      </c>
      <c r="C411" s="2" t="s">
        <v>573</v>
      </c>
      <c r="D411" s="2" t="s">
        <v>582</v>
      </c>
      <c r="E411" s="2" t="s">
        <v>92</v>
      </c>
      <c r="F411" s="2">
        <v>3295985.0</v>
      </c>
      <c r="H411" s="2">
        <v>6118679.0</v>
      </c>
      <c r="I411" s="2">
        <v>2125147.0</v>
      </c>
      <c r="J411" s="2">
        <v>3993532.0</v>
      </c>
    </row>
    <row r="412">
      <c r="A412" s="2">
        <v>2024.0</v>
      </c>
      <c r="B412" s="1" t="s">
        <v>20</v>
      </c>
      <c r="C412" s="2" t="s">
        <v>573</v>
      </c>
      <c r="D412" s="2" t="s">
        <v>584</v>
      </c>
      <c r="E412" s="2" t="s">
        <v>32</v>
      </c>
      <c r="F412" s="2">
        <v>57412.5</v>
      </c>
      <c r="H412" s="2">
        <v>222895.5</v>
      </c>
      <c r="I412" s="2">
        <v>166750.0</v>
      </c>
      <c r="J412" s="2">
        <v>56145.5</v>
      </c>
    </row>
    <row r="413">
      <c r="A413" s="2">
        <v>2024.0</v>
      </c>
      <c r="B413" s="1" t="s">
        <v>20</v>
      </c>
      <c r="C413" s="2" t="s">
        <v>573</v>
      </c>
      <c r="D413" s="2" t="s">
        <v>584</v>
      </c>
      <c r="E413" s="2" t="s">
        <v>25</v>
      </c>
      <c r="F413" s="2">
        <v>1200340.0</v>
      </c>
      <c r="H413" s="2">
        <v>2076340.0</v>
      </c>
      <c r="I413" s="2">
        <v>606747.0</v>
      </c>
      <c r="J413" s="2">
        <v>1469593.0</v>
      </c>
    </row>
    <row r="414">
      <c r="A414" s="2">
        <v>2024.0</v>
      </c>
      <c r="B414" s="1" t="s">
        <v>20</v>
      </c>
      <c r="C414" s="2" t="s">
        <v>573</v>
      </c>
      <c r="D414" s="2" t="s">
        <v>584</v>
      </c>
      <c r="E414" s="2"/>
      <c r="F414" s="2">
        <v>630558.0</v>
      </c>
      <c r="H414" s="2">
        <v>1263622.0</v>
      </c>
      <c r="I414" s="2">
        <v>20985.0</v>
      </c>
      <c r="J414" s="2">
        <v>1242637.0</v>
      </c>
    </row>
    <row r="415">
      <c r="A415" s="2">
        <v>2024.0</v>
      </c>
      <c r="B415" s="1" t="s">
        <v>20</v>
      </c>
      <c r="C415" s="2" t="s">
        <v>573</v>
      </c>
      <c r="D415" s="2" t="s">
        <v>584</v>
      </c>
      <c r="E415" s="2" t="s">
        <v>585</v>
      </c>
      <c r="F415" s="2">
        <v>1503827.0</v>
      </c>
      <c r="H415" s="2">
        <v>4223330.0</v>
      </c>
      <c r="I415" s="2">
        <v>2662315.0</v>
      </c>
      <c r="J415" s="2">
        <v>1561015.0</v>
      </c>
    </row>
    <row r="416">
      <c r="A416" s="2">
        <v>2024.0</v>
      </c>
      <c r="B416" s="1" t="s">
        <v>20</v>
      </c>
      <c r="C416" s="2" t="s">
        <v>573</v>
      </c>
      <c r="D416" s="2" t="s">
        <v>586</v>
      </c>
      <c r="E416" s="2" t="s">
        <v>25</v>
      </c>
      <c r="F416" s="2">
        <v>4957117.0</v>
      </c>
      <c r="H416" s="2">
        <v>6461280.0</v>
      </c>
      <c r="I416" s="2">
        <v>2611311.0</v>
      </c>
      <c r="J416" s="2">
        <v>3849969.0</v>
      </c>
    </row>
    <row r="417">
      <c r="A417" s="2">
        <v>2024.0</v>
      </c>
      <c r="B417" s="1" t="s">
        <v>20</v>
      </c>
      <c r="C417" s="2" t="s">
        <v>573</v>
      </c>
      <c r="D417" s="2" t="s">
        <v>586</v>
      </c>
      <c r="E417" s="2" t="s">
        <v>92</v>
      </c>
      <c r="F417" s="2">
        <v>3796620.0</v>
      </c>
      <c r="H417" s="2">
        <v>7849718.0</v>
      </c>
      <c r="I417" s="2">
        <v>3285999.0</v>
      </c>
      <c r="J417" s="2">
        <v>4563719.0</v>
      </c>
    </row>
    <row r="418">
      <c r="A418" s="2">
        <v>2024.0</v>
      </c>
      <c r="B418" s="1" t="s">
        <v>20</v>
      </c>
      <c r="C418" s="2" t="s">
        <v>573</v>
      </c>
      <c r="D418" s="2" t="s">
        <v>586</v>
      </c>
      <c r="E418" s="2" t="s">
        <v>32</v>
      </c>
      <c r="F418" s="2">
        <v>1532577.0</v>
      </c>
      <c r="H418" s="2">
        <v>2526342.0</v>
      </c>
      <c r="I418" s="2">
        <v>2203849.0</v>
      </c>
      <c r="J418" s="2">
        <v>296889.0</v>
      </c>
    </row>
    <row r="419">
      <c r="A419" s="2">
        <v>2024.0</v>
      </c>
      <c r="B419" s="1" t="s">
        <v>20</v>
      </c>
      <c r="C419" s="2" t="s">
        <v>444</v>
      </c>
      <c r="D419" s="2" t="s">
        <v>589</v>
      </c>
      <c r="E419" s="2" t="s">
        <v>32</v>
      </c>
      <c r="F419" s="2">
        <v>53877.0</v>
      </c>
      <c r="H419" s="2">
        <v>409037.0</v>
      </c>
      <c r="I419" s="2">
        <v>377586.0</v>
      </c>
      <c r="J419" s="2">
        <v>31451.0</v>
      </c>
    </row>
    <row r="420">
      <c r="A420" s="2">
        <v>2024.0</v>
      </c>
      <c r="B420" s="1" t="s">
        <v>20</v>
      </c>
      <c r="C420" s="2" t="s">
        <v>444</v>
      </c>
      <c r="D420" s="2" t="s">
        <v>589</v>
      </c>
      <c r="E420" s="2" t="s">
        <v>25</v>
      </c>
      <c r="F420" s="2">
        <v>3647417.0</v>
      </c>
      <c r="H420" s="2">
        <v>5353221.0</v>
      </c>
      <c r="I420" s="2">
        <v>1939348.0</v>
      </c>
      <c r="J420" s="2">
        <v>3413873.0</v>
      </c>
    </row>
    <row r="421">
      <c r="A421" s="2">
        <v>2024.0</v>
      </c>
      <c r="B421" s="1" t="s">
        <v>20</v>
      </c>
      <c r="C421" s="2" t="s">
        <v>444</v>
      </c>
      <c r="D421" s="2" t="s">
        <v>589</v>
      </c>
      <c r="E421" s="2" t="s">
        <v>590</v>
      </c>
      <c r="F421" s="2">
        <v>1974081.0</v>
      </c>
      <c r="H421" s="2">
        <v>5710015.0</v>
      </c>
      <c r="I421" s="2">
        <v>3592690.0</v>
      </c>
      <c r="J421" s="2">
        <v>2117325.0</v>
      </c>
    </row>
    <row r="422">
      <c r="A422" s="2">
        <v>2024.0</v>
      </c>
      <c r="B422" s="1" t="s">
        <v>20</v>
      </c>
      <c r="C422" s="2" t="s">
        <v>444</v>
      </c>
      <c r="D422" s="2" t="s">
        <v>592</v>
      </c>
      <c r="E422" s="2" t="s">
        <v>25</v>
      </c>
      <c r="F422" s="2">
        <v>1046678.0</v>
      </c>
      <c r="H422" s="2">
        <v>1851785.0</v>
      </c>
      <c r="I422" s="2">
        <v>892777.0</v>
      </c>
      <c r="J422" s="2">
        <v>959008.0</v>
      </c>
    </row>
    <row r="423">
      <c r="A423" s="2">
        <v>2024.0</v>
      </c>
      <c r="B423" s="1" t="s">
        <v>20</v>
      </c>
      <c r="C423" s="2" t="s">
        <v>444</v>
      </c>
      <c r="D423" s="2" t="s">
        <v>592</v>
      </c>
      <c r="E423" s="2" t="s">
        <v>92</v>
      </c>
      <c r="F423" s="2">
        <v>203727.0</v>
      </c>
      <c r="H423" s="2">
        <v>1928130.0</v>
      </c>
      <c r="I423" s="2">
        <v>1636193.0</v>
      </c>
      <c r="J423" s="2">
        <v>291937.0</v>
      </c>
    </row>
    <row r="424">
      <c r="A424" s="2">
        <v>2024.0</v>
      </c>
      <c r="B424" s="1" t="s">
        <v>20</v>
      </c>
      <c r="C424" s="2" t="s">
        <v>444</v>
      </c>
      <c r="D424" s="2" t="s">
        <v>592</v>
      </c>
      <c r="E424" s="2" t="s">
        <v>32</v>
      </c>
      <c r="F424" s="2">
        <v>18443.0</v>
      </c>
      <c r="H424" s="2">
        <v>90441.0</v>
      </c>
      <c r="I424" s="2">
        <v>85115.0</v>
      </c>
      <c r="J424" s="2">
        <v>5326.0</v>
      </c>
    </row>
    <row r="425">
      <c r="A425" s="2">
        <v>2024.0</v>
      </c>
      <c r="B425" s="1" t="s">
        <v>20</v>
      </c>
      <c r="C425" s="2" t="s">
        <v>444</v>
      </c>
      <c r="D425" s="2" t="s">
        <v>593</v>
      </c>
      <c r="E425" s="2" t="s">
        <v>27</v>
      </c>
      <c r="F425" s="2">
        <v>86504.5</v>
      </c>
      <c r="H425" s="2">
        <v>845754.5</v>
      </c>
      <c r="I425" s="2">
        <v>839665.0</v>
      </c>
      <c r="J425" s="2">
        <v>6089.5</v>
      </c>
    </row>
    <row r="426">
      <c r="A426" s="2">
        <v>2024.0</v>
      </c>
      <c r="B426" s="1" t="s">
        <v>20</v>
      </c>
      <c r="C426" s="2" t="s">
        <v>444</v>
      </c>
      <c r="D426" s="2" t="s">
        <v>593</v>
      </c>
      <c r="E426" s="2" t="s">
        <v>25</v>
      </c>
      <c r="F426" s="2">
        <v>1526268.0</v>
      </c>
      <c r="H426" s="2">
        <v>2318010.0</v>
      </c>
      <c r="I426" s="2">
        <v>1202894.0</v>
      </c>
      <c r="J426" s="2">
        <v>1115116.0</v>
      </c>
    </row>
    <row r="427">
      <c r="A427" s="2">
        <v>2024.0</v>
      </c>
      <c r="B427" s="1" t="s">
        <v>20</v>
      </c>
      <c r="C427" s="2" t="s">
        <v>444</v>
      </c>
      <c r="D427" s="2" t="s">
        <v>593</v>
      </c>
      <c r="E427" s="2" t="s">
        <v>56</v>
      </c>
      <c r="F427" s="2">
        <v>139392.0</v>
      </c>
      <c r="H427" s="2">
        <v>734396.0</v>
      </c>
      <c r="I427" s="2">
        <v>299116.0</v>
      </c>
      <c r="J427" s="2">
        <v>435280.0</v>
      </c>
    </row>
    <row r="428">
      <c r="A428" s="2">
        <v>2024.0</v>
      </c>
      <c r="B428" s="1" t="s">
        <v>20</v>
      </c>
      <c r="C428" s="2" t="s">
        <v>444</v>
      </c>
      <c r="D428" s="2" t="s">
        <v>593</v>
      </c>
      <c r="E428" s="2" t="s">
        <v>32</v>
      </c>
      <c r="F428" s="2">
        <v>44374.0</v>
      </c>
      <c r="H428" s="2">
        <v>167679.0</v>
      </c>
      <c r="I428" s="2">
        <v>113105.0</v>
      </c>
      <c r="J428" s="2">
        <v>54574.0</v>
      </c>
    </row>
    <row r="429">
      <c r="A429" s="2">
        <v>2024.0</v>
      </c>
      <c r="B429" s="1" t="s">
        <v>20</v>
      </c>
      <c r="C429" s="2" t="s">
        <v>444</v>
      </c>
      <c r="D429" s="2" t="s">
        <v>444</v>
      </c>
      <c r="E429" s="2" t="s">
        <v>25</v>
      </c>
      <c r="F429" s="2">
        <v>3487406.0</v>
      </c>
      <c r="H429" s="2">
        <v>4255406.0</v>
      </c>
      <c r="J429" s="2">
        <v>3121656.0</v>
      </c>
    </row>
    <row r="430">
      <c r="A430" s="2">
        <v>2024.0</v>
      </c>
      <c r="B430" s="1" t="s">
        <v>20</v>
      </c>
      <c r="C430" s="2" t="s">
        <v>444</v>
      </c>
      <c r="D430" s="2" t="s">
        <v>444</v>
      </c>
      <c r="E430" s="2" t="s">
        <v>78</v>
      </c>
      <c r="F430" s="2">
        <v>1825162.0</v>
      </c>
      <c r="H430" s="2">
        <v>4837482.0</v>
      </c>
      <c r="I430" s="2">
        <v>3158823.0</v>
      </c>
      <c r="J430" s="2">
        <v>1678659.0</v>
      </c>
    </row>
    <row r="431">
      <c r="A431" s="2">
        <v>2024.0</v>
      </c>
      <c r="B431" s="1" t="s">
        <v>20</v>
      </c>
      <c r="C431" s="2" t="s">
        <v>444</v>
      </c>
      <c r="D431" s="2" t="s">
        <v>444</v>
      </c>
      <c r="E431" s="2" t="s">
        <v>32</v>
      </c>
      <c r="F431" s="2">
        <v>97108.0</v>
      </c>
      <c r="H431" s="2">
        <v>886301.0</v>
      </c>
      <c r="I431" s="2">
        <v>582720.0</v>
      </c>
      <c r="J431" s="2">
        <v>303581.0</v>
      </c>
    </row>
    <row r="432">
      <c r="A432" s="2">
        <v>2024.0</v>
      </c>
      <c r="B432" s="1" t="s">
        <v>20</v>
      </c>
      <c r="C432" s="2" t="s">
        <v>597</v>
      </c>
      <c r="D432" s="2" t="s">
        <v>598</v>
      </c>
      <c r="E432" s="2" t="s">
        <v>32</v>
      </c>
      <c r="F432" s="2">
        <v>62084.0</v>
      </c>
      <c r="H432" s="2">
        <v>220873.0</v>
      </c>
      <c r="I432" s="2">
        <v>209868.0</v>
      </c>
      <c r="J432" s="2">
        <v>11005.0</v>
      </c>
    </row>
    <row r="433">
      <c r="A433" s="2">
        <v>2024.0</v>
      </c>
      <c r="B433" s="1" t="s">
        <v>20</v>
      </c>
      <c r="C433" s="2" t="s">
        <v>597</v>
      </c>
      <c r="D433" s="2" t="s">
        <v>598</v>
      </c>
      <c r="E433" s="2" t="s">
        <v>25</v>
      </c>
      <c r="F433" s="2">
        <v>1668506.0</v>
      </c>
      <c r="H433" s="2">
        <v>2697547.0</v>
      </c>
      <c r="I433" s="2">
        <v>1290698.0</v>
      </c>
      <c r="J433" s="2">
        <v>1406849.0</v>
      </c>
    </row>
    <row r="434">
      <c r="A434" s="2">
        <v>2024.0</v>
      </c>
      <c r="B434" s="1" t="s">
        <v>20</v>
      </c>
      <c r="C434" s="2" t="s">
        <v>597</v>
      </c>
      <c r="D434" s="2" t="s">
        <v>598</v>
      </c>
      <c r="E434" s="2" t="s">
        <v>601</v>
      </c>
      <c r="F434" s="2">
        <v>848367.0</v>
      </c>
      <c r="H434" s="2">
        <v>1764193.0</v>
      </c>
      <c r="I434" s="2">
        <v>294868.0</v>
      </c>
      <c r="J434" s="2">
        <v>1469325.0</v>
      </c>
    </row>
    <row r="435">
      <c r="A435" s="2">
        <v>2024.0</v>
      </c>
      <c r="B435" s="1" t="s">
        <v>20</v>
      </c>
      <c r="C435" s="2" t="s">
        <v>597</v>
      </c>
      <c r="D435" s="2" t="s">
        <v>602</v>
      </c>
      <c r="E435" s="2" t="s">
        <v>32</v>
      </c>
      <c r="F435" s="2">
        <v>376563.1</v>
      </c>
      <c r="H435" s="2">
        <v>535683.1</v>
      </c>
      <c r="I435" s="2">
        <v>250630.78</v>
      </c>
      <c r="J435" s="2">
        <v>285052.32</v>
      </c>
    </row>
    <row r="436">
      <c r="A436" s="2">
        <v>2024.0</v>
      </c>
      <c r="B436" s="1" t="s">
        <v>20</v>
      </c>
      <c r="C436" s="2" t="s">
        <v>597</v>
      </c>
      <c r="D436" s="2" t="s">
        <v>602</v>
      </c>
      <c r="E436" s="2" t="s">
        <v>25</v>
      </c>
      <c r="F436" s="2">
        <v>2042799.0</v>
      </c>
      <c r="H436" s="2">
        <v>3070520.0</v>
      </c>
      <c r="I436" s="2">
        <v>183300.0</v>
      </c>
      <c r="J436" s="2">
        <v>2887220.0</v>
      </c>
    </row>
    <row r="437">
      <c r="A437" s="2">
        <v>2024.0</v>
      </c>
      <c r="B437" s="1" t="s">
        <v>20</v>
      </c>
      <c r="C437" s="2" t="s">
        <v>597</v>
      </c>
      <c r="D437" s="2" t="s">
        <v>602</v>
      </c>
      <c r="E437" s="2" t="s">
        <v>76</v>
      </c>
      <c r="F437" s="2">
        <v>80025.0</v>
      </c>
      <c r="H437" s="2">
        <v>80275.0</v>
      </c>
      <c r="I437" s="2">
        <v>0.0</v>
      </c>
      <c r="J437" s="2">
        <v>80275.0</v>
      </c>
    </row>
    <row r="438">
      <c r="A438" s="2">
        <v>2024.0</v>
      </c>
      <c r="B438" s="1" t="s">
        <v>20</v>
      </c>
      <c r="C438" s="2" t="s">
        <v>597</v>
      </c>
      <c r="D438" s="2" t="s">
        <v>602</v>
      </c>
      <c r="E438" s="2" t="s">
        <v>27</v>
      </c>
      <c r="F438" s="2">
        <v>825350.0</v>
      </c>
      <c r="H438" s="2">
        <v>3177353.0</v>
      </c>
      <c r="I438" s="2">
        <v>1896300.0</v>
      </c>
      <c r="J438" s="2">
        <v>1281053.0</v>
      </c>
    </row>
    <row r="439">
      <c r="A439" s="2">
        <v>2024.0</v>
      </c>
      <c r="B439" s="1" t="s">
        <v>20</v>
      </c>
      <c r="C439" s="2" t="s">
        <v>597</v>
      </c>
      <c r="D439" s="2" t="s">
        <v>602</v>
      </c>
      <c r="E439" s="2" t="s">
        <v>56</v>
      </c>
      <c r="F439" s="2">
        <v>1226900.0</v>
      </c>
      <c r="H439" s="2">
        <v>2018991.0</v>
      </c>
      <c r="I439" s="2">
        <v>940154.0</v>
      </c>
      <c r="J439" s="2">
        <v>1078837.0</v>
      </c>
    </row>
    <row r="440">
      <c r="A440" s="2">
        <v>2024.0</v>
      </c>
      <c r="B440" s="1" t="s">
        <v>20</v>
      </c>
      <c r="C440" s="2" t="s">
        <v>597</v>
      </c>
      <c r="D440" s="2" t="s">
        <v>605</v>
      </c>
      <c r="E440" s="2" t="s">
        <v>25</v>
      </c>
      <c r="F440" s="2">
        <v>2026026.0</v>
      </c>
      <c r="H440" s="2">
        <v>3034421.0</v>
      </c>
      <c r="I440" s="2">
        <v>826450.0</v>
      </c>
      <c r="J440" s="2">
        <v>2207971.0</v>
      </c>
    </row>
    <row r="441">
      <c r="A441" s="2">
        <v>2024.0</v>
      </c>
      <c r="B441" s="1" t="s">
        <v>20</v>
      </c>
      <c r="C441" s="2" t="s">
        <v>597</v>
      </c>
      <c r="D441" s="2" t="s">
        <v>605</v>
      </c>
      <c r="E441" s="2" t="s">
        <v>606</v>
      </c>
      <c r="F441" s="2">
        <v>1755000.0</v>
      </c>
      <c r="H441" s="2">
        <v>3397000.0</v>
      </c>
      <c r="I441" s="2">
        <v>338500.0</v>
      </c>
      <c r="J441" s="2">
        <v>3058500.0</v>
      </c>
    </row>
    <row r="442">
      <c r="A442" s="2">
        <v>2024.0</v>
      </c>
      <c r="B442" s="1" t="s">
        <v>20</v>
      </c>
      <c r="C442" s="2" t="s">
        <v>597</v>
      </c>
      <c r="D442" s="2" t="s">
        <v>605</v>
      </c>
      <c r="E442" s="2" t="s">
        <v>32</v>
      </c>
      <c r="F442" s="2">
        <v>473190.0</v>
      </c>
      <c r="H442" s="2">
        <v>686369.0</v>
      </c>
      <c r="I442" s="2">
        <v>103200.0</v>
      </c>
      <c r="J442" s="2">
        <v>583169.0</v>
      </c>
    </row>
    <row r="443">
      <c r="A443" s="2">
        <v>2024.0</v>
      </c>
      <c r="B443" s="1" t="s">
        <v>20</v>
      </c>
      <c r="C443" s="2" t="s">
        <v>597</v>
      </c>
      <c r="D443" s="2" t="s">
        <v>605</v>
      </c>
      <c r="E443" s="2" t="s">
        <v>76</v>
      </c>
      <c r="F443" s="2">
        <v>2100000.0</v>
      </c>
      <c r="H443" s="2">
        <v>2100000.0</v>
      </c>
      <c r="I443" s="2">
        <v>1426083.0</v>
      </c>
      <c r="J443" s="2">
        <v>673917.0</v>
      </c>
    </row>
    <row r="444">
      <c r="A444" s="2">
        <v>2024.0</v>
      </c>
      <c r="B444" s="1" t="s">
        <v>20</v>
      </c>
      <c r="C444" s="2" t="s">
        <v>597</v>
      </c>
      <c r="D444" s="2" t="s">
        <v>605</v>
      </c>
      <c r="E444" s="2" t="s">
        <v>457</v>
      </c>
      <c r="F444" s="2">
        <v>868771.0</v>
      </c>
      <c r="H444" s="2">
        <v>868771.0</v>
      </c>
      <c r="I444" s="2">
        <v>638771.0</v>
      </c>
      <c r="J444" s="2">
        <v>230000.0</v>
      </c>
    </row>
    <row r="445">
      <c r="A445" s="2">
        <v>2024.0</v>
      </c>
      <c r="B445" s="1" t="s">
        <v>20</v>
      </c>
      <c r="C445" s="2" t="s">
        <v>597</v>
      </c>
      <c r="D445" s="2" t="s">
        <v>608</v>
      </c>
      <c r="E445" s="2" t="s">
        <v>609</v>
      </c>
      <c r="F445" s="2">
        <v>1862106.0</v>
      </c>
      <c r="H445" s="2">
        <v>3368028.0</v>
      </c>
      <c r="I445" s="2">
        <v>2364825.0</v>
      </c>
      <c r="J445" s="2">
        <v>1003203.0</v>
      </c>
    </row>
    <row r="446">
      <c r="A446" s="2">
        <v>2024.0</v>
      </c>
      <c r="B446" s="1" t="s">
        <v>20</v>
      </c>
      <c r="C446" s="2" t="s">
        <v>597</v>
      </c>
      <c r="D446" s="2" t="s">
        <v>608</v>
      </c>
      <c r="E446" s="2" t="s">
        <v>25</v>
      </c>
      <c r="F446" s="2">
        <v>1583080.0</v>
      </c>
      <c r="H446" s="2">
        <v>2394022.0</v>
      </c>
      <c r="I446" s="2">
        <v>247403.0</v>
      </c>
      <c r="J446" s="2">
        <v>2146619.0</v>
      </c>
    </row>
    <row r="447">
      <c r="A447" s="2">
        <v>2024.0</v>
      </c>
      <c r="B447" s="1" t="s">
        <v>20</v>
      </c>
      <c r="C447" s="2" t="s">
        <v>597</v>
      </c>
      <c r="D447" s="2" t="s">
        <v>608</v>
      </c>
      <c r="E447" s="2" t="s">
        <v>611</v>
      </c>
      <c r="F447" s="2">
        <v>801506.07</v>
      </c>
      <c r="H447" s="2">
        <v>2845860.07</v>
      </c>
      <c r="I447" s="2">
        <v>2184686.0</v>
      </c>
      <c r="J447" s="2">
        <v>661174.07</v>
      </c>
    </row>
    <row r="448">
      <c r="A448" s="2">
        <v>2024.0</v>
      </c>
      <c r="B448" s="1" t="s">
        <v>20</v>
      </c>
      <c r="C448" s="2" t="s">
        <v>597</v>
      </c>
      <c r="D448" s="2" t="s">
        <v>608</v>
      </c>
      <c r="E448" s="2" t="s">
        <v>32</v>
      </c>
      <c r="F448" s="2">
        <v>122825.0</v>
      </c>
      <c r="H448" s="2">
        <v>237676.0</v>
      </c>
      <c r="I448" s="2">
        <v>166500.0</v>
      </c>
      <c r="J448" s="2">
        <v>71176.0</v>
      </c>
    </row>
    <row r="449">
      <c r="A449" s="2">
        <v>2024.0</v>
      </c>
      <c r="B449" s="1" t="s">
        <v>20</v>
      </c>
      <c r="C449" s="2" t="s">
        <v>597</v>
      </c>
      <c r="D449" s="2" t="s">
        <v>608</v>
      </c>
      <c r="E449" s="2" t="s">
        <v>613</v>
      </c>
      <c r="F449" s="2">
        <v>16065.0</v>
      </c>
      <c r="H449" s="2">
        <v>16673.0</v>
      </c>
      <c r="I449" s="2">
        <v>0.0</v>
      </c>
      <c r="J449" s="2">
        <v>16673.0</v>
      </c>
    </row>
    <row r="450">
      <c r="A450" s="2">
        <v>2024.0</v>
      </c>
      <c r="B450" s="1" t="s">
        <v>20</v>
      </c>
      <c r="C450" s="2" t="s">
        <v>597</v>
      </c>
      <c r="D450" s="2" t="s">
        <v>614</v>
      </c>
      <c r="E450" s="2" t="s">
        <v>32</v>
      </c>
      <c r="F450" s="2">
        <v>45139.0</v>
      </c>
      <c r="H450" s="2">
        <v>153723.0</v>
      </c>
      <c r="I450" s="2">
        <v>130234.0</v>
      </c>
      <c r="J450" s="2">
        <v>23489.0</v>
      </c>
    </row>
    <row r="451">
      <c r="A451" s="2">
        <v>2024.0</v>
      </c>
      <c r="B451" s="1" t="s">
        <v>20</v>
      </c>
      <c r="C451" s="2" t="s">
        <v>597</v>
      </c>
      <c r="D451" s="2" t="s">
        <v>614</v>
      </c>
      <c r="E451" s="2" t="s">
        <v>25</v>
      </c>
      <c r="F451" s="2">
        <v>3268736.0</v>
      </c>
      <c r="H451" s="2">
        <v>4875982.0</v>
      </c>
      <c r="I451" s="2">
        <v>1096539.0</v>
      </c>
      <c r="J451" s="2">
        <v>3779443.0</v>
      </c>
    </row>
    <row r="452">
      <c r="A452" s="2">
        <v>2024.0</v>
      </c>
      <c r="B452" s="1" t="s">
        <v>20</v>
      </c>
      <c r="C452" s="2" t="s">
        <v>597</v>
      </c>
      <c r="D452" s="2" t="s">
        <v>614</v>
      </c>
      <c r="E452" s="2" t="s">
        <v>601</v>
      </c>
      <c r="F452" s="2">
        <v>3324168.0</v>
      </c>
      <c r="H452" s="2">
        <v>7291340.0</v>
      </c>
      <c r="I452" s="2">
        <v>4117328.0</v>
      </c>
      <c r="J452" s="2">
        <v>3174012.0</v>
      </c>
    </row>
    <row r="453">
      <c r="A453" s="2">
        <v>2024.0</v>
      </c>
      <c r="B453" s="1" t="s">
        <v>20</v>
      </c>
      <c r="C453" s="2" t="s">
        <v>597</v>
      </c>
      <c r="D453" s="2" t="s">
        <v>616</v>
      </c>
      <c r="E453" s="2" t="s">
        <v>617</v>
      </c>
      <c r="F453" s="2">
        <v>6828475.0</v>
      </c>
      <c r="H453" s="2">
        <v>9746287.0</v>
      </c>
      <c r="I453" s="2">
        <v>2023129.0</v>
      </c>
      <c r="J453" s="2">
        <v>7723158.0</v>
      </c>
    </row>
    <row r="454">
      <c r="A454" s="2">
        <v>2024.0</v>
      </c>
      <c r="B454" s="1" t="s">
        <v>20</v>
      </c>
      <c r="C454" s="2" t="s">
        <v>597</v>
      </c>
      <c r="D454" s="2" t="s">
        <v>616</v>
      </c>
      <c r="E454" s="2" t="s">
        <v>25</v>
      </c>
      <c r="F454" s="2">
        <v>1656424.0</v>
      </c>
      <c r="H454" s="2">
        <v>2971182.0</v>
      </c>
      <c r="I454" s="2">
        <v>2143018.0</v>
      </c>
      <c r="J454" s="2">
        <v>828164.0</v>
      </c>
    </row>
    <row r="455">
      <c r="A455" s="2">
        <v>2024.0</v>
      </c>
      <c r="B455" s="1" t="s">
        <v>20</v>
      </c>
      <c r="C455" s="2" t="s">
        <v>597</v>
      </c>
      <c r="D455" s="2" t="s">
        <v>616</v>
      </c>
      <c r="E455" s="2" t="s">
        <v>606</v>
      </c>
      <c r="F455" s="2">
        <v>99512.0</v>
      </c>
      <c r="H455" s="2">
        <v>699219.0</v>
      </c>
      <c r="I455" s="2">
        <v>310813.0</v>
      </c>
      <c r="J455" s="2">
        <v>388406.0</v>
      </c>
    </row>
    <row r="456">
      <c r="A456" s="2">
        <v>2024.0</v>
      </c>
      <c r="B456" s="1" t="s">
        <v>20</v>
      </c>
      <c r="C456" s="2" t="s">
        <v>597</v>
      </c>
      <c r="D456" s="2" t="s">
        <v>616</v>
      </c>
      <c r="E456" s="2" t="s">
        <v>32</v>
      </c>
      <c r="F456" s="2">
        <v>291730.0</v>
      </c>
      <c r="H456" s="2">
        <v>688761.0</v>
      </c>
      <c r="I456" s="2">
        <v>316555.0</v>
      </c>
      <c r="J456" s="2">
        <v>372206.0</v>
      </c>
    </row>
    <row r="457">
      <c r="A457" s="2">
        <v>2024.0</v>
      </c>
      <c r="B457" s="1" t="s">
        <v>20</v>
      </c>
      <c r="C457" s="2" t="s">
        <v>597</v>
      </c>
      <c r="D457" s="2" t="s">
        <v>620</v>
      </c>
      <c r="E457" s="2" t="s">
        <v>32</v>
      </c>
      <c r="F457" s="2">
        <v>276897.0</v>
      </c>
      <c r="H457" s="2">
        <v>524673.0</v>
      </c>
      <c r="I457" s="2">
        <v>337504.0</v>
      </c>
      <c r="J457" s="2">
        <v>187169.0</v>
      </c>
    </row>
    <row r="458">
      <c r="A458" s="2">
        <v>2024.0</v>
      </c>
      <c r="B458" s="1" t="s">
        <v>20</v>
      </c>
      <c r="C458" s="2" t="s">
        <v>597</v>
      </c>
      <c r="D458" s="2" t="s">
        <v>620</v>
      </c>
      <c r="E458" s="2" t="s">
        <v>25</v>
      </c>
      <c r="F458" s="2">
        <v>2101037.0</v>
      </c>
      <c r="H458" s="2">
        <v>3161006.0</v>
      </c>
      <c r="I458" s="2">
        <v>999995.0</v>
      </c>
      <c r="J458" s="2">
        <v>2161011.0</v>
      </c>
    </row>
    <row r="459">
      <c r="A459" s="2">
        <v>2024.0</v>
      </c>
      <c r="B459" s="1" t="s">
        <v>20</v>
      </c>
      <c r="C459" s="2" t="s">
        <v>597</v>
      </c>
      <c r="D459" s="2" t="s">
        <v>620</v>
      </c>
      <c r="E459" s="2" t="s">
        <v>56</v>
      </c>
      <c r="F459" s="2">
        <v>2405144.8</v>
      </c>
      <c r="H459" s="2">
        <v>5546906.0</v>
      </c>
      <c r="I459" s="2">
        <v>3000468.0</v>
      </c>
      <c r="J459" s="2">
        <v>2546438.8</v>
      </c>
    </row>
    <row r="460">
      <c r="A460" s="2">
        <v>2024.0</v>
      </c>
      <c r="B460" s="1" t="s">
        <v>20</v>
      </c>
      <c r="C460" s="2" t="s">
        <v>597</v>
      </c>
      <c r="D460" s="2" t="s">
        <v>622</v>
      </c>
      <c r="E460" s="2" t="s">
        <v>56</v>
      </c>
      <c r="F460" s="2">
        <v>3446736.0</v>
      </c>
      <c r="H460" s="2">
        <v>7521858.0</v>
      </c>
      <c r="I460" s="2">
        <v>3787885.0</v>
      </c>
      <c r="J460" s="2">
        <v>3733973.0</v>
      </c>
    </row>
    <row r="461">
      <c r="A461" s="2">
        <v>2024.0</v>
      </c>
      <c r="B461" s="1" t="s">
        <v>20</v>
      </c>
      <c r="C461" s="2" t="s">
        <v>597</v>
      </c>
      <c r="D461" s="2" t="s">
        <v>622</v>
      </c>
      <c r="E461" s="2" t="s">
        <v>25</v>
      </c>
      <c r="F461" s="2">
        <v>1794257.0</v>
      </c>
      <c r="H461" s="2">
        <v>2822773.0</v>
      </c>
      <c r="I461" s="2">
        <v>1275734.0</v>
      </c>
      <c r="J461" s="2">
        <v>1547039.0</v>
      </c>
    </row>
    <row r="462">
      <c r="A462" s="2">
        <v>2024.0</v>
      </c>
      <c r="B462" s="1" t="s">
        <v>20</v>
      </c>
      <c r="C462" s="2" t="s">
        <v>597</v>
      </c>
      <c r="D462" s="2" t="s">
        <v>625</v>
      </c>
      <c r="E462" s="2" t="s">
        <v>32</v>
      </c>
      <c r="F462" s="2">
        <v>126695.5</v>
      </c>
      <c r="H462" s="2">
        <v>296270.5</v>
      </c>
      <c r="I462" s="2">
        <v>144039.0</v>
      </c>
      <c r="J462" s="2">
        <v>152231.5</v>
      </c>
    </row>
    <row r="463">
      <c r="A463" s="2">
        <v>2024.0</v>
      </c>
      <c r="B463" s="1" t="s">
        <v>20</v>
      </c>
      <c r="C463" s="2" t="s">
        <v>597</v>
      </c>
      <c r="D463" s="2" t="s">
        <v>625</v>
      </c>
      <c r="E463" s="2" t="s">
        <v>25</v>
      </c>
      <c r="F463" s="2">
        <v>2730666.0</v>
      </c>
      <c r="H463" s="2">
        <v>4079771.0</v>
      </c>
      <c r="I463" s="2">
        <v>1793164.0</v>
      </c>
      <c r="J463" s="2">
        <v>2286607.0</v>
      </c>
    </row>
    <row r="464">
      <c r="A464" s="2">
        <v>2024.0</v>
      </c>
      <c r="B464" s="1" t="s">
        <v>20</v>
      </c>
      <c r="C464" s="2" t="s">
        <v>597</v>
      </c>
      <c r="D464" s="2" t="s">
        <v>625</v>
      </c>
      <c r="E464" s="2" t="s">
        <v>76</v>
      </c>
      <c r="F464" s="2">
        <v>1672112.7</v>
      </c>
      <c r="H464" s="2">
        <v>1672112.7</v>
      </c>
      <c r="I464" s="2">
        <v>965870.0</v>
      </c>
      <c r="J464" s="2">
        <v>706242.7</v>
      </c>
    </row>
    <row r="465">
      <c r="A465" s="2">
        <v>2024.0</v>
      </c>
      <c r="B465" s="1" t="s">
        <v>20</v>
      </c>
      <c r="C465" s="2" t="s">
        <v>597</v>
      </c>
      <c r="D465" s="2" t="s">
        <v>625</v>
      </c>
      <c r="E465" s="2" t="s">
        <v>27</v>
      </c>
      <c r="F465" s="2">
        <v>0.0</v>
      </c>
      <c r="H465" s="2">
        <v>1779885.0</v>
      </c>
      <c r="I465" s="2">
        <v>1779885.0</v>
      </c>
      <c r="J465" s="2">
        <v>0.0</v>
      </c>
    </row>
    <row r="466">
      <c r="A466" s="2">
        <v>2024.0</v>
      </c>
      <c r="B466" s="1" t="s">
        <v>20</v>
      </c>
      <c r="C466" s="2" t="s">
        <v>597</v>
      </c>
      <c r="D466" s="2" t="s">
        <v>625</v>
      </c>
      <c r="E466" s="2" t="s">
        <v>56</v>
      </c>
      <c r="F466" s="2">
        <v>2153812.7</v>
      </c>
      <c r="H466" s="2">
        <v>3164045.7</v>
      </c>
      <c r="I466" s="2">
        <v>861195.8</v>
      </c>
      <c r="J466" s="2">
        <v>2302849.94</v>
      </c>
    </row>
    <row r="467">
      <c r="A467" s="2">
        <v>2024.0</v>
      </c>
      <c r="B467" s="1" t="s">
        <v>20</v>
      </c>
      <c r="C467" s="2" t="s">
        <v>597</v>
      </c>
      <c r="D467" s="2" t="s">
        <v>627</v>
      </c>
      <c r="E467" s="2" t="s">
        <v>25</v>
      </c>
      <c r="F467" s="2">
        <v>1770274.0</v>
      </c>
      <c r="H467" s="2">
        <v>2614562.0</v>
      </c>
      <c r="I467" s="2">
        <v>0.0</v>
      </c>
      <c r="J467" s="2">
        <v>2614562.0</v>
      </c>
    </row>
    <row r="468">
      <c r="A468" s="2">
        <v>2024.0</v>
      </c>
      <c r="B468" s="1" t="s">
        <v>20</v>
      </c>
      <c r="C468" s="2" t="s">
        <v>597</v>
      </c>
      <c r="D468" s="2" t="s">
        <v>627</v>
      </c>
      <c r="E468" s="2" t="s">
        <v>629</v>
      </c>
      <c r="F468" s="2">
        <v>2065135.0</v>
      </c>
      <c r="H468" s="2">
        <v>5116252.0</v>
      </c>
      <c r="I468" s="2">
        <v>3109550.0</v>
      </c>
      <c r="J468" s="2">
        <v>2006702.0</v>
      </c>
    </row>
    <row r="469">
      <c r="A469" s="2">
        <v>2024.0</v>
      </c>
      <c r="B469" s="1" t="s">
        <v>20</v>
      </c>
      <c r="C469" s="2" t="s">
        <v>631</v>
      </c>
      <c r="D469" s="2" t="s">
        <v>632</v>
      </c>
      <c r="E469" s="2" t="s">
        <v>25</v>
      </c>
      <c r="F469" s="2">
        <v>1982793.0</v>
      </c>
      <c r="H469" s="2">
        <v>3129768.0</v>
      </c>
      <c r="I469" s="2">
        <v>1524928.0</v>
      </c>
      <c r="J469" s="2">
        <v>1604840.0</v>
      </c>
    </row>
    <row r="470">
      <c r="A470" s="2">
        <v>2024.0</v>
      </c>
      <c r="B470" s="1" t="s">
        <v>20</v>
      </c>
      <c r="C470" s="2" t="s">
        <v>631</v>
      </c>
      <c r="D470" s="2" t="s">
        <v>632</v>
      </c>
      <c r="E470" s="2" t="s">
        <v>54</v>
      </c>
      <c r="F470" s="2">
        <v>1782320.0</v>
      </c>
      <c r="H470" s="2">
        <v>6134674.0</v>
      </c>
      <c r="I470" s="2">
        <v>3715632.0</v>
      </c>
      <c r="J470" s="2">
        <v>2419042.0</v>
      </c>
    </row>
    <row r="471">
      <c r="A471" s="2">
        <v>2024.0</v>
      </c>
      <c r="B471" s="1" t="s">
        <v>20</v>
      </c>
      <c r="C471" s="2" t="s">
        <v>631</v>
      </c>
      <c r="D471" s="2" t="s">
        <v>636</v>
      </c>
      <c r="E471" s="2" t="s">
        <v>25</v>
      </c>
      <c r="F471" s="2">
        <v>1953805.0</v>
      </c>
      <c r="H471" s="2">
        <v>3186434.0</v>
      </c>
      <c r="I471" s="2">
        <v>1614551.0</v>
      </c>
      <c r="J471" s="2">
        <v>1571883.0</v>
      </c>
    </row>
    <row r="472">
      <c r="A472" s="2">
        <v>2024.0</v>
      </c>
      <c r="B472" s="1" t="s">
        <v>20</v>
      </c>
      <c r="C472" s="2" t="s">
        <v>631</v>
      </c>
      <c r="D472" s="2" t="s">
        <v>636</v>
      </c>
      <c r="E472" s="2" t="s">
        <v>394</v>
      </c>
      <c r="F472" s="2">
        <v>1867995.0</v>
      </c>
      <c r="H472" s="2">
        <v>2965945.0</v>
      </c>
      <c r="I472" s="2">
        <v>638669.0</v>
      </c>
      <c r="J472" s="2">
        <v>2327276.0</v>
      </c>
    </row>
    <row r="473">
      <c r="A473" s="2">
        <v>2024.0</v>
      </c>
      <c r="B473" s="1" t="s">
        <v>20</v>
      </c>
      <c r="C473" s="2" t="s">
        <v>631</v>
      </c>
      <c r="D473" s="2" t="s">
        <v>636</v>
      </c>
      <c r="E473" s="2" t="s">
        <v>27</v>
      </c>
      <c r="F473" s="2">
        <v>0.0</v>
      </c>
      <c r="H473" s="2">
        <v>739416.0</v>
      </c>
      <c r="I473" s="2">
        <v>739416.0</v>
      </c>
      <c r="J473" s="2">
        <v>0.0</v>
      </c>
    </row>
    <row r="474">
      <c r="A474" s="2">
        <v>2024.0</v>
      </c>
      <c r="B474" s="1" t="s">
        <v>20</v>
      </c>
      <c r="C474" s="2" t="s">
        <v>631</v>
      </c>
      <c r="D474" s="2" t="s">
        <v>636</v>
      </c>
      <c r="E474" s="2" t="s">
        <v>639</v>
      </c>
      <c r="F474" s="2">
        <v>616250.0</v>
      </c>
      <c r="H474" s="2">
        <v>616250.0</v>
      </c>
      <c r="I474" s="2">
        <v>616250.0</v>
      </c>
      <c r="J474" s="2">
        <v>0.0</v>
      </c>
    </row>
    <row r="475">
      <c r="A475" s="2">
        <v>2024.0</v>
      </c>
      <c r="B475" s="1" t="s">
        <v>20</v>
      </c>
      <c r="C475" s="2" t="s">
        <v>631</v>
      </c>
      <c r="D475" s="2" t="s">
        <v>631</v>
      </c>
      <c r="E475" s="2" t="s">
        <v>25</v>
      </c>
      <c r="F475" s="2">
        <v>4599984.0</v>
      </c>
      <c r="H475" s="2">
        <v>6752568.0</v>
      </c>
      <c r="I475" s="2">
        <v>1414654.0</v>
      </c>
      <c r="J475" s="2">
        <v>5337914.0</v>
      </c>
    </row>
    <row r="476">
      <c r="A476" s="2">
        <v>2024.0</v>
      </c>
      <c r="B476" s="1" t="s">
        <v>20</v>
      </c>
      <c r="C476" s="2" t="s">
        <v>631</v>
      </c>
      <c r="D476" s="2" t="s">
        <v>631</v>
      </c>
      <c r="E476" s="2" t="s">
        <v>56</v>
      </c>
      <c r="F476" s="2">
        <v>1993219.0</v>
      </c>
      <c r="H476" s="2">
        <v>3215465.0</v>
      </c>
      <c r="I476" s="2">
        <v>1157508.0</v>
      </c>
      <c r="J476" s="2">
        <v>2057957.0</v>
      </c>
    </row>
    <row r="477">
      <c r="A477" s="2">
        <v>2024.0</v>
      </c>
      <c r="B477" s="1" t="s">
        <v>20</v>
      </c>
      <c r="C477" s="2" t="s">
        <v>631</v>
      </c>
      <c r="D477" s="2" t="s">
        <v>631</v>
      </c>
      <c r="E477" s="2" t="s">
        <v>27</v>
      </c>
      <c r="H477" s="2">
        <v>1177250.0</v>
      </c>
      <c r="I477" s="2">
        <v>1177250.0</v>
      </c>
      <c r="J477" s="2">
        <v>0.0</v>
      </c>
    </row>
    <row r="478">
      <c r="A478" s="2">
        <v>2024.0</v>
      </c>
      <c r="B478" s="1" t="s">
        <v>20</v>
      </c>
      <c r="C478" s="2" t="s">
        <v>631</v>
      </c>
      <c r="D478" s="2" t="s">
        <v>631</v>
      </c>
      <c r="E478" s="2" t="s">
        <v>32</v>
      </c>
      <c r="F478" s="2">
        <v>250000.0</v>
      </c>
      <c r="H478" s="2">
        <v>554203.0</v>
      </c>
      <c r="I478" s="2">
        <v>455000.0</v>
      </c>
      <c r="J478" s="2">
        <v>99203.0</v>
      </c>
    </row>
    <row r="479">
      <c r="A479" s="2">
        <v>2024.0</v>
      </c>
      <c r="B479" s="1" t="s">
        <v>20</v>
      </c>
      <c r="C479" s="2" t="s">
        <v>631</v>
      </c>
      <c r="D479" s="2" t="s">
        <v>643</v>
      </c>
      <c r="E479" s="2" t="s">
        <v>25</v>
      </c>
      <c r="F479" s="2">
        <v>3395401.0</v>
      </c>
      <c r="H479" s="2">
        <v>4998740.0</v>
      </c>
      <c r="I479" s="2">
        <v>1641243.0</v>
      </c>
      <c r="J479" s="2">
        <v>3357497.0</v>
      </c>
    </row>
    <row r="480">
      <c r="A480" s="2">
        <v>2024.0</v>
      </c>
      <c r="B480" s="1" t="s">
        <v>20</v>
      </c>
      <c r="C480" s="2" t="s">
        <v>631</v>
      </c>
      <c r="D480" s="2" t="s">
        <v>643</v>
      </c>
      <c r="E480" s="2" t="s">
        <v>78</v>
      </c>
      <c r="F480" s="2">
        <v>2211852.0</v>
      </c>
      <c r="H480" s="2">
        <v>3379852.0</v>
      </c>
      <c r="I480" s="2">
        <v>2444251.0</v>
      </c>
      <c r="J480" s="2">
        <v>935601.0</v>
      </c>
    </row>
    <row r="481">
      <c r="A481" s="2">
        <v>2024.0</v>
      </c>
      <c r="B481" s="1" t="s">
        <v>20</v>
      </c>
      <c r="C481" s="2" t="s">
        <v>631</v>
      </c>
      <c r="D481" s="2" t="s">
        <v>643</v>
      </c>
      <c r="E481" s="2" t="s">
        <v>27</v>
      </c>
      <c r="F481" s="2">
        <v>92213.0</v>
      </c>
      <c r="H481" s="2">
        <v>1826112.0</v>
      </c>
      <c r="I481" s="2">
        <v>1637999.0</v>
      </c>
      <c r="J481" s="2">
        <v>188113.0</v>
      </c>
    </row>
    <row r="482">
      <c r="A482" s="2">
        <v>2024.0</v>
      </c>
      <c r="B482" s="1" t="s">
        <v>20</v>
      </c>
      <c r="C482" s="2" t="s">
        <v>631</v>
      </c>
      <c r="D482" s="2" t="s">
        <v>643</v>
      </c>
      <c r="E482" s="2" t="s">
        <v>32</v>
      </c>
      <c r="F482" s="2">
        <v>92350.0</v>
      </c>
      <c r="H482" s="2">
        <v>523876.0</v>
      </c>
      <c r="I482" s="2">
        <v>511318.0</v>
      </c>
      <c r="J482" s="2">
        <v>12558.0</v>
      </c>
    </row>
    <row r="483">
      <c r="A483" s="2">
        <v>2024.0</v>
      </c>
      <c r="B483" s="1" t="s">
        <v>20</v>
      </c>
      <c r="C483" s="2" t="s">
        <v>631</v>
      </c>
      <c r="D483" s="2" t="s">
        <v>645</v>
      </c>
      <c r="E483" s="2" t="s">
        <v>25</v>
      </c>
      <c r="F483" s="2">
        <v>2859542.0</v>
      </c>
      <c r="H483" s="2">
        <v>4222480.0</v>
      </c>
      <c r="I483" s="2">
        <v>1503579.0</v>
      </c>
      <c r="J483" s="2">
        <v>2718901.0</v>
      </c>
    </row>
    <row r="484">
      <c r="A484" s="2">
        <v>2024.0</v>
      </c>
      <c r="B484" s="1" t="s">
        <v>20</v>
      </c>
      <c r="C484" s="2" t="s">
        <v>631</v>
      </c>
      <c r="D484" s="2" t="s">
        <v>645</v>
      </c>
      <c r="E484" s="2" t="s">
        <v>78</v>
      </c>
      <c r="F484" s="2">
        <v>1668779.0</v>
      </c>
      <c r="H484" s="2">
        <v>2660779.0</v>
      </c>
      <c r="I484" s="2">
        <v>1754356.0</v>
      </c>
      <c r="J484" s="2">
        <v>906423.0</v>
      </c>
    </row>
    <row r="485">
      <c r="A485" s="2">
        <v>2024.0</v>
      </c>
      <c r="B485" s="1" t="s">
        <v>20</v>
      </c>
      <c r="C485" s="2" t="s">
        <v>631</v>
      </c>
      <c r="D485" s="2" t="s">
        <v>645</v>
      </c>
      <c r="E485" s="2" t="s">
        <v>32</v>
      </c>
      <c r="F485" s="2">
        <v>454757.0</v>
      </c>
      <c r="H485" s="2">
        <v>778333.0</v>
      </c>
      <c r="I485" s="2">
        <v>221300.0</v>
      </c>
      <c r="J485" s="2">
        <v>557033.0</v>
      </c>
    </row>
    <row r="486">
      <c r="A486" s="2">
        <v>2024.0</v>
      </c>
      <c r="B486" s="1" t="s">
        <v>20</v>
      </c>
      <c r="C486" s="2" t="s">
        <v>631</v>
      </c>
      <c r="D486" s="2" t="s">
        <v>645</v>
      </c>
      <c r="E486" s="2" t="s">
        <v>27</v>
      </c>
      <c r="H486" s="2">
        <v>2667336.0</v>
      </c>
      <c r="I486" s="2">
        <v>2587359.0</v>
      </c>
      <c r="J486" s="2">
        <v>79977.0</v>
      </c>
    </row>
    <row r="487">
      <c r="A487" s="2">
        <v>2024.0</v>
      </c>
      <c r="B487" s="1" t="s">
        <v>20</v>
      </c>
      <c r="C487" s="2" t="s">
        <v>631</v>
      </c>
      <c r="D487" s="2" t="s">
        <v>648</v>
      </c>
      <c r="E487" s="2" t="s">
        <v>296</v>
      </c>
      <c r="F487" s="2">
        <v>1106455.0</v>
      </c>
      <c r="H487" s="2">
        <v>3018233.0</v>
      </c>
      <c r="I487" s="2">
        <v>1361606.0</v>
      </c>
      <c r="J487" s="2">
        <v>1656627.0</v>
      </c>
    </row>
    <row r="488">
      <c r="A488" s="2">
        <v>2024.0</v>
      </c>
      <c r="B488" s="1" t="s">
        <v>20</v>
      </c>
      <c r="C488" s="2" t="s">
        <v>631</v>
      </c>
      <c r="D488" s="2" t="s">
        <v>648</v>
      </c>
      <c r="E488" s="2" t="s">
        <v>25</v>
      </c>
      <c r="F488" s="2">
        <v>2251609.0</v>
      </c>
      <c r="H488" s="2">
        <v>3560737.0</v>
      </c>
      <c r="I488" s="2">
        <v>986353.0</v>
      </c>
      <c r="J488" s="2">
        <v>2574384.0</v>
      </c>
    </row>
    <row r="489">
      <c r="A489" s="2">
        <v>2024.0</v>
      </c>
      <c r="B489" s="1" t="s">
        <v>20</v>
      </c>
      <c r="C489" s="2" t="s">
        <v>650</v>
      </c>
      <c r="D489" s="2" t="s">
        <v>651</v>
      </c>
      <c r="E489" s="2" t="s">
        <v>25</v>
      </c>
      <c r="F489" s="2">
        <v>2485453.0</v>
      </c>
      <c r="H489" s="2">
        <v>4143524.0</v>
      </c>
      <c r="I489" s="2">
        <v>1477419.0</v>
      </c>
      <c r="J489" s="2">
        <v>2666105.0</v>
      </c>
    </row>
    <row r="490">
      <c r="A490" s="2">
        <v>2024.0</v>
      </c>
      <c r="B490" s="1" t="s">
        <v>20</v>
      </c>
      <c r="C490" s="2" t="s">
        <v>650</v>
      </c>
      <c r="D490" s="2" t="s">
        <v>651</v>
      </c>
      <c r="E490" s="2" t="s">
        <v>78</v>
      </c>
      <c r="F490" s="2">
        <v>1476275.0</v>
      </c>
      <c r="H490" s="2">
        <v>2911617.0</v>
      </c>
      <c r="I490" s="2">
        <v>601298.0</v>
      </c>
      <c r="J490" s="2">
        <v>2310319.0</v>
      </c>
    </row>
    <row r="491">
      <c r="A491" s="2">
        <v>2024.0</v>
      </c>
      <c r="B491" s="1" t="s">
        <v>20</v>
      </c>
      <c r="C491" s="2" t="s">
        <v>650</v>
      </c>
      <c r="D491" s="2" t="s">
        <v>651</v>
      </c>
      <c r="E491" s="2" t="s">
        <v>27</v>
      </c>
      <c r="F491" s="2">
        <v>367626.0</v>
      </c>
      <c r="H491" s="2">
        <v>2238639.0</v>
      </c>
      <c r="I491" s="2">
        <v>1916623.0</v>
      </c>
      <c r="J491" s="2">
        <v>322016.0</v>
      </c>
    </row>
    <row r="492">
      <c r="A492" s="2">
        <v>2024.0</v>
      </c>
      <c r="B492" s="1" t="s">
        <v>20</v>
      </c>
      <c r="C492" s="2" t="s">
        <v>650</v>
      </c>
      <c r="D492" s="2" t="s">
        <v>651</v>
      </c>
      <c r="E492" s="2" t="s">
        <v>653</v>
      </c>
      <c r="F492" s="2">
        <v>0.0</v>
      </c>
      <c r="H492" s="2">
        <v>38000.0</v>
      </c>
      <c r="I492" s="2">
        <v>38000.0</v>
      </c>
      <c r="J492" s="2">
        <v>0.0</v>
      </c>
    </row>
    <row r="493">
      <c r="A493" s="2">
        <v>2024.0</v>
      </c>
      <c r="B493" s="1" t="s">
        <v>20</v>
      </c>
      <c r="C493" s="2" t="s">
        <v>650</v>
      </c>
      <c r="D493" s="2" t="s">
        <v>651</v>
      </c>
      <c r="E493" s="2" t="s">
        <v>654</v>
      </c>
      <c r="F493" s="2">
        <v>0.0</v>
      </c>
      <c r="H493" s="2">
        <v>623250.0</v>
      </c>
      <c r="I493" s="2">
        <v>558750.0</v>
      </c>
      <c r="J493" s="2">
        <v>64500.0</v>
      </c>
    </row>
    <row r="494">
      <c r="A494" s="2">
        <v>2024.0</v>
      </c>
      <c r="B494" s="1" t="s">
        <v>20</v>
      </c>
      <c r="C494" s="2" t="s">
        <v>650</v>
      </c>
      <c r="D494" s="2" t="s">
        <v>651</v>
      </c>
      <c r="E494" s="2" t="s">
        <v>32</v>
      </c>
      <c r="F494" s="2">
        <v>531585.0</v>
      </c>
      <c r="H494" s="2">
        <v>980395.0</v>
      </c>
      <c r="I494" s="2">
        <v>767467.0</v>
      </c>
      <c r="J494" s="2">
        <v>212928.0</v>
      </c>
    </row>
    <row r="495">
      <c r="A495" s="2">
        <v>2024.0</v>
      </c>
      <c r="B495" s="1" t="s">
        <v>20</v>
      </c>
      <c r="C495" s="2" t="s">
        <v>650</v>
      </c>
      <c r="D495" s="2" t="s">
        <v>651</v>
      </c>
      <c r="E495" s="2" t="s">
        <v>457</v>
      </c>
      <c r="F495" s="2">
        <v>9900.0</v>
      </c>
      <c r="H495" s="2">
        <v>9900.0</v>
      </c>
      <c r="I495" s="2">
        <v>9900.0</v>
      </c>
      <c r="J495" s="2">
        <v>0.0</v>
      </c>
    </row>
    <row r="496">
      <c r="A496" s="2">
        <v>2024.0</v>
      </c>
      <c r="B496" s="1" t="s">
        <v>20</v>
      </c>
      <c r="C496" s="2" t="s">
        <v>650</v>
      </c>
      <c r="D496" s="2" t="s">
        <v>651</v>
      </c>
      <c r="E496" s="2" t="s">
        <v>76</v>
      </c>
      <c r="F496" s="2">
        <v>163371.0</v>
      </c>
      <c r="H496" s="2">
        <v>163371.0</v>
      </c>
      <c r="I496" s="2">
        <v>163371.0</v>
      </c>
      <c r="J496" s="2">
        <v>0.0</v>
      </c>
    </row>
    <row r="497">
      <c r="A497" s="2">
        <v>2024.0</v>
      </c>
      <c r="B497" s="1" t="s">
        <v>20</v>
      </c>
      <c r="C497" s="2" t="s">
        <v>650</v>
      </c>
      <c r="D497" s="2" t="s">
        <v>657</v>
      </c>
      <c r="E497" s="2" t="s">
        <v>25</v>
      </c>
      <c r="F497" s="2">
        <v>972482.0</v>
      </c>
      <c r="H497" s="2">
        <v>6708930.0</v>
      </c>
      <c r="I497" s="2">
        <v>2225284.0</v>
      </c>
      <c r="J497" s="2">
        <v>4483646.0</v>
      </c>
    </row>
    <row r="498">
      <c r="A498" s="2">
        <v>2024.0</v>
      </c>
      <c r="B498" s="1" t="s">
        <v>20</v>
      </c>
      <c r="C498" s="2" t="s">
        <v>650</v>
      </c>
      <c r="D498" s="2" t="s">
        <v>657</v>
      </c>
      <c r="E498" s="2" t="s">
        <v>78</v>
      </c>
      <c r="F498" s="2">
        <v>2652155.0</v>
      </c>
      <c r="H498" s="2">
        <v>5922347.0</v>
      </c>
      <c r="I498" s="2">
        <v>3208172.0</v>
      </c>
      <c r="J498" s="2">
        <v>2714175.0</v>
      </c>
    </row>
    <row r="499">
      <c r="A499" s="2">
        <v>2024.0</v>
      </c>
      <c r="B499" s="1" t="s">
        <v>20</v>
      </c>
      <c r="C499" s="2" t="s">
        <v>650</v>
      </c>
      <c r="D499" s="2" t="s">
        <v>657</v>
      </c>
      <c r="E499" s="2" t="s">
        <v>32</v>
      </c>
      <c r="F499" s="2">
        <v>13239.0</v>
      </c>
      <c r="H499" s="2">
        <v>341893.0</v>
      </c>
      <c r="I499" s="2">
        <v>278369.0</v>
      </c>
      <c r="J499" s="2">
        <v>63524.0</v>
      </c>
    </row>
    <row r="500">
      <c r="A500" s="2">
        <v>2024.0</v>
      </c>
      <c r="B500" s="1" t="s">
        <v>20</v>
      </c>
      <c r="C500" s="2" t="s">
        <v>650</v>
      </c>
      <c r="D500" s="2" t="s">
        <v>659</v>
      </c>
      <c r="E500" s="2" t="s">
        <v>25</v>
      </c>
      <c r="F500" s="2">
        <v>2706257.0</v>
      </c>
      <c r="H500" s="2">
        <v>4892792.0</v>
      </c>
      <c r="I500" s="2">
        <v>2025545.0</v>
      </c>
      <c r="J500" s="2">
        <v>2867247.0</v>
      </c>
    </row>
    <row r="501">
      <c r="A501" s="2">
        <v>2024.0</v>
      </c>
      <c r="B501" s="1" t="s">
        <v>20</v>
      </c>
      <c r="C501" s="2" t="s">
        <v>650</v>
      </c>
      <c r="D501" s="2" t="s">
        <v>659</v>
      </c>
      <c r="E501" s="2" t="s">
        <v>56</v>
      </c>
      <c r="F501" s="2">
        <v>2129771.0</v>
      </c>
      <c r="H501" s="2">
        <v>5368418.0</v>
      </c>
      <c r="I501" s="2">
        <v>3414832.0</v>
      </c>
      <c r="J501" s="2">
        <v>1953586.0</v>
      </c>
    </row>
    <row r="502">
      <c r="A502" s="2">
        <v>2024.0</v>
      </c>
      <c r="B502" s="1" t="s">
        <v>20</v>
      </c>
      <c r="C502" s="2" t="s">
        <v>650</v>
      </c>
      <c r="D502" s="2" t="s">
        <v>659</v>
      </c>
      <c r="E502" s="2" t="s">
        <v>32</v>
      </c>
      <c r="F502" s="2">
        <v>129375.0</v>
      </c>
      <c r="H502" s="2">
        <v>325518.0</v>
      </c>
      <c r="I502" s="2">
        <v>303617.0</v>
      </c>
      <c r="J502" s="2">
        <v>21901.0</v>
      </c>
    </row>
    <row r="503">
      <c r="A503" s="2">
        <v>2024.0</v>
      </c>
      <c r="B503" s="1" t="s">
        <v>20</v>
      </c>
      <c r="C503" s="2" t="s">
        <v>650</v>
      </c>
      <c r="D503" s="2" t="s">
        <v>660</v>
      </c>
      <c r="E503" s="2" t="s">
        <v>25</v>
      </c>
      <c r="F503" s="2">
        <v>4333015.0</v>
      </c>
      <c r="H503" s="2">
        <v>6340113.0</v>
      </c>
      <c r="I503" s="2">
        <v>2808188.0</v>
      </c>
      <c r="J503" s="2">
        <v>3531925.0</v>
      </c>
    </row>
    <row r="504">
      <c r="A504" s="2">
        <v>2024.0</v>
      </c>
      <c r="B504" s="1" t="s">
        <v>20</v>
      </c>
      <c r="C504" s="2" t="s">
        <v>650</v>
      </c>
      <c r="D504" s="2" t="s">
        <v>660</v>
      </c>
      <c r="E504" s="2" t="s">
        <v>56</v>
      </c>
      <c r="F504" s="2">
        <v>1513850.0</v>
      </c>
      <c r="H504" s="2">
        <v>3011030.0</v>
      </c>
      <c r="I504" s="2">
        <v>1464903.0</v>
      </c>
      <c r="J504" s="2">
        <v>1546127.0</v>
      </c>
    </row>
    <row r="505">
      <c r="A505" s="2">
        <v>2024.0</v>
      </c>
      <c r="B505" s="1" t="s">
        <v>20</v>
      </c>
      <c r="C505" s="2" t="s">
        <v>650</v>
      </c>
      <c r="D505" s="2" t="s">
        <v>660</v>
      </c>
      <c r="E505" s="2" t="s">
        <v>27</v>
      </c>
      <c r="F505" s="2">
        <v>72418.0</v>
      </c>
      <c r="H505" s="2">
        <v>1807797.0</v>
      </c>
      <c r="I505" s="2">
        <v>1555361.0</v>
      </c>
      <c r="J505" s="2">
        <v>252436.0</v>
      </c>
    </row>
    <row r="506">
      <c r="A506" s="2">
        <v>2024.0</v>
      </c>
      <c r="B506" s="1" t="s">
        <v>20</v>
      </c>
      <c r="C506" s="2" t="s">
        <v>650</v>
      </c>
      <c r="D506" s="2" t="s">
        <v>660</v>
      </c>
      <c r="E506" s="2" t="s">
        <v>457</v>
      </c>
      <c r="F506" s="2">
        <v>40896.0</v>
      </c>
      <c r="H506" s="2">
        <v>1774462.0</v>
      </c>
      <c r="I506" s="2">
        <v>1731436.0</v>
      </c>
      <c r="J506" s="2">
        <v>43026.0</v>
      </c>
    </row>
    <row r="507">
      <c r="A507" s="2">
        <v>2024.0</v>
      </c>
      <c r="B507" s="1" t="s">
        <v>20</v>
      </c>
      <c r="C507" s="2" t="s">
        <v>650</v>
      </c>
      <c r="D507" s="2" t="s">
        <v>660</v>
      </c>
      <c r="E507" s="2" t="s">
        <v>32</v>
      </c>
      <c r="F507" s="2">
        <v>33467.0</v>
      </c>
      <c r="H507" s="2">
        <v>178170.0</v>
      </c>
      <c r="I507" s="2">
        <v>140750.0</v>
      </c>
      <c r="J507" s="2">
        <v>37420.0</v>
      </c>
    </row>
    <row r="508">
      <c r="A508" s="2">
        <v>2024.0</v>
      </c>
      <c r="B508" s="1" t="s">
        <v>20</v>
      </c>
      <c r="C508" s="2" t="s">
        <v>650</v>
      </c>
      <c r="D508" s="2" t="s">
        <v>660</v>
      </c>
      <c r="E508" s="2" t="s">
        <v>460</v>
      </c>
      <c r="F508" s="2">
        <v>4832.0</v>
      </c>
      <c r="H508" s="2">
        <v>5100.0</v>
      </c>
      <c r="I508" s="2">
        <v>0.0</v>
      </c>
      <c r="J508" s="2">
        <v>5100.0</v>
      </c>
    </row>
    <row r="509">
      <c r="A509" s="2">
        <v>2024.0</v>
      </c>
      <c r="B509" s="1" t="s">
        <v>20</v>
      </c>
      <c r="C509" s="2" t="s">
        <v>650</v>
      </c>
      <c r="D509" s="2" t="s">
        <v>663</v>
      </c>
      <c r="E509" s="2" t="s">
        <v>25</v>
      </c>
      <c r="F509" s="2">
        <v>6491878.0</v>
      </c>
      <c r="H509" s="2">
        <v>9504500.0</v>
      </c>
      <c r="I509" s="2">
        <v>6051771.0</v>
      </c>
      <c r="J509" s="2">
        <v>3452729.0</v>
      </c>
    </row>
    <row r="510">
      <c r="A510" s="2">
        <v>2024.0</v>
      </c>
      <c r="B510" s="1" t="s">
        <v>20</v>
      </c>
      <c r="C510" s="2" t="s">
        <v>650</v>
      </c>
      <c r="D510" s="2" t="s">
        <v>663</v>
      </c>
      <c r="F510" s="2">
        <v>3251250.0</v>
      </c>
      <c r="H510" s="2">
        <v>3332753.0</v>
      </c>
      <c r="I510" s="2">
        <v>1438650.0</v>
      </c>
      <c r="J510" s="2">
        <v>1894103.0</v>
      </c>
    </row>
    <row r="511">
      <c r="A511" s="2">
        <v>2024.0</v>
      </c>
      <c r="B511" s="1" t="s">
        <v>20</v>
      </c>
      <c r="C511" s="2" t="s">
        <v>650</v>
      </c>
      <c r="D511" s="2" t="s">
        <v>663</v>
      </c>
      <c r="E511" s="2" t="s">
        <v>32</v>
      </c>
      <c r="F511" s="2">
        <v>180616.0</v>
      </c>
      <c r="H511" s="2">
        <v>451029.0</v>
      </c>
      <c r="I511" s="2">
        <v>357948.0</v>
      </c>
      <c r="J511" s="2">
        <v>93081.0</v>
      </c>
    </row>
    <row r="512">
      <c r="A512" s="2">
        <v>2024.0</v>
      </c>
      <c r="B512" s="1" t="s">
        <v>20</v>
      </c>
      <c r="C512" s="2" t="s">
        <v>650</v>
      </c>
      <c r="D512" s="2" t="s">
        <v>665</v>
      </c>
      <c r="E512" s="2" t="s">
        <v>25</v>
      </c>
      <c r="F512" s="2">
        <v>915460.0</v>
      </c>
      <c r="H512" s="2">
        <v>1093077.0</v>
      </c>
      <c r="I512" s="2">
        <v>712028.0</v>
      </c>
      <c r="J512" s="2">
        <v>381049.0</v>
      </c>
    </row>
    <row r="513">
      <c r="A513" s="2">
        <v>2024.0</v>
      </c>
      <c r="B513" s="1" t="s">
        <v>20</v>
      </c>
      <c r="C513" s="2" t="s">
        <v>650</v>
      </c>
      <c r="D513" s="2" t="s">
        <v>665</v>
      </c>
      <c r="E513" s="2" t="s">
        <v>78</v>
      </c>
      <c r="F513" s="2">
        <v>2216599.0</v>
      </c>
      <c r="H513" s="2">
        <v>4136658.0</v>
      </c>
      <c r="I513" s="2">
        <v>1027382.0</v>
      </c>
      <c r="J513" s="2">
        <v>3109276.0</v>
      </c>
    </row>
    <row r="514">
      <c r="A514" s="2">
        <v>2024.0</v>
      </c>
      <c r="B514" s="1" t="s">
        <v>20</v>
      </c>
      <c r="C514" s="2" t="s">
        <v>650</v>
      </c>
      <c r="D514" s="2" t="s">
        <v>665</v>
      </c>
      <c r="E514" s="2" t="s">
        <v>32</v>
      </c>
      <c r="F514" s="2">
        <v>402273.0</v>
      </c>
      <c r="H514" s="2">
        <v>587969.0</v>
      </c>
      <c r="I514" s="2">
        <v>285545.0</v>
      </c>
      <c r="J514" s="2">
        <v>302424.0</v>
      </c>
    </row>
    <row r="515">
      <c r="A515" s="2">
        <v>2024.0</v>
      </c>
      <c r="B515" s="1" t="s">
        <v>20</v>
      </c>
      <c r="C515" s="2" t="s">
        <v>667</v>
      </c>
      <c r="D515" s="2" t="s">
        <v>669</v>
      </c>
      <c r="E515" s="2" t="s">
        <v>25</v>
      </c>
      <c r="F515" s="2">
        <v>1971972.0</v>
      </c>
      <c r="H515" s="2">
        <v>3205615.0</v>
      </c>
      <c r="I515" s="2">
        <v>1445144.0</v>
      </c>
      <c r="J515" s="2">
        <v>1760471.0</v>
      </c>
    </row>
    <row r="516">
      <c r="A516" s="2">
        <v>2024.0</v>
      </c>
      <c r="B516" s="1" t="s">
        <v>20</v>
      </c>
      <c r="C516" s="2" t="s">
        <v>667</v>
      </c>
      <c r="D516" s="2" t="s">
        <v>669</v>
      </c>
      <c r="E516" s="2" t="s">
        <v>32</v>
      </c>
      <c r="F516" s="2">
        <v>185407.0</v>
      </c>
      <c r="H516" s="2">
        <v>455432.0</v>
      </c>
      <c r="I516" s="2">
        <v>293870.0</v>
      </c>
      <c r="J516" s="2">
        <v>161562.0</v>
      </c>
    </row>
    <row r="517">
      <c r="A517" s="2">
        <v>2024.0</v>
      </c>
      <c r="B517" s="1" t="s">
        <v>20</v>
      </c>
      <c r="C517" s="2" t="s">
        <v>667</v>
      </c>
      <c r="D517" s="2" t="s">
        <v>669</v>
      </c>
      <c r="E517" s="2" t="s">
        <v>56</v>
      </c>
      <c r="F517" s="2">
        <v>738691.0</v>
      </c>
      <c r="H517" s="2">
        <v>1689821.0</v>
      </c>
      <c r="I517" s="2">
        <v>254492.0</v>
      </c>
      <c r="J517" s="2">
        <v>1435329.0</v>
      </c>
    </row>
    <row r="518">
      <c r="A518" s="2">
        <v>2024.0</v>
      </c>
      <c r="B518" s="1" t="s">
        <v>20</v>
      </c>
      <c r="C518" s="2" t="s">
        <v>667</v>
      </c>
      <c r="D518" s="2" t="s">
        <v>669</v>
      </c>
      <c r="E518" s="2" t="s">
        <v>124</v>
      </c>
      <c r="F518" s="2">
        <v>96000.0</v>
      </c>
      <c r="H518" s="2">
        <v>1905491.0</v>
      </c>
      <c r="I518" s="2">
        <v>1608569.0</v>
      </c>
      <c r="J518" s="2">
        <v>296922.0</v>
      </c>
    </row>
    <row r="519">
      <c r="A519" s="2">
        <v>2024.0</v>
      </c>
      <c r="B519" s="1" t="s">
        <v>20</v>
      </c>
      <c r="C519" s="2" t="s">
        <v>667</v>
      </c>
      <c r="D519" s="2" t="s">
        <v>669</v>
      </c>
      <c r="E519" s="2" t="s">
        <v>672</v>
      </c>
      <c r="F519" s="2">
        <v>0.0</v>
      </c>
      <c r="H519" s="2">
        <v>517250.0</v>
      </c>
      <c r="I519" s="2">
        <v>470750.0</v>
      </c>
      <c r="J519" s="2">
        <v>46500.0</v>
      </c>
    </row>
    <row r="520">
      <c r="A520" s="2">
        <v>2024.0</v>
      </c>
      <c r="B520" s="1" t="s">
        <v>20</v>
      </c>
      <c r="C520" s="2" t="s">
        <v>667</v>
      </c>
      <c r="D520" s="2" t="s">
        <v>669</v>
      </c>
      <c r="E520" s="2" t="s">
        <v>674</v>
      </c>
      <c r="F520" s="2">
        <v>11140.0</v>
      </c>
      <c r="H520" s="2">
        <v>54623.0</v>
      </c>
      <c r="I520" s="2">
        <v>49800.0</v>
      </c>
      <c r="J520" s="2">
        <v>4823.0</v>
      </c>
    </row>
    <row r="521">
      <c r="A521" s="2">
        <v>2024.0</v>
      </c>
      <c r="B521" s="1" t="s">
        <v>20</v>
      </c>
      <c r="C521" s="2" t="s">
        <v>667</v>
      </c>
      <c r="D521" s="2" t="s">
        <v>676</v>
      </c>
      <c r="E521" s="2" t="s">
        <v>78</v>
      </c>
      <c r="F521" s="2">
        <v>2219639.0</v>
      </c>
      <c r="H521" s="2">
        <v>5813936.0</v>
      </c>
      <c r="I521" s="2">
        <v>3052035.0</v>
      </c>
      <c r="J521" s="2">
        <v>2761901.0</v>
      </c>
    </row>
    <row r="522">
      <c r="A522" s="2">
        <v>2024.0</v>
      </c>
      <c r="B522" s="1" t="s">
        <v>20</v>
      </c>
      <c r="C522" s="2" t="s">
        <v>667</v>
      </c>
      <c r="D522" s="2" t="s">
        <v>676</v>
      </c>
      <c r="E522" s="2" t="s">
        <v>25</v>
      </c>
      <c r="F522" s="2">
        <v>3741553.0</v>
      </c>
      <c r="H522" s="2">
        <v>5892455.0</v>
      </c>
      <c r="I522" s="2">
        <v>859290.0</v>
      </c>
      <c r="J522" s="2">
        <v>5033165.0</v>
      </c>
    </row>
    <row r="523">
      <c r="A523" s="2">
        <v>2024.0</v>
      </c>
      <c r="B523" s="1" t="s">
        <v>20</v>
      </c>
      <c r="C523" s="2" t="s">
        <v>667</v>
      </c>
      <c r="D523" s="2" t="s">
        <v>676</v>
      </c>
      <c r="E523" s="2" t="s">
        <v>32</v>
      </c>
      <c r="F523" s="2">
        <v>12161.0</v>
      </c>
      <c r="H523" s="2">
        <v>295062.0</v>
      </c>
      <c r="I523" s="2">
        <v>206150.0</v>
      </c>
      <c r="J523" s="2">
        <v>88912.0</v>
      </c>
    </row>
    <row r="524">
      <c r="A524" s="2">
        <v>2024.0</v>
      </c>
      <c r="B524" s="1" t="s">
        <v>20</v>
      </c>
      <c r="C524" s="2" t="s">
        <v>667</v>
      </c>
      <c r="D524" s="2" t="s">
        <v>678</v>
      </c>
      <c r="E524" s="2" t="s">
        <v>78</v>
      </c>
      <c r="F524" s="2">
        <v>1299371.0</v>
      </c>
      <c r="H524" s="2">
        <v>2787496.0</v>
      </c>
      <c r="I524" s="2">
        <v>696345.0</v>
      </c>
      <c r="J524" s="2">
        <v>2091151.0</v>
      </c>
    </row>
    <row r="525">
      <c r="A525" s="2">
        <v>2024.0</v>
      </c>
      <c r="B525" s="1" t="s">
        <v>20</v>
      </c>
      <c r="C525" s="2" t="s">
        <v>667</v>
      </c>
      <c r="D525" s="2" t="s">
        <v>678</v>
      </c>
      <c r="E525" s="2" t="s">
        <v>25</v>
      </c>
      <c r="F525" s="2">
        <v>3274814.0</v>
      </c>
      <c r="H525" s="2">
        <v>5222443.0</v>
      </c>
      <c r="I525" s="2">
        <v>2758737.0</v>
      </c>
      <c r="J525" s="2">
        <v>2463706.0</v>
      </c>
    </row>
    <row r="526">
      <c r="A526" s="2">
        <v>2024.0</v>
      </c>
      <c r="B526" s="1" t="s">
        <v>20</v>
      </c>
      <c r="C526" s="2" t="s">
        <v>667</v>
      </c>
      <c r="D526" s="2" t="s">
        <v>678</v>
      </c>
      <c r="E526" s="2" t="s">
        <v>32</v>
      </c>
      <c r="F526" s="2">
        <v>80930.0</v>
      </c>
      <c r="H526" s="2">
        <v>254781.0</v>
      </c>
      <c r="I526" s="2">
        <v>126511.0</v>
      </c>
      <c r="J526" s="2">
        <v>128270.0</v>
      </c>
    </row>
    <row r="527">
      <c r="A527" s="2">
        <v>2024.0</v>
      </c>
      <c r="B527" s="1" t="s">
        <v>20</v>
      </c>
      <c r="C527" s="2" t="s">
        <v>667</v>
      </c>
      <c r="D527" s="2" t="s">
        <v>679</v>
      </c>
      <c r="E527" s="2" t="s">
        <v>25</v>
      </c>
      <c r="F527" s="2">
        <v>1779770.0</v>
      </c>
      <c r="H527" s="2">
        <v>2607721.0</v>
      </c>
      <c r="I527" s="2">
        <v>1213714.0</v>
      </c>
      <c r="J527" s="2">
        <v>1394007.0</v>
      </c>
    </row>
    <row r="528">
      <c r="A528" s="2">
        <v>2024.0</v>
      </c>
      <c r="B528" s="1" t="s">
        <v>20</v>
      </c>
      <c r="C528" s="2" t="s">
        <v>667</v>
      </c>
      <c r="D528" s="2" t="s">
        <v>679</v>
      </c>
      <c r="E528" s="2" t="s">
        <v>78</v>
      </c>
      <c r="F528" s="2">
        <v>995509.0</v>
      </c>
      <c r="H528" s="2">
        <v>2388788.0</v>
      </c>
      <c r="I528" s="2">
        <v>839348.0</v>
      </c>
      <c r="J528" s="2">
        <v>1549440.0</v>
      </c>
    </row>
    <row r="529">
      <c r="A529" s="2">
        <v>2024.0</v>
      </c>
      <c r="B529" s="1" t="s">
        <v>20</v>
      </c>
      <c r="C529" s="2" t="s">
        <v>667</v>
      </c>
      <c r="D529" s="2" t="s">
        <v>679</v>
      </c>
      <c r="E529" s="2" t="s">
        <v>32</v>
      </c>
      <c r="F529" s="2">
        <v>95036.0</v>
      </c>
      <c r="H529" s="2">
        <v>295739.0</v>
      </c>
      <c r="I529" s="2">
        <v>150822.0</v>
      </c>
      <c r="J529" s="2">
        <v>144917.0</v>
      </c>
    </row>
    <row r="530">
      <c r="A530" s="2">
        <v>2024.0</v>
      </c>
      <c r="B530" s="1" t="s">
        <v>20</v>
      </c>
      <c r="C530" s="2" t="s">
        <v>667</v>
      </c>
      <c r="D530" s="2" t="s">
        <v>679</v>
      </c>
      <c r="E530" s="2" t="s">
        <v>683</v>
      </c>
      <c r="F530" s="2">
        <v>46500.0</v>
      </c>
      <c r="H530" s="2">
        <v>563750.0</v>
      </c>
      <c r="I530" s="2">
        <v>488250.0</v>
      </c>
      <c r="J530" s="2">
        <v>75500.0</v>
      </c>
    </row>
    <row r="531">
      <c r="A531" s="2">
        <v>2024.0</v>
      </c>
      <c r="B531" s="1" t="s">
        <v>20</v>
      </c>
      <c r="D531" s="2" t="s">
        <v>685</v>
      </c>
      <c r="E531" s="2" t="s">
        <v>686</v>
      </c>
      <c r="F531" s="2">
        <v>2.5417171E7</v>
      </c>
      <c r="H531" s="2">
        <v>3.9414163E7</v>
      </c>
      <c r="I531" s="2">
        <v>2.1130421E7</v>
      </c>
      <c r="J531" s="2">
        <v>1.8283742E7</v>
      </c>
    </row>
    <row r="532">
      <c r="A532" s="2">
        <v>2024.0</v>
      </c>
      <c r="B532" s="1" t="s">
        <v>20</v>
      </c>
      <c r="D532" s="2" t="s">
        <v>685</v>
      </c>
      <c r="E532" s="2" t="s">
        <v>687</v>
      </c>
      <c r="F532" s="2">
        <v>3817403.0</v>
      </c>
      <c r="H532" s="2">
        <v>4.2789747E7</v>
      </c>
      <c r="I532" s="2">
        <v>3.2015728E7</v>
      </c>
      <c r="J532" s="2">
        <v>1.0774019E7</v>
      </c>
    </row>
    <row r="533">
      <c r="A533" s="2">
        <v>2024.0</v>
      </c>
      <c r="B533" s="1" t="s">
        <v>20</v>
      </c>
      <c r="D533" s="2" t="s">
        <v>685</v>
      </c>
      <c r="E533" s="2" t="s">
        <v>32</v>
      </c>
      <c r="F533" s="2">
        <v>1673556.0</v>
      </c>
      <c r="H533" s="2">
        <v>3200480.0</v>
      </c>
      <c r="I533" s="2">
        <v>2832847.0</v>
      </c>
      <c r="J533" s="2">
        <v>367633.0</v>
      </c>
    </row>
    <row r="534">
      <c r="A534" s="2">
        <v>2024.0</v>
      </c>
      <c r="B534" s="1" t="s">
        <v>20</v>
      </c>
      <c r="D534" s="2" t="s">
        <v>685</v>
      </c>
      <c r="E534" s="2" t="s">
        <v>689</v>
      </c>
      <c r="F534" s="2">
        <v>2794049.0</v>
      </c>
      <c r="H534" s="2">
        <v>2845692.0</v>
      </c>
      <c r="I534" s="2">
        <v>759102.0</v>
      </c>
      <c r="J534" s="2">
        <v>2086590.0</v>
      </c>
    </row>
    <row r="535">
      <c r="A535" s="2">
        <v>2024.0</v>
      </c>
      <c r="B535" s="1" t="s">
        <v>20</v>
      </c>
      <c r="D535" s="2" t="s">
        <v>685</v>
      </c>
      <c r="E535" s="2" t="s">
        <v>56</v>
      </c>
      <c r="F535" s="2">
        <v>2.1321718E7</v>
      </c>
      <c r="H535" s="2">
        <v>4.6969299E7</v>
      </c>
      <c r="I535" s="2">
        <v>2.7249392E7</v>
      </c>
      <c r="J535" s="2">
        <v>1.9719907E7</v>
      </c>
    </row>
    <row r="536">
      <c r="A536" s="2">
        <v>2024.0</v>
      </c>
      <c r="B536" s="1" t="s">
        <v>20</v>
      </c>
      <c r="D536" s="2" t="s">
        <v>692</v>
      </c>
      <c r="E536" s="2" t="s">
        <v>56</v>
      </c>
      <c r="F536" s="2">
        <v>0.0</v>
      </c>
      <c r="H536" s="2">
        <v>8446263.0</v>
      </c>
      <c r="I536" s="2">
        <v>0.0</v>
      </c>
      <c r="J536" s="2">
        <v>8446263.0</v>
      </c>
    </row>
    <row r="537">
      <c r="A537" s="2">
        <v>2024.0</v>
      </c>
      <c r="B537" s="1" t="s">
        <v>20</v>
      </c>
      <c r="D537" s="2" t="s">
        <v>692</v>
      </c>
      <c r="E537" s="2" t="s">
        <v>693</v>
      </c>
      <c r="F537" s="2">
        <v>0.0</v>
      </c>
      <c r="H537" s="2">
        <v>2705568.0</v>
      </c>
      <c r="I537" s="2">
        <v>2298400.0</v>
      </c>
      <c r="J537" s="2">
        <v>407168.0</v>
      </c>
    </row>
    <row r="538">
      <c r="A538" s="2">
        <v>2024.0</v>
      </c>
      <c r="B538" s="1" t="s">
        <v>20</v>
      </c>
      <c r="D538" s="2" t="s">
        <v>694</v>
      </c>
      <c r="E538" s="2" t="s">
        <v>693</v>
      </c>
      <c r="F538" s="2">
        <v>0.0</v>
      </c>
      <c r="H538" s="2">
        <v>1.35505E7</v>
      </c>
      <c r="I538" s="2">
        <v>1317500.0</v>
      </c>
      <c r="J538" s="2">
        <v>1.2233E7</v>
      </c>
    </row>
    <row r="539">
      <c r="A539" s="2">
        <v>2024.0</v>
      </c>
      <c r="B539" s="1" t="s">
        <v>20</v>
      </c>
      <c r="D539" s="2" t="s">
        <v>696</v>
      </c>
      <c r="E539" s="2" t="s">
        <v>697</v>
      </c>
      <c r="F539" s="2">
        <v>3.4301492E7</v>
      </c>
      <c r="H539" s="2">
        <v>1.00258875E8</v>
      </c>
      <c r="I539" s="2">
        <v>6.1504711E7</v>
      </c>
      <c r="J539" s="2">
        <v>3.8754164E7</v>
      </c>
    </row>
    <row r="540">
      <c r="A540" s="2">
        <v>2024.0</v>
      </c>
      <c r="B540" s="1" t="s">
        <v>20</v>
      </c>
      <c r="D540" s="2" t="s">
        <v>696</v>
      </c>
      <c r="E540" s="2" t="s">
        <v>56</v>
      </c>
      <c r="F540" s="2">
        <v>3.1069664E7</v>
      </c>
      <c r="H540" s="2">
        <v>4.8977771E7</v>
      </c>
      <c r="I540" s="2">
        <v>4.4130864E7</v>
      </c>
      <c r="J540" s="2">
        <v>4846907.0</v>
      </c>
    </row>
    <row r="541">
      <c r="A541" s="2">
        <v>2024.0</v>
      </c>
      <c r="B541" s="1" t="s">
        <v>20</v>
      </c>
      <c r="D541" s="2" t="s">
        <v>696</v>
      </c>
      <c r="E541" s="2" t="s">
        <v>25</v>
      </c>
      <c r="F541" s="2">
        <v>2.8442805E7</v>
      </c>
      <c r="H541" s="2">
        <v>4.6906894E7</v>
      </c>
      <c r="I541" s="2">
        <v>3.0024515E7</v>
      </c>
      <c r="J541" s="2">
        <v>1.6882379E7</v>
      </c>
    </row>
    <row r="542">
      <c r="A542" s="2">
        <v>2024.0</v>
      </c>
      <c r="B542" s="1" t="s">
        <v>20</v>
      </c>
      <c r="D542" s="2" t="s">
        <v>696</v>
      </c>
      <c r="E542" s="2" t="s">
        <v>689</v>
      </c>
      <c r="F542" s="2">
        <v>7913782.0</v>
      </c>
      <c r="H542" s="2">
        <v>8597307.0</v>
      </c>
      <c r="I542" s="2">
        <v>4141684.0</v>
      </c>
      <c r="J542" s="2">
        <v>4455623.0</v>
      </c>
    </row>
    <row r="543">
      <c r="A543" s="2">
        <v>2024.0</v>
      </c>
      <c r="B543" s="1" t="s">
        <v>20</v>
      </c>
      <c r="D543" s="2" t="s">
        <v>696</v>
      </c>
      <c r="E543" s="2" t="s">
        <v>32</v>
      </c>
      <c r="F543" s="2">
        <v>2522962.0</v>
      </c>
      <c r="H543" s="2">
        <v>3008834.0</v>
      </c>
      <c r="I543" s="2">
        <v>461162.0</v>
      </c>
      <c r="J543" s="2">
        <v>2547672.0</v>
      </c>
    </row>
    <row r="544">
      <c r="A544" s="2">
        <v>2024.0</v>
      </c>
      <c r="B544" s="1" t="s">
        <v>20</v>
      </c>
      <c r="D544" s="2" t="s">
        <v>699</v>
      </c>
      <c r="E544" s="2" t="s">
        <v>78</v>
      </c>
      <c r="F544" s="2">
        <v>1.8062347E7</v>
      </c>
      <c r="H544" s="2">
        <v>8.7480728E7</v>
      </c>
      <c r="I544" s="2">
        <v>5.9378665E7</v>
      </c>
      <c r="J544" s="2">
        <v>2.8102063E7</v>
      </c>
    </row>
    <row r="545">
      <c r="A545" s="2">
        <v>2024.0</v>
      </c>
      <c r="B545" s="1" t="s">
        <v>20</v>
      </c>
      <c r="D545" s="2" t="s">
        <v>699</v>
      </c>
      <c r="E545" s="2" t="s">
        <v>25</v>
      </c>
      <c r="F545" s="2">
        <v>1.4321688E7</v>
      </c>
      <c r="H545" s="2">
        <v>3.3796598E7</v>
      </c>
      <c r="I545" s="2">
        <v>1.7670304E7</v>
      </c>
      <c r="J545" s="2">
        <v>1.6126294E7</v>
      </c>
    </row>
    <row r="546">
      <c r="A546" s="2">
        <v>2024.0</v>
      </c>
      <c r="B546" s="1" t="s">
        <v>20</v>
      </c>
      <c r="D546" s="2" t="s">
        <v>699</v>
      </c>
      <c r="E546" s="2" t="s">
        <v>32</v>
      </c>
      <c r="F546" s="2">
        <v>809607.0</v>
      </c>
      <c r="H546" s="2">
        <v>1198092.0</v>
      </c>
      <c r="I546" s="2">
        <v>403950.0</v>
      </c>
      <c r="J546" s="2">
        <v>794142.0</v>
      </c>
    </row>
    <row r="547">
      <c r="A547" s="2">
        <v>2024.0</v>
      </c>
      <c r="B547" s="1" t="s">
        <v>20</v>
      </c>
      <c r="D547" s="2" t="s">
        <v>699</v>
      </c>
      <c r="E547" s="2" t="s">
        <v>700</v>
      </c>
      <c r="F547" s="2">
        <v>1.5974726E7</v>
      </c>
      <c r="H547" s="2">
        <v>4.6774253E7</v>
      </c>
      <c r="I547" s="2">
        <v>3.0440651E7</v>
      </c>
      <c r="J547" s="2">
        <v>1.6333602E7</v>
      </c>
    </row>
    <row r="548">
      <c r="A548" s="2">
        <v>2024.0</v>
      </c>
      <c r="B548" s="1" t="s">
        <v>20</v>
      </c>
      <c r="D548" s="2" t="s">
        <v>699</v>
      </c>
      <c r="E548" s="2" t="s">
        <v>701</v>
      </c>
      <c r="F548" s="2">
        <v>260813.0</v>
      </c>
      <c r="H548" s="2">
        <v>269358.0</v>
      </c>
      <c r="I548" s="2">
        <v>0.0</v>
      </c>
      <c r="J548" s="2">
        <v>269358.0</v>
      </c>
    </row>
    <row r="549">
      <c r="A549" s="2">
        <v>2024.0</v>
      </c>
      <c r="B549" s="1" t="s">
        <v>20</v>
      </c>
      <c r="D549" s="2" t="s">
        <v>699</v>
      </c>
      <c r="E549" s="2" t="s">
        <v>702</v>
      </c>
      <c r="F549" s="2">
        <v>3605967.0</v>
      </c>
      <c r="H549" s="2">
        <v>3724114.0</v>
      </c>
      <c r="I549" s="2">
        <v>0.0</v>
      </c>
      <c r="J549" s="2">
        <v>3724114.0</v>
      </c>
    </row>
    <row r="550">
      <c r="A550" s="2">
        <v>2024.0</v>
      </c>
      <c r="B550" s="1" t="s">
        <v>20</v>
      </c>
      <c r="D550" s="2" t="s">
        <v>699</v>
      </c>
      <c r="E550" s="2" t="s">
        <v>114</v>
      </c>
      <c r="F550" s="2">
        <v>3441574.0</v>
      </c>
      <c r="H550" s="2">
        <v>3554334.0</v>
      </c>
      <c r="I550" s="2">
        <v>0.0</v>
      </c>
      <c r="J550" s="2">
        <v>3554334.0</v>
      </c>
    </row>
    <row r="551">
      <c r="A551" s="2">
        <v>2024.0</v>
      </c>
      <c r="B551" s="1" t="s">
        <v>20</v>
      </c>
      <c r="D551" s="2" t="s">
        <v>699</v>
      </c>
      <c r="E551" s="2" t="s">
        <v>703</v>
      </c>
      <c r="F551" s="2">
        <v>4919165.0</v>
      </c>
      <c r="H551" s="2">
        <v>5055262.0</v>
      </c>
      <c r="I551" s="2">
        <v>531993.0</v>
      </c>
      <c r="J551" s="2">
        <v>4523269.0</v>
      </c>
    </row>
    <row r="552">
      <c r="A552" s="2">
        <v>2024.0</v>
      </c>
      <c r="B552" s="1" t="s">
        <v>20</v>
      </c>
      <c r="D552" s="2" t="s">
        <v>704</v>
      </c>
      <c r="E552" s="2" t="s">
        <v>705</v>
      </c>
      <c r="F552" s="2">
        <v>350780.0</v>
      </c>
      <c r="H552" s="2">
        <v>504340.0</v>
      </c>
      <c r="I552" s="2">
        <v>0.0</v>
      </c>
      <c r="J552" s="2">
        <v>504340.0</v>
      </c>
    </row>
    <row r="553">
      <c r="A553" s="2">
        <v>2024.0</v>
      </c>
      <c r="B553" s="1" t="s">
        <v>20</v>
      </c>
      <c r="D553" s="2" t="s">
        <v>704</v>
      </c>
      <c r="E553" s="2" t="s">
        <v>707</v>
      </c>
      <c r="F553" s="2">
        <v>7978010.0</v>
      </c>
      <c r="H553" s="2">
        <v>4.308863E7</v>
      </c>
      <c r="I553" s="2">
        <v>3.4249803E7</v>
      </c>
      <c r="J553" s="2">
        <v>8838827.0</v>
      </c>
    </row>
    <row r="554">
      <c r="A554" s="2">
        <v>2024.0</v>
      </c>
      <c r="B554" s="1" t="s">
        <v>20</v>
      </c>
      <c r="D554" s="2" t="s">
        <v>704</v>
      </c>
      <c r="E554" s="2" t="s">
        <v>708</v>
      </c>
      <c r="F554" s="2">
        <v>4486561.0</v>
      </c>
      <c r="H554" s="2">
        <v>1.89819762E7</v>
      </c>
      <c r="I554" s="2">
        <v>1.46379492E7</v>
      </c>
      <c r="J554" s="2">
        <v>4344027.0</v>
      </c>
    </row>
    <row r="555">
      <c r="A555" s="2">
        <v>2024.0</v>
      </c>
      <c r="B555" s="1" t="s">
        <v>20</v>
      </c>
      <c r="D555" s="2" t="s">
        <v>704</v>
      </c>
      <c r="E555" s="2" t="s">
        <v>709</v>
      </c>
      <c r="F555" s="2">
        <v>6702238.0</v>
      </c>
      <c r="H555" s="2">
        <v>3.2333385E7</v>
      </c>
      <c r="I555" s="2">
        <v>2.6426645E7</v>
      </c>
      <c r="J555" s="2">
        <v>5906740.0</v>
      </c>
    </row>
    <row r="556">
      <c r="A556" s="2">
        <v>2024.0</v>
      </c>
      <c r="B556" s="1" t="s">
        <v>710</v>
      </c>
      <c r="D556" s="2" t="s">
        <v>227</v>
      </c>
      <c r="E556" s="2" t="s">
        <v>27</v>
      </c>
      <c r="F556" s="2">
        <v>22504.0</v>
      </c>
      <c r="H556" s="2">
        <v>7186079.0</v>
      </c>
      <c r="I556" s="2">
        <v>4055765.0</v>
      </c>
      <c r="J556" s="2">
        <v>3130314.0</v>
      </c>
    </row>
    <row r="557">
      <c r="A557" s="2">
        <v>2024.0</v>
      </c>
      <c r="B557" s="1" t="s">
        <v>710</v>
      </c>
      <c r="D557" s="2" t="s">
        <v>227</v>
      </c>
      <c r="E557" s="2" t="s">
        <v>25</v>
      </c>
      <c r="F557" s="2">
        <v>1380259.0</v>
      </c>
      <c r="H557" s="2">
        <v>1417031.0</v>
      </c>
      <c r="I557" s="2">
        <v>623569.0</v>
      </c>
      <c r="J557" s="2">
        <v>793462.0</v>
      </c>
    </row>
    <row r="558">
      <c r="A558" s="2">
        <v>2024.0</v>
      </c>
      <c r="B558" s="1" t="s">
        <v>710</v>
      </c>
      <c r="D558" s="2" t="s">
        <v>227</v>
      </c>
      <c r="F558" s="2">
        <v>23914.0</v>
      </c>
      <c r="H558" s="2">
        <v>2774591.0</v>
      </c>
      <c r="I558" s="2">
        <v>0.0</v>
      </c>
      <c r="J558" s="2">
        <v>2774591.0</v>
      </c>
    </row>
    <row r="559">
      <c r="A559" s="2">
        <v>2024.0</v>
      </c>
      <c r="B559" s="1" t="s">
        <v>710</v>
      </c>
      <c r="D559" s="2" t="s">
        <v>227</v>
      </c>
      <c r="E559" s="2" t="s">
        <v>76</v>
      </c>
      <c r="F559" s="2">
        <v>2889211.0</v>
      </c>
      <c r="H559" s="2">
        <v>2977701.0</v>
      </c>
      <c r="I559" s="2">
        <v>2800409.0</v>
      </c>
      <c r="J559" s="2">
        <v>177292.0</v>
      </c>
    </row>
    <row r="560">
      <c r="A560" s="2">
        <v>2024.0</v>
      </c>
      <c r="B560" s="1" t="s">
        <v>710</v>
      </c>
      <c r="D560" s="2" t="s">
        <v>227</v>
      </c>
      <c r="E560" s="2" t="s">
        <v>712</v>
      </c>
      <c r="F560" s="2">
        <v>614848.0</v>
      </c>
      <c r="H560" s="2">
        <v>869893.0</v>
      </c>
      <c r="I560" s="2">
        <v>659425.0</v>
      </c>
      <c r="J560" s="2">
        <v>210468.0</v>
      </c>
    </row>
    <row r="561">
      <c r="A561" s="2">
        <v>2024.0</v>
      </c>
      <c r="B561" s="1" t="s">
        <v>710</v>
      </c>
      <c r="D561" s="2" t="s">
        <v>227</v>
      </c>
      <c r="E561" s="2" t="s">
        <v>32</v>
      </c>
      <c r="F561" s="2">
        <v>454569.0</v>
      </c>
      <c r="H561" s="2">
        <v>3120799.0</v>
      </c>
      <c r="I561" s="2">
        <v>2950902.0</v>
      </c>
      <c r="J561" s="2">
        <v>169897.0</v>
      </c>
    </row>
    <row r="562">
      <c r="A562" s="2">
        <v>2024.0</v>
      </c>
      <c r="B562" s="1" t="s">
        <v>710</v>
      </c>
      <c r="D562" s="2" t="s">
        <v>227</v>
      </c>
      <c r="E562" s="2" t="s">
        <v>32</v>
      </c>
      <c r="F562" s="2">
        <v>159848.0</v>
      </c>
      <c r="H562" s="2">
        <v>2289075.0</v>
      </c>
      <c r="I562" s="2">
        <v>1707983.0</v>
      </c>
      <c r="J562" s="2">
        <v>581092.0</v>
      </c>
    </row>
    <row r="563">
      <c r="A563" s="2">
        <v>2024.0</v>
      </c>
      <c r="B563" s="1" t="s">
        <v>20</v>
      </c>
      <c r="D563" s="2" t="s">
        <v>227</v>
      </c>
      <c r="E563" s="2" t="s">
        <v>27</v>
      </c>
      <c r="F563" s="2">
        <v>3130314.0</v>
      </c>
      <c r="H563" s="2">
        <v>1.1274487E7</v>
      </c>
      <c r="I563" s="2">
        <v>6178712.0</v>
      </c>
      <c r="J563" s="2">
        <v>5095775.0</v>
      </c>
    </row>
    <row r="564">
      <c r="A564" s="2">
        <v>2024.0</v>
      </c>
      <c r="B564" s="1" t="s">
        <v>20</v>
      </c>
      <c r="D564" s="2" t="s">
        <v>227</v>
      </c>
      <c r="E564" s="2" t="s">
        <v>25</v>
      </c>
      <c r="F564" s="2">
        <v>793462.0</v>
      </c>
      <c r="H564" s="2">
        <v>811936.0</v>
      </c>
      <c r="I564" s="2">
        <v>704203.0</v>
      </c>
      <c r="J564" s="2">
        <v>107733.0</v>
      </c>
    </row>
    <row r="565">
      <c r="A565" s="2">
        <v>2024.0</v>
      </c>
      <c r="B565" s="1" t="s">
        <v>20</v>
      </c>
      <c r="D565" s="2" t="s">
        <v>227</v>
      </c>
      <c r="E565" s="2"/>
      <c r="F565" s="2">
        <v>2774591.0</v>
      </c>
      <c r="H565" s="2">
        <v>7048537.0</v>
      </c>
      <c r="I565" s="2">
        <v>2383212.0</v>
      </c>
      <c r="J565" s="2">
        <v>4665325.0</v>
      </c>
    </row>
    <row r="566">
      <c r="A566" s="2">
        <v>2024.0</v>
      </c>
      <c r="B566" s="1" t="s">
        <v>20</v>
      </c>
      <c r="D566" s="2" t="s">
        <v>227</v>
      </c>
      <c r="E566" s="2" t="s">
        <v>76</v>
      </c>
      <c r="F566" s="2">
        <v>177292.0</v>
      </c>
      <c r="H566" s="2">
        <v>779200.0</v>
      </c>
      <c r="I566" s="2">
        <v>767281.0</v>
      </c>
      <c r="J566" s="2">
        <v>11919.0</v>
      </c>
    </row>
    <row r="567">
      <c r="A567" s="2">
        <v>2024.0</v>
      </c>
      <c r="B567" s="1" t="s">
        <v>20</v>
      </c>
      <c r="D567" s="2" t="s">
        <v>227</v>
      </c>
      <c r="E567" s="2" t="s">
        <v>712</v>
      </c>
      <c r="F567" s="2">
        <v>210468.0</v>
      </c>
      <c r="H567" s="2">
        <v>2909271.0</v>
      </c>
      <c r="I567" s="2">
        <v>118710.0</v>
      </c>
      <c r="J567" s="2">
        <v>2790561.0</v>
      </c>
    </row>
    <row r="568">
      <c r="A568" s="2">
        <v>2024.0</v>
      </c>
      <c r="B568" s="1" t="s">
        <v>20</v>
      </c>
      <c r="D568" s="2" t="s">
        <v>227</v>
      </c>
      <c r="E568" s="2" t="s">
        <v>32</v>
      </c>
      <c r="F568" s="2">
        <v>169897.0</v>
      </c>
      <c r="H568" s="2">
        <v>2781359.0</v>
      </c>
      <c r="I568" s="2">
        <v>2639051.0</v>
      </c>
      <c r="J568" s="2">
        <v>142308.0</v>
      </c>
    </row>
    <row r="569">
      <c r="A569" s="2">
        <v>2024.0</v>
      </c>
      <c r="B569" s="1" t="s">
        <v>20</v>
      </c>
      <c r="D569" s="2" t="s">
        <v>227</v>
      </c>
      <c r="E569" s="2" t="s">
        <v>32</v>
      </c>
      <c r="F569" s="2">
        <v>581092.0</v>
      </c>
      <c r="H569" s="2">
        <v>1362539.0</v>
      </c>
      <c r="I569" s="2">
        <v>1051075.0</v>
      </c>
      <c r="J569" s="2">
        <v>311464.0</v>
      </c>
    </row>
    <row r="570">
      <c r="A570" s="2">
        <v>2024.0</v>
      </c>
      <c r="B570" s="1" t="s">
        <v>710</v>
      </c>
      <c r="D570" s="1" t="s">
        <v>216</v>
      </c>
      <c r="E570" s="2" t="s">
        <v>568</v>
      </c>
      <c r="F570" s="2">
        <v>7129475.0</v>
      </c>
      <c r="H570" s="2">
        <v>1.8932567E7</v>
      </c>
      <c r="I570" s="2">
        <v>8374275.0</v>
      </c>
      <c r="J570" s="2">
        <v>1.0558292E7</v>
      </c>
    </row>
    <row r="571">
      <c r="A571" s="2">
        <v>2024.0</v>
      </c>
      <c r="B571" s="1" t="s">
        <v>710</v>
      </c>
      <c r="D571" s="1" t="s">
        <v>216</v>
      </c>
      <c r="E571" s="2" t="s">
        <v>715</v>
      </c>
      <c r="F571" s="2">
        <v>1.0814873E7</v>
      </c>
      <c r="H571" s="2">
        <v>1.1082932E7</v>
      </c>
      <c r="I571" s="2">
        <v>2971409.0</v>
      </c>
      <c r="J571" s="2">
        <v>8111523.0</v>
      </c>
    </row>
    <row r="572">
      <c r="A572" s="2">
        <v>2024.0</v>
      </c>
      <c r="B572" s="1" t="s">
        <v>710</v>
      </c>
      <c r="D572" s="1" t="s">
        <v>216</v>
      </c>
      <c r="E572" s="2" t="s">
        <v>686</v>
      </c>
      <c r="F572" s="2">
        <v>5918566.0</v>
      </c>
      <c r="H572" s="2">
        <v>6036350.0</v>
      </c>
      <c r="I572" s="2">
        <v>5880610.0</v>
      </c>
      <c r="J572" s="2">
        <v>155740.0</v>
      </c>
    </row>
    <row r="573">
      <c r="A573" s="2">
        <v>2024.0</v>
      </c>
      <c r="B573" s="1" t="s">
        <v>710</v>
      </c>
      <c r="D573" s="1" t="s">
        <v>216</v>
      </c>
      <c r="E573" s="2" t="s">
        <v>712</v>
      </c>
      <c r="F573" s="2">
        <v>0.0</v>
      </c>
      <c r="H573" s="2">
        <v>280858.0</v>
      </c>
      <c r="I573" s="2">
        <v>0.0</v>
      </c>
      <c r="J573" s="2">
        <v>280858.0</v>
      </c>
    </row>
    <row r="574">
      <c r="A574" s="2">
        <v>2024.0</v>
      </c>
      <c r="B574" s="1" t="s">
        <v>710</v>
      </c>
      <c r="D574" s="1" t="s">
        <v>216</v>
      </c>
      <c r="E574" s="2" t="s">
        <v>717</v>
      </c>
      <c r="F574" s="2">
        <v>13152.0</v>
      </c>
      <c r="H574" s="2">
        <v>494129.0</v>
      </c>
      <c r="I574" s="2">
        <v>155850.0</v>
      </c>
      <c r="J574" s="2">
        <v>338279.0</v>
      </c>
    </row>
    <row r="575">
      <c r="A575" s="2">
        <v>2024.0</v>
      </c>
      <c r="B575" s="1" t="s">
        <v>710</v>
      </c>
      <c r="D575" s="1" t="s">
        <v>216</v>
      </c>
      <c r="E575" s="2" t="s">
        <v>686</v>
      </c>
      <c r="F575" s="2">
        <v>8996114.0</v>
      </c>
      <c r="H575" s="2">
        <v>9030073.0</v>
      </c>
      <c r="I575" s="2">
        <v>600000.0</v>
      </c>
      <c r="J575" s="2">
        <v>8430073.0</v>
      </c>
    </row>
    <row r="576">
      <c r="A576" s="2">
        <v>2024.0</v>
      </c>
      <c r="B576" s="1" t="s">
        <v>20</v>
      </c>
      <c r="D576" s="1" t="s">
        <v>216</v>
      </c>
      <c r="E576" s="2" t="s">
        <v>568</v>
      </c>
      <c r="F576" s="2">
        <v>1.0558292E7</v>
      </c>
      <c r="H576" s="2">
        <v>2.544224E7</v>
      </c>
      <c r="I576" s="2">
        <v>2.4919179E7</v>
      </c>
      <c r="J576" s="2">
        <v>523061.0</v>
      </c>
    </row>
    <row r="577">
      <c r="A577" s="2">
        <v>2024.0</v>
      </c>
      <c r="B577" s="1" t="s">
        <v>20</v>
      </c>
      <c r="D577" s="1" t="s">
        <v>216</v>
      </c>
      <c r="E577" s="2" t="s">
        <v>715</v>
      </c>
      <c r="F577" s="2">
        <v>8111523.0</v>
      </c>
      <c r="H577" s="2">
        <v>8271741.0</v>
      </c>
      <c r="I577" s="2">
        <v>8137708.0</v>
      </c>
      <c r="J577" s="2">
        <v>134033.0</v>
      </c>
    </row>
    <row r="578">
      <c r="A578" s="2">
        <v>2024.0</v>
      </c>
      <c r="B578" s="1" t="s">
        <v>20</v>
      </c>
      <c r="D578" s="1" t="s">
        <v>216</v>
      </c>
      <c r="E578" s="2" t="s">
        <v>686</v>
      </c>
      <c r="F578" s="2">
        <v>155740.0</v>
      </c>
      <c r="H578" s="2">
        <v>163382.0</v>
      </c>
      <c r="I578" s="2">
        <v>97230.0</v>
      </c>
      <c r="J578" s="2">
        <v>66152.0</v>
      </c>
    </row>
    <row r="579">
      <c r="A579" s="2">
        <v>2024.0</v>
      </c>
      <c r="B579" s="1" t="s">
        <v>20</v>
      </c>
      <c r="D579" s="1" t="s">
        <v>216</v>
      </c>
      <c r="E579" s="2" t="s">
        <v>568</v>
      </c>
      <c r="F579" s="2">
        <v>0.0</v>
      </c>
      <c r="H579" s="2">
        <v>2.514462E7</v>
      </c>
      <c r="I579" s="2">
        <v>3893819.0</v>
      </c>
      <c r="J579" s="2">
        <v>2.1250801E7</v>
      </c>
    </row>
    <row r="580">
      <c r="A580" s="2">
        <v>2024.0</v>
      </c>
      <c r="B580" s="1" t="s">
        <v>20</v>
      </c>
      <c r="D580" s="1" t="s">
        <v>216</v>
      </c>
      <c r="E580" s="2" t="s">
        <v>715</v>
      </c>
      <c r="F580" s="2">
        <v>0.0</v>
      </c>
      <c r="H580" s="2">
        <v>2510155.0</v>
      </c>
      <c r="I580" s="2">
        <v>1757305.0</v>
      </c>
      <c r="J580" s="2">
        <v>752850.0</v>
      </c>
    </row>
    <row r="581">
      <c r="A581" s="2">
        <v>2024.0</v>
      </c>
      <c r="B581" s="1" t="s">
        <v>20</v>
      </c>
      <c r="D581" s="1" t="s">
        <v>216</v>
      </c>
      <c r="E581" s="2" t="s">
        <v>717</v>
      </c>
      <c r="F581" s="2">
        <v>0.0</v>
      </c>
      <c r="H581" s="2">
        <v>300000.0</v>
      </c>
      <c r="I581" s="2">
        <v>148146.0</v>
      </c>
      <c r="J581" s="2">
        <v>151854.0</v>
      </c>
    </row>
    <row r="582">
      <c r="A582" s="2">
        <v>2024.0</v>
      </c>
      <c r="B582" s="1" t="s">
        <v>20</v>
      </c>
      <c r="D582" s="1" t="s">
        <v>216</v>
      </c>
      <c r="E582" s="2" t="s">
        <v>686</v>
      </c>
      <c r="F582" s="2">
        <v>8430073.0</v>
      </c>
      <c r="H582" s="2">
        <v>2.1748073E7</v>
      </c>
      <c r="I582" s="2">
        <v>3751488.0</v>
      </c>
      <c r="J582" s="2">
        <v>1.7996585E7</v>
      </c>
    </row>
    <row r="583">
      <c r="A583" s="2">
        <v>2024.0</v>
      </c>
      <c r="B583" s="1" t="s">
        <v>20</v>
      </c>
      <c r="D583" s="1" t="s">
        <v>216</v>
      </c>
      <c r="E583" s="2" t="s">
        <v>712</v>
      </c>
      <c r="F583" s="2">
        <v>280858.0</v>
      </c>
      <c r="H583" s="2">
        <v>2692901.0</v>
      </c>
      <c r="I583" s="2">
        <v>1382346.0</v>
      </c>
      <c r="J583" s="2">
        <v>1310555.0</v>
      </c>
    </row>
    <row r="584">
      <c r="A584" s="2">
        <v>2024.0</v>
      </c>
      <c r="B584" s="1" t="s">
        <v>20</v>
      </c>
      <c r="D584" s="1" t="s">
        <v>216</v>
      </c>
      <c r="E584" s="2" t="s">
        <v>717</v>
      </c>
      <c r="F584" s="2">
        <v>209369.0</v>
      </c>
      <c r="H584" s="2">
        <v>709369.0</v>
      </c>
      <c r="I584" s="2">
        <v>408853.0</v>
      </c>
      <c r="J584" s="2">
        <v>300516.0</v>
      </c>
    </row>
    <row r="585">
      <c r="A585" s="2">
        <v>2024.0</v>
      </c>
      <c r="B585" s="1" t="s">
        <v>710</v>
      </c>
      <c r="D585" s="1" t="s">
        <v>719</v>
      </c>
      <c r="E585" s="2" t="s">
        <v>720</v>
      </c>
      <c r="F585" s="2">
        <v>1.6840819E7</v>
      </c>
      <c r="G585" s="2">
        <v>1.96860463E8</v>
      </c>
      <c r="H585" s="2">
        <v>2.13701282E8</v>
      </c>
      <c r="I585" s="2">
        <v>2.00653441E8</v>
      </c>
      <c r="J585" s="2">
        <v>1.3047841E7</v>
      </c>
    </row>
    <row r="586">
      <c r="A586" s="2">
        <v>2024.0</v>
      </c>
      <c r="B586" s="1" t="s">
        <v>710</v>
      </c>
      <c r="D586" s="1" t="s">
        <v>719</v>
      </c>
      <c r="E586" s="2" t="s">
        <v>721</v>
      </c>
      <c r="F586" s="2">
        <v>1.1564587E7</v>
      </c>
      <c r="G586" s="2">
        <v>8.4267889E7</v>
      </c>
      <c r="H586" s="2">
        <v>9.5832477E7</v>
      </c>
      <c r="I586" s="2">
        <v>9.548486E7</v>
      </c>
      <c r="J586" s="2">
        <v>347616.0</v>
      </c>
    </row>
    <row r="587">
      <c r="A587" s="2">
        <v>2024.0</v>
      </c>
      <c r="B587" s="1" t="s">
        <v>710</v>
      </c>
      <c r="D587" s="1" t="s">
        <v>719</v>
      </c>
      <c r="E587" s="2" t="s">
        <v>722</v>
      </c>
      <c r="F587" s="2">
        <v>3035642.0</v>
      </c>
      <c r="G587" s="2">
        <v>9.0987595E7</v>
      </c>
      <c r="H587" s="2">
        <v>9.4023237E7</v>
      </c>
      <c r="I587" s="2">
        <v>9.4023237E7</v>
      </c>
      <c r="J587" s="2">
        <v>0.0</v>
      </c>
    </row>
    <row r="588">
      <c r="A588" s="2">
        <v>2024.0</v>
      </c>
      <c r="B588" s="1" t="s">
        <v>710</v>
      </c>
      <c r="D588" s="1" t="s">
        <v>719</v>
      </c>
      <c r="E588" s="2" t="s">
        <v>722</v>
      </c>
      <c r="F588" s="2">
        <v>1669571.0</v>
      </c>
      <c r="G588" s="2">
        <v>4.2232909E7</v>
      </c>
      <c r="H588" s="2">
        <v>4.390248E7</v>
      </c>
      <c r="I588" s="2">
        <v>4.3882463E7</v>
      </c>
      <c r="J588" s="2">
        <v>20017.0</v>
      </c>
    </row>
    <row r="589">
      <c r="A589" s="2">
        <v>2024.0</v>
      </c>
      <c r="B589" s="1" t="s">
        <v>710</v>
      </c>
      <c r="D589" s="1" t="s">
        <v>719</v>
      </c>
      <c r="E589" s="2" t="s">
        <v>723</v>
      </c>
      <c r="F589" s="2">
        <v>216390.0</v>
      </c>
      <c r="G589" s="2">
        <v>3.8340221E7</v>
      </c>
      <c r="H589" s="2">
        <v>3.8556611E7</v>
      </c>
      <c r="I589" s="2">
        <v>2.3303539E7</v>
      </c>
      <c r="J589" s="2">
        <v>1.5253072E7</v>
      </c>
    </row>
    <row r="590">
      <c r="A590" s="2">
        <v>2024.0</v>
      </c>
      <c r="B590" s="1" t="s">
        <v>710</v>
      </c>
      <c r="D590" s="1" t="s">
        <v>719</v>
      </c>
      <c r="E590" s="2" t="s">
        <v>724</v>
      </c>
      <c r="F590" s="2">
        <v>3739249.0</v>
      </c>
      <c r="G590" s="2">
        <v>36845.0</v>
      </c>
      <c r="H590" s="2">
        <v>3776094.0</v>
      </c>
      <c r="I590" s="2">
        <v>3765850.0</v>
      </c>
      <c r="J590" s="2">
        <v>10244.0</v>
      </c>
    </row>
    <row r="591">
      <c r="A591" s="2">
        <v>2024.0</v>
      </c>
      <c r="B591" s="1" t="s">
        <v>710</v>
      </c>
      <c r="D591" s="1" t="s">
        <v>719</v>
      </c>
      <c r="E591" s="2" t="s">
        <v>722</v>
      </c>
      <c r="G591" s="2">
        <v>8.6537095E7</v>
      </c>
      <c r="H591" s="2">
        <v>8.6537095E7</v>
      </c>
      <c r="I591" s="2">
        <v>2.0000001E7</v>
      </c>
      <c r="J591" s="2">
        <v>6.6537094E7</v>
      </c>
    </row>
    <row r="592">
      <c r="A592" s="2">
        <v>2024.0</v>
      </c>
      <c r="B592" s="1" t="s">
        <v>710</v>
      </c>
      <c r="D592" s="1" t="s">
        <v>112</v>
      </c>
      <c r="E592" s="2" t="s">
        <v>726</v>
      </c>
      <c r="H592" s="2">
        <v>2.6256502E7</v>
      </c>
    </row>
    <row r="593">
      <c r="A593" s="2">
        <v>2024.0</v>
      </c>
      <c r="B593" s="1" t="s">
        <v>710</v>
      </c>
      <c r="D593" s="1" t="s">
        <v>112</v>
      </c>
      <c r="E593" s="2" t="s">
        <v>727</v>
      </c>
      <c r="H593" s="2">
        <v>2742117.0</v>
      </c>
    </row>
    <row r="594">
      <c r="A594" s="2">
        <v>2024.0</v>
      </c>
      <c r="B594" s="1" t="s">
        <v>710</v>
      </c>
      <c r="D594" s="1" t="s">
        <v>112</v>
      </c>
      <c r="E594" s="2" t="s">
        <v>730</v>
      </c>
      <c r="H594" s="2">
        <v>1.6196615E7</v>
      </c>
    </row>
    <row r="595">
      <c r="A595" s="2">
        <v>2024.0</v>
      </c>
      <c r="B595" s="1" t="s">
        <v>710</v>
      </c>
      <c r="D595" s="1" t="s">
        <v>112</v>
      </c>
      <c r="E595" s="2" t="s">
        <v>732</v>
      </c>
      <c r="H595" s="2">
        <v>3081850.0</v>
      </c>
    </row>
    <row r="596">
      <c r="A596" s="2">
        <v>2024.0</v>
      </c>
      <c r="B596" s="1" t="s">
        <v>710</v>
      </c>
      <c r="D596" s="1" t="s">
        <v>112</v>
      </c>
      <c r="E596" s="2" t="s">
        <v>733</v>
      </c>
      <c r="H596" s="2">
        <v>3024206.0</v>
      </c>
    </row>
    <row r="597">
      <c r="A597" s="2">
        <v>2024.0</v>
      </c>
      <c r="B597" s="1" t="s">
        <v>710</v>
      </c>
      <c r="D597" s="1" t="s">
        <v>112</v>
      </c>
      <c r="E597" s="2" t="s">
        <v>734</v>
      </c>
      <c r="H597" s="2">
        <v>7597236.0</v>
      </c>
    </row>
    <row r="598">
      <c r="A598" s="2">
        <v>2024.0</v>
      </c>
      <c r="B598" s="1" t="s">
        <v>710</v>
      </c>
      <c r="D598" s="1" t="s">
        <v>112</v>
      </c>
      <c r="E598" s="2" t="s">
        <v>735</v>
      </c>
      <c r="H598" s="2">
        <v>1749135.0</v>
      </c>
    </row>
    <row r="599">
      <c r="A599" s="2">
        <v>2024.0</v>
      </c>
      <c r="B599" s="1" t="s">
        <v>710</v>
      </c>
      <c r="D599" s="1" t="s">
        <v>112</v>
      </c>
      <c r="E599" s="2" t="s">
        <v>736</v>
      </c>
      <c r="H599" s="2">
        <v>1373232.0</v>
      </c>
    </row>
    <row r="600">
      <c r="A600" s="2">
        <v>2024.0</v>
      </c>
      <c r="B600" s="1" t="s">
        <v>710</v>
      </c>
      <c r="D600" s="1" t="s">
        <v>112</v>
      </c>
      <c r="E600" s="2" t="s">
        <v>737</v>
      </c>
      <c r="H600" s="2">
        <v>1955013.0</v>
      </c>
    </row>
    <row r="601">
      <c r="A601" s="2">
        <v>2024.0</v>
      </c>
      <c r="B601" s="1" t="s">
        <v>710</v>
      </c>
      <c r="D601" s="1" t="s">
        <v>112</v>
      </c>
      <c r="E601" s="2" t="s">
        <v>738</v>
      </c>
      <c r="H601" s="2">
        <v>378471.0</v>
      </c>
    </row>
    <row r="602">
      <c r="A602" s="2">
        <v>2024.0</v>
      </c>
      <c r="B602" s="1" t="s">
        <v>710</v>
      </c>
      <c r="D602" s="1" t="s">
        <v>112</v>
      </c>
      <c r="E602" s="2" t="s">
        <v>739</v>
      </c>
      <c r="H602" s="2">
        <v>598283.0</v>
      </c>
    </row>
    <row r="603">
      <c r="A603" s="2">
        <v>2024.0</v>
      </c>
      <c r="B603" s="1" t="s">
        <v>710</v>
      </c>
      <c r="D603" s="1" t="s">
        <v>112</v>
      </c>
      <c r="E603" s="2" t="s">
        <v>740</v>
      </c>
      <c r="H603" s="2">
        <v>1709601.0</v>
      </c>
    </row>
    <row r="604">
      <c r="A604" s="2">
        <v>2024.0</v>
      </c>
      <c r="B604" s="1" t="s">
        <v>710</v>
      </c>
      <c r="D604" s="1" t="s">
        <v>112</v>
      </c>
      <c r="E604" s="2" t="s">
        <v>741</v>
      </c>
      <c r="H604" s="2">
        <v>744750.0</v>
      </c>
    </row>
    <row r="605">
      <c r="A605" s="2">
        <v>2024.0</v>
      </c>
      <c r="B605" s="1" t="s">
        <v>710</v>
      </c>
      <c r="D605" s="1" t="s">
        <v>112</v>
      </c>
      <c r="E605" s="2" t="s">
        <v>742</v>
      </c>
      <c r="H605" s="2">
        <v>2785707.0</v>
      </c>
    </row>
    <row r="606">
      <c r="A606" s="2">
        <v>2024.0</v>
      </c>
      <c r="B606" s="1" t="s">
        <v>710</v>
      </c>
      <c r="D606" s="1" t="s">
        <v>112</v>
      </c>
      <c r="E606" s="2" t="s">
        <v>744</v>
      </c>
      <c r="H606" s="2">
        <v>4641301.0</v>
      </c>
    </row>
    <row r="607">
      <c r="A607" s="2">
        <v>2025.0</v>
      </c>
      <c r="B607" s="1" t="s">
        <v>745</v>
      </c>
      <c r="C607" s="2" t="s">
        <v>746</v>
      </c>
      <c r="D607" s="2" t="s">
        <v>747</v>
      </c>
      <c r="E607" s="2" t="s">
        <v>686</v>
      </c>
      <c r="F607" s="2">
        <v>2734754.0</v>
      </c>
      <c r="G607" s="2">
        <v>550378.0</v>
      </c>
      <c r="H607" s="2">
        <v>3285132.0</v>
      </c>
      <c r="I607" s="2">
        <v>0.0</v>
      </c>
      <c r="J607" s="2">
        <v>3285132.0</v>
      </c>
    </row>
    <row r="608">
      <c r="A608" s="2">
        <v>2025.0</v>
      </c>
      <c r="B608" s="1" t="s">
        <v>745</v>
      </c>
      <c r="C608" s="2" t="s">
        <v>746</v>
      </c>
      <c r="D608" s="2" t="s">
        <v>747</v>
      </c>
      <c r="E608" s="2" t="s">
        <v>749</v>
      </c>
      <c r="F608" s="2">
        <v>1206843.0</v>
      </c>
      <c r="G608" s="2">
        <v>902331.0</v>
      </c>
      <c r="H608" s="2">
        <v>2109174.0</v>
      </c>
      <c r="I608" s="2">
        <v>1777629.0</v>
      </c>
      <c r="J608" s="2">
        <v>331545.0</v>
      </c>
    </row>
    <row r="609">
      <c r="A609" s="2">
        <v>2025.0</v>
      </c>
      <c r="B609" s="1" t="s">
        <v>745</v>
      </c>
      <c r="C609" s="2" t="s">
        <v>746</v>
      </c>
      <c r="D609" s="2" t="s">
        <v>747</v>
      </c>
      <c r="E609" s="2" t="s">
        <v>32</v>
      </c>
      <c r="F609" s="2">
        <v>38399.0</v>
      </c>
      <c r="G609" s="2">
        <v>133936.0</v>
      </c>
      <c r="H609" s="2">
        <v>172335.0</v>
      </c>
      <c r="I609" s="2">
        <v>120343.0</v>
      </c>
      <c r="J609" s="2">
        <v>51992.0</v>
      </c>
    </row>
    <row r="610">
      <c r="A610" s="2">
        <v>2025.0</v>
      </c>
      <c r="B610" s="1" t="s">
        <v>745</v>
      </c>
      <c r="C610" s="2" t="s">
        <v>746</v>
      </c>
      <c r="D610" s="2" t="s">
        <v>747</v>
      </c>
      <c r="E610" s="2" t="s">
        <v>27</v>
      </c>
      <c r="F610" s="2">
        <v>1769678.0</v>
      </c>
      <c r="G610" s="2">
        <v>1345655.0</v>
      </c>
      <c r="H610" s="2">
        <v>3115333.0</v>
      </c>
      <c r="I610" s="2">
        <v>2947009.0</v>
      </c>
      <c r="J610" s="2">
        <v>168324.0</v>
      </c>
    </row>
    <row r="611">
      <c r="A611" s="2">
        <v>2025.0</v>
      </c>
      <c r="B611" s="1" t="s">
        <v>745</v>
      </c>
      <c r="C611" s="2" t="s">
        <v>746</v>
      </c>
      <c r="D611" s="2" t="s">
        <v>193</v>
      </c>
      <c r="E611" s="2" t="s">
        <v>686</v>
      </c>
      <c r="F611" s="2">
        <v>2634420.0</v>
      </c>
      <c r="G611" s="2">
        <v>656432.0</v>
      </c>
      <c r="H611" s="2">
        <v>3290852.0</v>
      </c>
      <c r="I611" s="2">
        <v>435515.0</v>
      </c>
      <c r="J611" s="2">
        <v>2855337.0</v>
      </c>
    </row>
    <row r="612">
      <c r="A612" s="2">
        <v>2025.0</v>
      </c>
      <c r="B612" s="1" t="s">
        <v>745</v>
      </c>
      <c r="C612" s="2" t="s">
        <v>746</v>
      </c>
      <c r="D612" s="2" t="s">
        <v>193</v>
      </c>
      <c r="E612" s="2" t="s">
        <v>394</v>
      </c>
      <c r="F612" s="2">
        <v>1880335.0</v>
      </c>
      <c r="G612" s="2">
        <v>1233767.0</v>
      </c>
      <c r="H612" s="2">
        <v>3114102.0</v>
      </c>
      <c r="I612" s="2">
        <v>1558553.0</v>
      </c>
      <c r="J612" s="2">
        <v>1555549.0</v>
      </c>
    </row>
    <row r="613">
      <c r="A613" s="2">
        <v>2025.0</v>
      </c>
      <c r="B613" s="1" t="s">
        <v>745</v>
      </c>
      <c r="C613" s="2" t="s">
        <v>746</v>
      </c>
      <c r="D613" s="2" t="s">
        <v>193</v>
      </c>
      <c r="E613" s="2" t="s">
        <v>27</v>
      </c>
      <c r="F613" s="2">
        <v>561264.0</v>
      </c>
      <c r="G613" s="2">
        <v>2397364.0</v>
      </c>
      <c r="H613" s="2">
        <v>2958628.0</v>
      </c>
      <c r="I613" s="2">
        <v>2432948.0</v>
      </c>
      <c r="J613" s="2">
        <v>525680.0</v>
      </c>
    </row>
    <row r="614">
      <c r="A614" s="2">
        <v>2025.0</v>
      </c>
      <c r="B614" s="1" t="s">
        <v>745</v>
      </c>
      <c r="C614" s="2" t="s">
        <v>746</v>
      </c>
      <c r="D614" s="2" t="s">
        <v>751</v>
      </c>
      <c r="E614" s="2" t="s">
        <v>686</v>
      </c>
      <c r="F614" s="2">
        <v>1328867.0</v>
      </c>
      <c r="G614" s="2">
        <v>1228658.0</v>
      </c>
      <c r="H614" s="2">
        <v>2557525.0</v>
      </c>
      <c r="I614" s="2">
        <v>732226.0</v>
      </c>
      <c r="J614" s="2">
        <v>1825299.0</v>
      </c>
    </row>
    <row r="615">
      <c r="A615" s="2">
        <v>2025.0</v>
      </c>
      <c r="B615" s="1" t="s">
        <v>745</v>
      </c>
      <c r="C615" s="2" t="s">
        <v>746</v>
      </c>
      <c r="D615" s="2" t="s">
        <v>751</v>
      </c>
      <c r="E615" s="2" t="s">
        <v>32</v>
      </c>
      <c r="F615" s="2">
        <v>270546.0</v>
      </c>
      <c r="G615" s="2">
        <v>1745259.0</v>
      </c>
      <c r="H615" s="2">
        <v>2015805.0</v>
      </c>
      <c r="I615" s="2">
        <v>726854.0</v>
      </c>
      <c r="J615" s="2">
        <v>1288951.0</v>
      </c>
    </row>
    <row r="616">
      <c r="A616" s="2">
        <v>2025.0</v>
      </c>
      <c r="B616" s="1" t="s">
        <v>745</v>
      </c>
      <c r="C616" s="2" t="s">
        <v>746</v>
      </c>
      <c r="D616" s="2" t="s">
        <v>751</v>
      </c>
      <c r="E616" s="2" t="s">
        <v>56</v>
      </c>
      <c r="F616" s="2">
        <v>3139363.0</v>
      </c>
      <c r="G616" s="2">
        <v>1207234.0</v>
      </c>
      <c r="H616" s="2">
        <v>4346597.0</v>
      </c>
      <c r="I616" s="2">
        <v>1307174.0</v>
      </c>
      <c r="J616" s="2">
        <v>3039423.0</v>
      </c>
    </row>
    <row r="617">
      <c r="A617" s="2">
        <v>2025.0</v>
      </c>
      <c r="B617" s="1" t="s">
        <v>745</v>
      </c>
      <c r="C617" s="2" t="s">
        <v>746</v>
      </c>
      <c r="D617" s="2" t="s">
        <v>752</v>
      </c>
      <c r="E617" s="2" t="s">
        <v>686</v>
      </c>
      <c r="F617" s="2">
        <v>1787986.0</v>
      </c>
      <c r="G617" s="2">
        <v>529875.0</v>
      </c>
      <c r="H617" s="2">
        <v>2317861.0</v>
      </c>
      <c r="I617" s="2">
        <v>470199.0</v>
      </c>
      <c r="J617" s="2">
        <v>1847662.0</v>
      </c>
    </row>
    <row r="618">
      <c r="A618" s="2">
        <v>2025.0</v>
      </c>
      <c r="B618" s="1" t="s">
        <v>745</v>
      </c>
      <c r="C618" s="2" t="s">
        <v>746</v>
      </c>
      <c r="D618" s="2" t="s">
        <v>752</v>
      </c>
      <c r="E618" s="2" t="s">
        <v>92</v>
      </c>
      <c r="F618" s="2">
        <v>932447.0</v>
      </c>
      <c r="G618" s="2">
        <v>2772989.0</v>
      </c>
      <c r="H618" s="2">
        <v>3705436.0</v>
      </c>
      <c r="I618" s="2">
        <v>3165308.0</v>
      </c>
      <c r="J618" s="2">
        <v>540128.0</v>
      </c>
    </row>
    <row r="619">
      <c r="A619" s="2">
        <v>2025.0</v>
      </c>
      <c r="B619" s="1" t="s">
        <v>745</v>
      </c>
      <c r="C619" s="2" t="s">
        <v>746</v>
      </c>
      <c r="D619" s="2" t="s">
        <v>752</v>
      </c>
      <c r="E619" s="2" t="s">
        <v>32</v>
      </c>
      <c r="F619" s="2">
        <v>38357.0</v>
      </c>
      <c r="G619" s="2">
        <v>164123.0</v>
      </c>
      <c r="H619" s="2">
        <v>202480.0</v>
      </c>
      <c r="I619" s="2">
        <v>195506.0</v>
      </c>
      <c r="J619" s="2">
        <v>6974.0</v>
      </c>
    </row>
    <row r="620">
      <c r="A620" s="2">
        <v>2025.0</v>
      </c>
      <c r="B620" s="1" t="s">
        <v>745</v>
      </c>
      <c r="C620" s="2" t="s">
        <v>755</v>
      </c>
      <c r="D620" s="2" t="s">
        <v>757</v>
      </c>
      <c r="E620" s="2" t="s">
        <v>686</v>
      </c>
      <c r="F620" s="2">
        <v>2322396.0</v>
      </c>
      <c r="G620" s="2">
        <v>1379446.0</v>
      </c>
      <c r="H620" s="2">
        <v>3701842.0</v>
      </c>
      <c r="I620" s="2">
        <v>805671.0</v>
      </c>
      <c r="J620" s="2">
        <v>2896171.0</v>
      </c>
    </row>
    <row r="621">
      <c r="A621" s="2">
        <v>2025.0</v>
      </c>
      <c r="B621" s="1" t="s">
        <v>745</v>
      </c>
      <c r="C621" s="2" t="s">
        <v>755</v>
      </c>
      <c r="D621" s="2" t="s">
        <v>757</v>
      </c>
      <c r="E621" s="2" t="s">
        <v>749</v>
      </c>
      <c r="F621" s="2">
        <v>2865948.0</v>
      </c>
      <c r="G621" s="2">
        <v>2736595.0</v>
      </c>
      <c r="H621" s="2">
        <v>5602543.0</v>
      </c>
      <c r="I621" s="2">
        <v>1776277.0</v>
      </c>
      <c r="J621" s="2">
        <v>3826266.0</v>
      </c>
    </row>
    <row r="622">
      <c r="A622" s="2">
        <v>2025.0</v>
      </c>
      <c r="B622" s="1" t="s">
        <v>745</v>
      </c>
      <c r="C622" s="2" t="s">
        <v>755</v>
      </c>
      <c r="D622" s="2" t="s">
        <v>757</v>
      </c>
      <c r="E622" s="2" t="s">
        <v>760</v>
      </c>
      <c r="F622" s="2">
        <v>221157.0</v>
      </c>
      <c r="G622" s="2">
        <v>1578081.0</v>
      </c>
      <c r="H622" s="2">
        <v>1799238.0</v>
      </c>
      <c r="I622" s="2">
        <v>1663507.0</v>
      </c>
      <c r="J622" s="2">
        <v>135731.0</v>
      </c>
    </row>
    <row r="623">
      <c r="A623" s="2">
        <v>2025.0</v>
      </c>
      <c r="B623" s="1" t="s">
        <v>745</v>
      </c>
      <c r="C623" s="2" t="s">
        <v>755</v>
      </c>
      <c r="D623" s="2" t="s">
        <v>761</v>
      </c>
      <c r="E623" s="2" t="s">
        <v>686</v>
      </c>
      <c r="F623" s="2">
        <v>3151027.0</v>
      </c>
      <c r="G623" s="2">
        <v>1940904.0</v>
      </c>
      <c r="H623" s="2">
        <v>5091931.0</v>
      </c>
      <c r="I623" s="2">
        <v>1383471.0</v>
      </c>
      <c r="J623" s="2">
        <v>3708460.0</v>
      </c>
    </row>
    <row r="624">
      <c r="A624" s="2">
        <v>2025.0</v>
      </c>
      <c r="B624" s="1" t="s">
        <v>745</v>
      </c>
      <c r="C624" s="2" t="s">
        <v>755</v>
      </c>
      <c r="D624" s="2" t="s">
        <v>761</v>
      </c>
      <c r="E624" s="2" t="s">
        <v>92</v>
      </c>
      <c r="F624" s="2">
        <v>3200855.0</v>
      </c>
      <c r="G624" s="2">
        <v>3386920.0</v>
      </c>
      <c r="H624" s="2">
        <v>6587775.0</v>
      </c>
      <c r="I624" s="2">
        <v>3985205.0</v>
      </c>
      <c r="J624" s="2">
        <v>2602570.0</v>
      </c>
    </row>
    <row r="625">
      <c r="A625" s="2">
        <v>2025.0</v>
      </c>
      <c r="B625" s="1" t="s">
        <v>745</v>
      </c>
      <c r="C625" s="2" t="s">
        <v>755</v>
      </c>
      <c r="D625" s="2" t="s">
        <v>761</v>
      </c>
      <c r="E625" s="2" t="s">
        <v>32</v>
      </c>
      <c r="F625" s="2">
        <v>69019.0</v>
      </c>
      <c r="G625" s="2">
        <v>224972.0</v>
      </c>
      <c r="H625" s="2">
        <v>293991.0</v>
      </c>
      <c r="I625" s="2">
        <v>265460.0</v>
      </c>
      <c r="J625" s="2">
        <v>28531.0</v>
      </c>
    </row>
    <row r="626">
      <c r="A626" s="2">
        <v>2025.0</v>
      </c>
      <c r="B626" s="1" t="s">
        <v>745</v>
      </c>
      <c r="C626" s="2" t="s">
        <v>755</v>
      </c>
      <c r="D626" s="2" t="s">
        <v>763</v>
      </c>
      <c r="E626" s="2" t="s">
        <v>686</v>
      </c>
      <c r="F626" s="2">
        <v>1401616.0</v>
      </c>
      <c r="G626" s="2">
        <v>835264.0</v>
      </c>
      <c r="H626" s="2">
        <v>2236880.0</v>
      </c>
      <c r="I626" s="2">
        <v>695652.0</v>
      </c>
      <c r="J626" s="2">
        <v>1541228.0</v>
      </c>
    </row>
    <row r="627">
      <c r="A627" s="2">
        <v>2025.0</v>
      </c>
      <c r="B627" s="1" t="s">
        <v>745</v>
      </c>
      <c r="C627" s="2" t="s">
        <v>755</v>
      </c>
      <c r="D627" s="2" t="s">
        <v>763</v>
      </c>
      <c r="E627" s="2" t="s">
        <v>228</v>
      </c>
      <c r="F627" s="2">
        <v>1913745.0</v>
      </c>
      <c r="G627" s="2">
        <v>2369990.0</v>
      </c>
      <c r="H627" s="2">
        <v>4283735.0</v>
      </c>
      <c r="I627" s="2">
        <v>1517160.0</v>
      </c>
      <c r="J627" s="2">
        <v>2766575.0</v>
      </c>
    </row>
    <row r="628">
      <c r="A628" s="2">
        <v>2025.0</v>
      </c>
      <c r="B628" s="1" t="s">
        <v>745</v>
      </c>
      <c r="C628" s="2" t="s">
        <v>755</v>
      </c>
      <c r="D628" s="2" t="s">
        <v>766</v>
      </c>
      <c r="E628" s="2" t="s">
        <v>686</v>
      </c>
      <c r="F628" s="2">
        <v>2154558.0</v>
      </c>
      <c r="G628" s="2">
        <v>962338.0</v>
      </c>
      <c r="H628" s="2">
        <v>3116896.0</v>
      </c>
      <c r="I628" s="2">
        <v>1400270.0</v>
      </c>
      <c r="J628" s="2">
        <v>1716626.0</v>
      </c>
    </row>
    <row r="629">
      <c r="A629" s="2">
        <v>2025.0</v>
      </c>
      <c r="B629" s="1" t="s">
        <v>745</v>
      </c>
      <c r="C629" s="2" t="s">
        <v>755</v>
      </c>
      <c r="D629" s="2" t="s">
        <v>766</v>
      </c>
      <c r="E629" s="2" t="s">
        <v>92</v>
      </c>
      <c r="F629" s="2">
        <v>1247848.0</v>
      </c>
      <c r="G629" s="2">
        <v>3093410.0</v>
      </c>
      <c r="H629" s="2">
        <v>4341258.0</v>
      </c>
      <c r="I629" s="2">
        <v>2995508.0</v>
      </c>
      <c r="J629" s="2">
        <v>1345750.0</v>
      </c>
    </row>
    <row r="630">
      <c r="A630" s="2">
        <v>2025.0</v>
      </c>
      <c r="B630" s="1" t="s">
        <v>745</v>
      </c>
      <c r="C630" s="2" t="s">
        <v>755</v>
      </c>
      <c r="D630" s="2" t="s">
        <v>766</v>
      </c>
      <c r="E630" s="2" t="s">
        <v>32</v>
      </c>
      <c r="F630" s="2">
        <v>111362.0</v>
      </c>
      <c r="G630" s="2">
        <v>142419.0</v>
      </c>
      <c r="H630" s="2">
        <v>253781.0</v>
      </c>
      <c r="I630" s="2">
        <v>206115.0</v>
      </c>
      <c r="J630" s="2">
        <v>47666.0</v>
      </c>
    </row>
    <row r="631">
      <c r="A631" s="2">
        <v>2025.0</v>
      </c>
      <c r="B631" s="1" t="s">
        <v>745</v>
      </c>
      <c r="C631" s="2" t="s">
        <v>157</v>
      </c>
      <c r="D631" s="2" t="s">
        <v>756</v>
      </c>
      <c r="E631" s="2" t="s">
        <v>686</v>
      </c>
      <c r="F631" s="2">
        <v>1760471.0</v>
      </c>
      <c r="G631" s="2">
        <v>638930.0</v>
      </c>
      <c r="H631" s="2">
        <v>2399401.0</v>
      </c>
      <c r="I631" s="2">
        <v>1195361.0</v>
      </c>
      <c r="J631" s="2">
        <v>1204040.0</v>
      </c>
    </row>
    <row r="632">
      <c r="A632" s="2">
        <v>2025.0</v>
      </c>
      <c r="B632" s="1" t="s">
        <v>745</v>
      </c>
      <c r="C632" s="2" t="s">
        <v>157</v>
      </c>
      <c r="D632" s="2" t="s">
        <v>756</v>
      </c>
      <c r="E632" s="2" t="s">
        <v>92</v>
      </c>
      <c r="F632" s="2">
        <v>1778151.0</v>
      </c>
      <c r="G632" s="2">
        <v>2978406.0</v>
      </c>
      <c r="H632" s="2">
        <v>4756557.0</v>
      </c>
      <c r="I632" s="2">
        <v>2869765.0</v>
      </c>
      <c r="J632" s="2">
        <v>1886792.0</v>
      </c>
    </row>
    <row r="633">
      <c r="A633" s="2">
        <v>2025.0</v>
      </c>
      <c r="B633" s="1" t="s">
        <v>745</v>
      </c>
      <c r="C633" s="2" t="s">
        <v>157</v>
      </c>
      <c r="D633" s="2" t="s">
        <v>756</v>
      </c>
      <c r="E633" s="2" t="s">
        <v>32</v>
      </c>
      <c r="F633" s="2">
        <v>161562.0</v>
      </c>
      <c r="G633" s="2">
        <v>176089.0</v>
      </c>
      <c r="H633" s="2">
        <v>337651.0</v>
      </c>
      <c r="I633" s="2">
        <v>209328.0</v>
      </c>
      <c r="J633" s="2">
        <v>128323.0</v>
      </c>
    </row>
    <row r="634">
      <c r="A634" s="2">
        <v>2025.0</v>
      </c>
      <c r="B634" s="1" t="s">
        <v>745</v>
      </c>
      <c r="C634" s="2" t="s">
        <v>157</v>
      </c>
      <c r="D634" s="2" t="s">
        <v>756</v>
      </c>
      <c r="E634" s="2" t="s">
        <v>460</v>
      </c>
      <c r="F634" s="2">
        <v>4823.0</v>
      </c>
      <c r="G634" s="2">
        <v>36025.0</v>
      </c>
      <c r="H634" s="2">
        <v>40848.0</v>
      </c>
      <c r="I634" s="2">
        <v>39700.0</v>
      </c>
      <c r="J634" s="2">
        <v>1148.0</v>
      </c>
    </row>
    <row r="635">
      <c r="A635" s="2">
        <v>2025.0</v>
      </c>
      <c r="B635" s="1" t="s">
        <v>745</v>
      </c>
      <c r="C635" s="2" t="s">
        <v>157</v>
      </c>
      <c r="D635" s="2" t="s">
        <v>771</v>
      </c>
      <c r="E635" s="2" t="s">
        <v>25</v>
      </c>
      <c r="F635" s="2">
        <v>5064773.0</v>
      </c>
      <c r="G635" s="2">
        <v>722157.0</v>
      </c>
      <c r="H635" s="2">
        <v>5786930.0</v>
      </c>
      <c r="I635" s="2">
        <v>2963588.0</v>
      </c>
      <c r="J635" s="2">
        <v>2823342.0</v>
      </c>
    </row>
    <row r="636">
      <c r="A636" s="2">
        <v>2025.0</v>
      </c>
      <c r="B636" s="1" t="s">
        <v>745</v>
      </c>
      <c r="C636" s="2" t="s">
        <v>157</v>
      </c>
      <c r="D636" s="2" t="s">
        <v>771</v>
      </c>
      <c r="E636" s="2" t="s">
        <v>56</v>
      </c>
      <c r="F636" s="2">
        <v>2761901.0</v>
      </c>
      <c r="G636" s="2">
        <v>3572391.0</v>
      </c>
      <c r="H636" s="2">
        <v>6334292.0</v>
      </c>
      <c r="I636" s="2">
        <v>3663260.0</v>
      </c>
      <c r="J636" s="2">
        <v>2671032.0</v>
      </c>
    </row>
    <row r="637">
      <c r="A637" s="2">
        <v>2025.0</v>
      </c>
      <c r="B637" s="1" t="s">
        <v>745</v>
      </c>
      <c r="C637" s="2" t="s">
        <v>157</v>
      </c>
      <c r="D637" s="2" t="s">
        <v>771</v>
      </c>
      <c r="E637" s="2" t="s">
        <v>32</v>
      </c>
      <c r="F637" s="2">
        <v>88912.0</v>
      </c>
      <c r="G637" s="2">
        <v>89424.0</v>
      </c>
      <c r="H637" s="2">
        <v>178336.0</v>
      </c>
      <c r="I637" s="2">
        <v>126800.0</v>
      </c>
      <c r="J637" s="2">
        <v>51536.0</v>
      </c>
    </row>
    <row r="638">
      <c r="A638" s="2">
        <v>2025.0</v>
      </c>
      <c r="B638" s="1" t="s">
        <v>745</v>
      </c>
      <c r="C638" s="2" t="s">
        <v>157</v>
      </c>
      <c r="D638" s="2" t="s">
        <v>772</v>
      </c>
      <c r="E638" s="2" t="s">
        <v>25</v>
      </c>
      <c r="F638" s="4">
        <v>1401825.0</v>
      </c>
      <c r="G638" s="2">
        <v>431459.0</v>
      </c>
      <c r="H638" s="4">
        <v>1833284.0</v>
      </c>
      <c r="I638" s="4">
        <v>694145.0</v>
      </c>
      <c r="J638" s="2">
        <v>1139139.0</v>
      </c>
    </row>
    <row r="639">
      <c r="A639" s="2">
        <v>2025.0</v>
      </c>
      <c r="B639" s="1" t="s">
        <v>745</v>
      </c>
      <c r="C639" s="2" t="s">
        <v>157</v>
      </c>
      <c r="D639" s="2" t="s">
        <v>772</v>
      </c>
      <c r="E639" s="2" t="s">
        <v>92</v>
      </c>
      <c r="F639" s="2">
        <v>1734380.0</v>
      </c>
      <c r="G639" s="2">
        <v>2755057.0</v>
      </c>
      <c r="H639" s="2">
        <v>4489437.0</v>
      </c>
      <c r="I639" s="2">
        <v>2205200.0</v>
      </c>
      <c r="J639" s="2">
        <v>2284237.0</v>
      </c>
    </row>
    <row r="640">
      <c r="A640" s="2">
        <v>2025.0</v>
      </c>
      <c r="B640" s="1" t="s">
        <v>745</v>
      </c>
      <c r="C640" s="2" t="s">
        <v>157</v>
      </c>
      <c r="D640" s="2" t="s">
        <v>772</v>
      </c>
      <c r="E640" s="2" t="s">
        <v>32</v>
      </c>
      <c r="F640" s="2">
        <v>144917.0</v>
      </c>
      <c r="G640" s="2">
        <v>222180.0</v>
      </c>
      <c r="H640" s="2">
        <v>367097.0</v>
      </c>
      <c r="I640" s="2">
        <v>140990.0</v>
      </c>
      <c r="J640" s="2">
        <v>226107.0</v>
      </c>
    </row>
    <row r="641">
      <c r="A641" s="2">
        <v>2025.0</v>
      </c>
      <c r="B641" s="1" t="s">
        <v>745</v>
      </c>
      <c r="C641" s="2" t="s">
        <v>157</v>
      </c>
      <c r="D641" s="2" t="s">
        <v>774</v>
      </c>
      <c r="E641" s="2" t="s">
        <v>25</v>
      </c>
      <c r="F641" s="2">
        <v>2451518.0</v>
      </c>
      <c r="G641" s="2">
        <v>995576.0</v>
      </c>
      <c r="H641" s="2">
        <v>3447094.0</v>
      </c>
      <c r="I641" s="2">
        <v>1309652.0</v>
      </c>
      <c r="J641" s="2">
        <v>2137442.0</v>
      </c>
    </row>
    <row r="642">
      <c r="A642" s="2">
        <v>2025.0</v>
      </c>
      <c r="B642" s="1" t="s">
        <v>745</v>
      </c>
      <c r="C642" s="2" t="s">
        <v>157</v>
      </c>
      <c r="D642" s="2" t="s">
        <v>774</v>
      </c>
      <c r="E642" s="2" t="s">
        <v>56</v>
      </c>
      <c r="F642" s="2">
        <v>2091151.0</v>
      </c>
      <c r="G642" s="2">
        <v>3524608.0</v>
      </c>
      <c r="H642" s="2">
        <v>5615759.0</v>
      </c>
      <c r="I642" s="2">
        <v>3642255.0</v>
      </c>
      <c r="J642" s="2">
        <v>1973504.0</v>
      </c>
    </row>
    <row r="643">
      <c r="A643" s="2">
        <v>2025.0</v>
      </c>
      <c r="B643" s="1" t="s">
        <v>745</v>
      </c>
      <c r="C643" s="2" t="s">
        <v>157</v>
      </c>
      <c r="D643" s="2" t="s">
        <v>774</v>
      </c>
      <c r="E643" s="2" t="s">
        <v>32</v>
      </c>
      <c r="F643" s="2">
        <v>128270.0</v>
      </c>
      <c r="G643" s="2">
        <v>220787.0</v>
      </c>
      <c r="H643" s="2">
        <v>349057.0</v>
      </c>
      <c r="I643" s="2">
        <v>156425.0</v>
      </c>
      <c r="J643" s="2">
        <v>192632.0</v>
      </c>
    </row>
    <row r="644">
      <c r="A644" s="2">
        <v>2025.0</v>
      </c>
      <c r="B644" s="1" t="s">
        <v>745</v>
      </c>
      <c r="C644" s="2" t="s">
        <v>157</v>
      </c>
      <c r="D644" s="2" t="s">
        <v>774</v>
      </c>
      <c r="E644" s="2" t="s">
        <v>775</v>
      </c>
      <c r="F644" s="2">
        <v>0.0</v>
      </c>
      <c r="G644" s="2">
        <v>205460.0</v>
      </c>
      <c r="H644" s="2">
        <v>205460.0</v>
      </c>
      <c r="I644" s="2">
        <v>472.0</v>
      </c>
      <c r="J644" s="2">
        <v>204988.0</v>
      </c>
    </row>
    <row r="645">
      <c r="A645" s="2">
        <v>2025.0</v>
      </c>
      <c r="B645" s="1" t="s">
        <v>745</v>
      </c>
      <c r="C645" s="2" t="s">
        <v>165</v>
      </c>
      <c r="D645" s="2" t="s">
        <v>171</v>
      </c>
      <c r="E645" s="2" t="s">
        <v>686</v>
      </c>
      <c r="F645" s="2">
        <v>4015255.0</v>
      </c>
      <c r="G645" s="2">
        <v>962911.0</v>
      </c>
      <c r="H645" s="2">
        <v>4978166.0</v>
      </c>
      <c r="I645" s="2">
        <v>3528218.0</v>
      </c>
      <c r="J645" s="2">
        <v>1449948.0</v>
      </c>
    </row>
    <row r="646">
      <c r="A646" s="2">
        <v>2025.0</v>
      </c>
      <c r="B646" s="1" t="s">
        <v>745</v>
      </c>
      <c r="C646" s="2" t="s">
        <v>165</v>
      </c>
      <c r="D646" s="2" t="s">
        <v>171</v>
      </c>
      <c r="E646" s="2" t="s">
        <v>777</v>
      </c>
      <c r="F646" s="2">
        <v>2978897.0</v>
      </c>
      <c r="G646" s="2">
        <v>3268160.0</v>
      </c>
      <c r="H646" s="2">
        <v>6247057.0</v>
      </c>
      <c r="I646" s="2">
        <v>2752255.0</v>
      </c>
      <c r="J646" s="2">
        <v>3494802.0</v>
      </c>
    </row>
    <row r="647">
      <c r="A647" s="2">
        <v>2025.0</v>
      </c>
      <c r="B647" s="1" t="s">
        <v>745</v>
      </c>
      <c r="C647" s="2" t="s">
        <v>165</v>
      </c>
      <c r="D647" s="2" t="s">
        <v>171</v>
      </c>
      <c r="E647" s="2" t="s">
        <v>32</v>
      </c>
      <c r="F647" s="2">
        <v>0.0</v>
      </c>
      <c r="G647" s="2">
        <v>71587.0</v>
      </c>
      <c r="H647" s="2">
        <v>71587.0</v>
      </c>
      <c r="I647" s="2">
        <v>2414.0</v>
      </c>
      <c r="J647" s="2">
        <v>69173.0</v>
      </c>
    </row>
    <row r="648">
      <c r="A648" s="2">
        <v>2025.0</v>
      </c>
      <c r="B648" s="1" t="s">
        <v>745</v>
      </c>
      <c r="C648" s="2" t="s">
        <v>165</v>
      </c>
      <c r="D648" s="2" t="s">
        <v>171</v>
      </c>
      <c r="E648" s="2" t="s">
        <v>460</v>
      </c>
      <c r="F648" s="2">
        <v>2906.0</v>
      </c>
      <c r="G648" s="2">
        <v>1337.0</v>
      </c>
      <c r="H648" s="2">
        <v>4243.0</v>
      </c>
      <c r="I648" s="2">
        <v>450.0</v>
      </c>
      <c r="J648" s="2">
        <v>3793.0</v>
      </c>
    </row>
    <row r="649">
      <c r="A649" s="2">
        <v>2025.0</v>
      </c>
      <c r="B649" s="1" t="s">
        <v>745</v>
      </c>
      <c r="C649" s="2" t="s">
        <v>165</v>
      </c>
      <c r="D649" s="2" t="s">
        <v>171</v>
      </c>
      <c r="E649" s="2" t="s">
        <v>779</v>
      </c>
      <c r="F649" s="2">
        <v>89177.0</v>
      </c>
      <c r="G649" s="2">
        <v>3379.0</v>
      </c>
      <c r="H649" s="2">
        <v>92556.0</v>
      </c>
      <c r="I649" s="2">
        <v>150.0</v>
      </c>
      <c r="J649" s="2">
        <v>92406.0</v>
      </c>
    </row>
    <row r="650">
      <c r="A650" s="2">
        <v>2025.0</v>
      </c>
      <c r="B650" s="1" t="s">
        <v>745</v>
      </c>
      <c r="C650" s="2" t="s">
        <v>165</v>
      </c>
      <c r="D650" s="2" t="s">
        <v>175</v>
      </c>
      <c r="E650" s="2" t="s">
        <v>686</v>
      </c>
      <c r="F650" s="2">
        <v>998407.0</v>
      </c>
      <c r="G650" s="2">
        <v>410199.0</v>
      </c>
      <c r="H650" s="2">
        <v>1408606.0</v>
      </c>
      <c r="I650" s="2">
        <v>919388.0</v>
      </c>
      <c r="J650" s="2">
        <v>489218.0</v>
      </c>
    </row>
    <row r="651">
      <c r="A651" s="2">
        <v>2025.0</v>
      </c>
      <c r="B651" s="1" t="s">
        <v>745</v>
      </c>
      <c r="C651" s="2" t="s">
        <v>165</v>
      </c>
      <c r="D651" s="2" t="s">
        <v>175</v>
      </c>
      <c r="E651" s="2" t="s">
        <v>92</v>
      </c>
      <c r="F651" s="2">
        <v>2293805.0</v>
      </c>
      <c r="G651" s="2">
        <v>1975474.0</v>
      </c>
      <c r="H651" s="2">
        <v>4269279.0</v>
      </c>
      <c r="I651" s="2">
        <v>2356996.0</v>
      </c>
      <c r="J651" s="2">
        <v>1912283.0</v>
      </c>
    </row>
    <row r="652">
      <c r="A652" s="2">
        <v>2025.0</v>
      </c>
      <c r="B652" s="1" t="s">
        <v>745</v>
      </c>
      <c r="C652" s="2" t="s">
        <v>165</v>
      </c>
      <c r="D652" s="2" t="s">
        <v>175</v>
      </c>
      <c r="E652" s="2" t="s">
        <v>32</v>
      </c>
      <c r="F652" s="2">
        <v>317427.0</v>
      </c>
      <c r="G652" s="2">
        <v>337319.0</v>
      </c>
      <c r="H652" s="2">
        <v>654746.0</v>
      </c>
      <c r="I652" s="2">
        <v>130412.0</v>
      </c>
      <c r="J652" s="2">
        <v>524334.0</v>
      </c>
    </row>
    <row r="653">
      <c r="A653" s="2">
        <v>2025.0</v>
      </c>
      <c r="B653" s="1" t="s">
        <v>745</v>
      </c>
      <c r="C653" s="2" t="s">
        <v>165</v>
      </c>
      <c r="D653" s="2" t="s">
        <v>175</v>
      </c>
      <c r="E653" s="2" t="s">
        <v>779</v>
      </c>
      <c r="F653" s="2">
        <v>88028.0</v>
      </c>
      <c r="G653" s="2">
        <v>2896.0</v>
      </c>
      <c r="H653" s="2">
        <v>90924.0</v>
      </c>
      <c r="I653" s="2">
        <v>0.0</v>
      </c>
      <c r="J653" s="2">
        <v>90924.0</v>
      </c>
    </row>
    <row r="654">
      <c r="A654" s="2">
        <v>2025.0</v>
      </c>
      <c r="B654" s="1" t="s">
        <v>745</v>
      </c>
      <c r="C654" s="2" t="s">
        <v>165</v>
      </c>
      <c r="D654" s="2" t="s">
        <v>782</v>
      </c>
      <c r="E654" s="2" t="s">
        <v>686</v>
      </c>
      <c r="F654" s="2">
        <v>0.0</v>
      </c>
      <c r="G654" s="2">
        <v>593072.0</v>
      </c>
      <c r="H654" s="2">
        <v>593072.0</v>
      </c>
      <c r="I654" s="2">
        <v>0.0</v>
      </c>
      <c r="J654" s="2">
        <v>593072.0</v>
      </c>
    </row>
    <row r="655">
      <c r="A655" s="2">
        <v>2025.0</v>
      </c>
      <c r="B655" s="1" t="s">
        <v>745</v>
      </c>
      <c r="C655" s="2" t="s">
        <v>165</v>
      </c>
      <c r="D655" s="2" t="s">
        <v>782</v>
      </c>
      <c r="E655" s="2" t="s">
        <v>394</v>
      </c>
      <c r="F655" s="2">
        <v>62689.0</v>
      </c>
      <c r="G655" s="2">
        <v>1501821.0</v>
      </c>
      <c r="H655" s="2">
        <v>1564510.0</v>
      </c>
      <c r="I655" s="2">
        <v>402990.0</v>
      </c>
      <c r="J655" s="2">
        <v>1161520.0</v>
      </c>
    </row>
    <row r="656">
      <c r="A656" s="2">
        <v>2025.0</v>
      </c>
      <c r="B656" s="1" t="s">
        <v>745</v>
      </c>
      <c r="C656" s="2" t="s">
        <v>165</v>
      </c>
      <c r="D656" s="2" t="s">
        <v>782</v>
      </c>
      <c r="E656" s="2" t="s">
        <v>27</v>
      </c>
      <c r="F656" s="2">
        <v>100982.0</v>
      </c>
      <c r="G656" s="2">
        <v>1210694.0</v>
      </c>
      <c r="H656" s="2">
        <v>1311676.0</v>
      </c>
      <c r="I656" s="2">
        <v>1278606.0</v>
      </c>
      <c r="J656" s="2">
        <v>33070.0</v>
      </c>
    </row>
    <row r="657">
      <c r="A657" s="2">
        <v>2025.0</v>
      </c>
      <c r="B657" s="1" t="s">
        <v>745</v>
      </c>
      <c r="C657" s="2" t="s">
        <v>165</v>
      </c>
      <c r="D657" s="2" t="s">
        <v>784</v>
      </c>
      <c r="E657" s="2" t="s">
        <v>686</v>
      </c>
      <c r="F657" s="2">
        <v>3681274.0</v>
      </c>
      <c r="G657" s="2">
        <v>653163.0</v>
      </c>
      <c r="H657" s="2">
        <v>4334437.0</v>
      </c>
      <c r="I657" s="2">
        <v>1917517.0</v>
      </c>
      <c r="J657" s="2">
        <v>2416920.0</v>
      </c>
    </row>
    <row r="658">
      <c r="A658" s="2">
        <v>2025.0</v>
      </c>
      <c r="B658" s="1" t="s">
        <v>745</v>
      </c>
      <c r="C658" s="2" t="s">
        <v>165</v>
      </c>
      <c r="D658" s="2" t="s">
        <v>784</v>
      </c>
      <c r="E658" s="2" t="s">
        <v>92</v>
      </c>
      <c r="F658" s="2">
        <v>3517848.0</v>
      </c>
      <c r="G658" s="2">
        <v>3088965.0</v>
      </c>
      <c r="H658" s="2">
        <v>6606813.0</v>
      </c>
      <c r="I658" s="2">
        <v>3695378.0</v>
      </c>
      <c r="J658" s="2">
        <v>2911435.0</v>
      </c>
    </row>
    <row r="659">
      <c r="A659" s="2">
        <v>2025.0</v>
      </c>
      <c r="B659" s="1" t="s">
        <v>745</v>
      </c>
      <c r="C659" s="2" t="s">
        <v>165</v>
      </c>
      <c r="D659" s="2" t="s">
        <v>784</v>
      </c>
      <c r="E659" s="2" t="s">
        <v>32</v>
      </c>
      <c r="F659" s="2">
        <v>240940.0</v>
      </c>
      <c r="G659" s="2">
        <v>343979.0</v>
      </c>
      <c r="H659" s="2">
        <v>584919.0</v>
      </c>
      <c r="I659" s="2">
        <v>177900.0</v>
      </c>
      <c r="J659" s="2">
        <v>407019.0</v>
      </c>
    </row>
    <row r="660">
      <c r="A660" s="2">
        <v>2025.0</v>
      </c>
      <c r="B660" s="1" t="s">
        <v>745</v>
      </c>
      <c r="C660" s="2" t="s">
        <v>165</v>
      </c>
      <c r="D660" s="2" t="s">
        <v>785</v>
      </c>
      <c r="E660" s="2" t="s">
        <v>25</v>
      </c>
      <c r="F660" s="2">
        <v>3202754.0</v>
      </c>
      <c r="G660" s="2">
        <v>927037.0</v>
      </c>
      <c r="H660" s="2">
        <v>4129791.0</v>
      </c>
      <c r="I660" s="2">
        <v>3135950.0</v>
      </c>
      <c r="J660" s="2">
        <v>993841.0</v>
      </c>
    </row>
    <row r="661">
      <c r="A661" s="2">
        <v>2025.0</v>
      </c>
      <c r="B661" s="1" t="s">
        <v>745</v>
      </c>
      <c r="C661" s="2" t="s">
        <v>165</v>
      </c>
      <c r="D661" s="2" t="s">
        <v>785</v>
      </c>
      <c r="E661" s="2" t="s">
        <v>787</v>
      </c>
      <c r="F661" s="2">
        <v>920529.0</v>
      </c>
      <c r="G661" s="2">
        <v>3399082.0</v>
      </c>
      <c r="H661" s="2">
        <v>4319611.0</v>
      </c>
      <c r="I661" s="2">
        <v>2419809.0</v>
      </c>
      <c r="J661" s="2">
        <v>1899802.0</v>
      </c>
    </row>
    <row r="662">
      <c r="A662" s="2">
        <v>2025.0</v>
      </c>
      <c r="B662" s="1" t="s">
        <v>745</v>
      </c>
      <c r="C662" s="2" t="s">
        <v>165</v>
      </c>
      <c r="D662" s="2" t="s">
        <v>785</v>
      </c>
      <c r="E662" s="2" t="s">
        <v>32</v>
      </c>
      <c r="F662" s="2">
        <v>0.0</v>
      </c>
      <c r="G662" s="2">
        <v>97213.0</v>
      </c>
      <c r="H662" s="2">
        <v>97213.0</v>
      </c>
      <c r="I662" s="2">
        <v>33361.0</v>
      </c>
      <c r="J662" s="2">
        <v>63852.0</v>
      </c>
    </row>
    <row r="663">
      <c r="A663" s="2">
        <v>2025.0</v>
      </c>
      <c r="B663" s="1" t="s">
        <v>745</v>
      </c>
      <c r="C663" s="2" t="s">
        <v>526</v>
      </c>
      <c r="D663" s="2" t="s">
        <v>788</v>
      </c>
      <c r="E663" s="2" t="s">
        <v>686</v>
      </c>
      <c r="F663" s="2">
        <v>1963984.0</v>
      </c>
      <c r="G663" s="2">
        <v>353442.0</v>
      </c>
      <c r="H663" s="2">
        <v>2317426.0</v>
      </c>
      <c r="I663" s="2">
        <v>1524515.0</v>
      </c>
      <c r="J663" s="2">
        <v>792911.0</v>
      </c>
    </row>
    <row r="664">
      <c r="A664" s="2">
        <v>2025.0</v>
      </c>
      <c r="B664" s="1" t="s">
        <v>745</v>
      </c>
      <c r="C664" s="2" t="s">
        <v>526</v>
      </c>
      <c r="D664" s="2" t="s">
        <v>788</v>
      </c>
      <c r="E664" s="2" t="s">
        <v>777</v>
      </c>
      <c r="F664" s="2">
        <v>1870024.0</v>
      </c>
      <c r="G664" s="2">
        <v>2857841.0</v>
      </c>
      <c r="H664" s="2">
        <v>4727865.0</v>
      </c>
      <c r="I664" s="2">
        <v>2421870.0</v>
      </c>
      <c r="J664" s="2">
        <v>2305995.0</v>
      </c>
    </row>
    <row r="665">
      <c r="A665" s="2">
        <v>2025.0</v>
      </c>
      <c r="B665" s="1" t="s">
        <v>745</v>
      </c>
      <c r="C665" s="2" t="s">
        <v>526</v>
      </c>
      <c r="D665" s="2" t="s">
        <v>788</v>
      </c>
      <c r="E665" s="2" t="s">
        <v>32</v>
      </c>
      <c r="F665" s="2">
        <v>206316.0</v>
      </c>
      <c r="G665" s="2">
        <v>158535.0</v>
      </c>
      <c r="H665" s="2">
        <v>364851.0</v>
      </c>
      <c r="I665" s="2">
        <v>121259.0</v>
      </c>
      <c r="J665" s="2">
        <v>243592.0</v>
      </c>
    </row>
    <row r="666">
      <c r="A666" s="2">
        <v>2025.0</v>
      </c>
      <c r="B666" s="1" t="s">
        <v>745</v>
      </c>
      <c r="C666" s="2" t="s">
        <v>526</v>
      </c>
      <c r="D666" s="2" t="s">
        <v>788</v>
      </c>
      <c r="E666" s="2" t="s">
        <v>348</v>
      </c>
      <c r="F666" s="2">
        <v>1000.0</v>
      </c>
      <c r="G666" s="2">
        <v>43001.0</v>
      </c>
      <c r="H666" s="2">
        <v>44001.0</v>
      </c>
      <c r="I666" s="2">
        <v>0.0</v>
      </c>
      <c r="J666" s="2">
        <v>44001.0</v>
      </c>
    </row>
    <row r="667">
      <c r="A667" s="2">
        <v>2025.0</v>
      </c>
      <c r="B667" s="1" t="s">
        <v>745</v>
      </c>
      <c r="C667" s="2" t="s">
        <v>526</v>
      </c>
      <c r="D667" s="2" t="s">
        <v>790</v>
      </c>
      <c r="E667" s="2" t="s">
        <v>686</v>
      </c>
      <c r="F667" s="2">
        <v>859063.0</v>
      </c>
      <c r="G667" s="2">
        <v>321988.0</v>
      </c>
      <c r="H667" s="2">
        <v>1181051.0</v>
      </c>
      <c r="I667" s="2">
        <v>226271.0</v>
      </c>
      <c r="J667" s="2">
        <v>954780.0</v>
      </c>
    </row>
    <row r="668">
      <c r="A668" s="2">
        <v>2025.0</v>
      </c>
      <c r="B668" s="1" t="s">
        <v>745</v>
      </c>
      <c r="C668" s="2" t="s">
        <v>526</v>
      </c>
      <c r="D668" s="2" t="s">
        <v>790</v>
      </c>
      <c r="E668" s="2" t="s">
        <v>92</v>
      </c>
      <c r="F668" s="2">
        <v>1557460.0</v>
      </c>
      <c r="G668" s="2">
        <v>2624914.0</v>
      </c>
      <c r="H668" s="2">
        <v>4182374.0</v>
      </c>
      <c r="I668" s="2">
        <v>2376126.0</v>
      </c>
      <c r="J668" s="2">
        <v>1806248.0</v>
      </c>
    </row>
    <row r="669">
      <c r="A669" s="2">
        <v>2025.0</v>
      </c>
      <c r="B669" s="1" t="s">
        <v>745</v>
      </c>
      <c r="C669" s="2" t="s">
        <v>526</v>
      </c>
      <c r="D669" s="2" t="s">
        <v>790</v>
      </c>
      <c r="E669" s="2" t="s">
        <v>32</v>
      </c>
      <c r="F669" s="2">
        <v>36269.0</v>
      </c>
      <c r="G669" s="2">
        <v>134400.0</v>
      </c>
      <c r="H669" s="2">
        <v>170669.0</v>
      </c>
      <c r="I669" s="2">
        <v>160881.0</v>
      </c>
      <c r="J669" s="2">
        <v>9788.0</v>
      </c>
    </row>
    <row r="670">
      <c r="A670" s="2">
        <v>2025.0</v>
      </c>
      <c r="B670" s="1" t="s">
        <v>745</v>
      </c>
      <c r="C670" s="2" t="s">
        <v>526</v>
      </c>
      <c r="D670" s="2" t="s">
        <v>199</v>
      </c>
      <c r="E670" s="2" t="s">
        <v>686</v>
      </c>
      <c r="F670" s="2">
        <v>788628.0</v>
      </c>
      <c r="G670" s="2">
        <v>199844.0</v>
      </c>
      <c r="H670" s="2">
        <v>988472.0</v>
      </c>
      <c r="I670" s="2">
        <v>483485.0</v>
      </c>
      <c r="J670" s="2">
        <v>504987.0</v>
      </c>
    </row>
    <row r="671">
      <c r="A671" s="2">
        <v>2025.0</v>
      </c>
      <c r="B671" s="1" t="s">
        <v>745</v>
      </c>
      <c r="C671" s="2" t="s">
        <v>526</v>
      </c>
      <c r="D671" s="2" t="s">
        <v>199</v>
      </c>
      <c r="E671" s="2" t="s">
        <v>92</v>
      </c>
      <c r="F671" s="2">
        <v>686245.0</v>
      </c>
      <c r="G671" s="2">
        <v>2344565.0</v>
      </c>
      <c r="H671" s="2">
        <v>3030810.0</v>
      </c>
      <c r="I671" s="2">
        <v>2302289.0</v>
      </c>
      <c r="J671" s="2">
        <v>728521.0</v>
      </c>
    </row>
    <row r="672">
      <c r="A672" s="2">
        <v>2025.0</v>
      </c>
      <c r="B672" s="1" t="s">
        <v>745</v>
      </c>
      <c r="C672" s="2" t="s">
        <v>526</v>
      </c>
      <c r="D672" s="2" t="s">
        <v>199</v>
      </c>
      <c r="E672" s="2" t="s">
        <v>32</v>
      </c>
      <c r="F672" s="2">
        <v>53116.0</v>
      </c>
      <c r="G672" s="2">
        <v>137167.0</v>
      </c>
      <c r="H672" s="2">
        <v>190283.0</v>
      </c>
      <c r="I672" s="2">
        <v>137491.0</v>
      </c>
      <c r="J672" s="2">
        <v>52792.0</v>
      </c>
    </row>
    <row r="673">
      <c r="A673" s="2">
        <v>2025.0</v>
      </c>
      <c r="B673" s="1" t="s">
        <v>745</v>
      </c>
      <c r="C673" s="2" t="s">
        <v>526</v>
      </c>
      <c r="D673" s="2" t="s">
        <v>793</v>
      </c>
      <c r="E673" s="2" t="s">
        <v>686</v>
      </c>
      <c r="F673" s="2">
        <v>3093842.0</v>
      </c>
      <c r="G673" s="2">
        <v>793510.0</v>
      </c>
      <c r="H673" s="2">
        <v>3887352.0</v>
      </c>
      <c r="I673" s="2">
        <v>1287568.0</v>
      </c>
      <c r="J673" s="2">
        <v>2599784.0</v>
      </c>
    </row>
    <row r="674">
      <c r="A674" s="2">
        <v>2025.0</v>
      </c>
      <c r="B674" s="1" t="s">
        <v>745</v>
      </c>
      <c r="C674" s="2" t="s">
        <v>526</v>
      </c>
      <c r="D674" s="2" t="s">
        <v>793</v>
      </c>
      <c r="E674" s="2" t="s">
        <v>92</v>
      </c>
      <c r="F674" s="2">
        <v>2977034.0</v>
      </c>
      <c r="G674" s="2">
        <v>3820396.0</v>
      </c>
      <c r="H674" s="2">
        <v>6797430.0</v>
      </c>
      <c r="I674" s="2">
        <v>3732178.0</v>
      </c>
      <c r="J674" s="2">
        <v>3065252.0</v>
      </c>
    </row>
    <row r="675">
      <c r="A675" s="2">
        <v>2025.0</v>
      </c>
      <c r="B675" s="1" t="s">
        <v>745</v>
      </c>
      <c r="C675" s="2" t="s">
        <v>526</v>
      </c>
      <c r="D675" s="2" t="s">
        <v>793</v>
      </c>
      <c r="E675" s="2" t="s">
        <v>32</v>
      </c>
      <c r="F675" s="2">
        <v>362838.0</v>
      </c>
      <c r="G675" s="2">
        <v>676102.0</v>
      </c>
      <c r="H675" s="2">
        <v>1038940.0</v>
      </c>
      <c r="I675" s="2">
        <v>443778.0</v>
      </c>
      <c r="J675" s="2">
        <v>595162.0</v>
      </c>
    </row>
    <row r="676">
      <c r="A676" s="2">
        <v>2025.0</v>
      </c>
      <c r="B676" s="1" t="s">
        <v>745</v>
      </c>
      <c r="C676" s="2" t="s">
        <v>526</v>
      </c>
      <c r="D676" s="2" t="s">
        <v>198</v>
      </c>
      <c r="E676" s="2" t="s">
        <v>25</v>
      </c>
      <c r="F676" s="4">
        <v>5401577.0</v>
      </c>
      <c r="G676" s="2">
        <v>1346151.0</v>
      </c>
      <c r="H676" s="4">
        <v>6747728.0</v>
      </c>
      <c r="I676" s="4">
        <v>3167994.0</v>
      </c>
      <c r="J676" s="2">
        <v>3579734.0</v>
      </c>
    </row>
    <row r="677">
      <c r="A677" s="2">
        <v>2025.0</v>
      </c>
      <c r="B677" s="1" t="s">
        <v>745</v>
      </c>
      <c r="C677" s="2" t="s">
        <v>526</v>
      </c>
      <c r="D677" s="2" t="s">
        <v>198</v>
      </c>
      <c r="E677" s="2" t="s">
        <v>92</v>
      </c>
      <c r="F677" s="2">
        <v>4816895.0</v>
      </c>
      <c r="G677" s="2">
        <v>2566650.0</v>
      </c>
      <c r="H677" s="2">
        <v>7383545.0</v>
      </c>
      <c r="I677" s="2">
        <v>2462465.0</v>
      </c>
      <c r="J677" s="2">
        <v>4921080.0</v>
      </c>
    </row>
    <row r="678">
      <c r="A678" s="2">
        <v>2025.0</v>
      </c>
      <c r="B678" s="1" t="s">
        <v>745</v>
      </c>
      <c r="C678" s="2" t="s">
        <v>526</v>
      </c>
      <c r="D678" s="2" t="s">
        <v>198</v>
      </c>
      <c r="E678" s="2" t="s">
        <v>32</v>
      </c>
      <c r="F678" s="2">
        <v>177188.0</v>
      </c>
      <c r="G678" s="2">
        <v>639327.0</v>
      </c>
      <c r="H678" s="2">
        <v>816515.0</v>
      </c>
      <c r="I678" s="2">
        <v>686270.0</v>
      </c>
      <c r="J678" s="2">
        <v>130245.0</v>
      </c>
    </row>
    <row r="679">
      <c r="A679" s="2">
        <v>2025.0</v>
      </c>
      <c r="B679" s="1" t="s">
        <v>745</v>
      </c>
      <c r="C679" s="2" t="s">
        <v>526</v>
      </c>
      <c r="D679" s="2" t="s">
        <v>526</v>
      </c>
      <c r="E679" s="2" t="s">
        <v>25</v>
      </c>
      <c r="F679" s="2">
        <v>1826753.0</v>
      </c>
      <c r="G679" s="2">
        <v>766375.0</v>
      </c>
      <c r="H679" s="2">
        <v>2593128.0</v>
      </c>
      <c r="I679" s="2">
        <v>1477267.0</v>
      </c>
      <c r="J679" s="2">
        <v>1115861.0</v>
      </c>
    </row>
    <row r="680">
      <c r="A680" s="2">
        <v>2025.0</v>
      </c>
      <c r="B680" s="1" t="s">
        <v>745</v>
      </c>
      <c r="C680" s="2" t="s">
        <v>526</v>
      </c>
      <c r="D680" s="2" t="s">
        <v>526</v>
      </c>
      <c r="E680" s="2" t="s">
        <v>92</v>
      </c>
      <c r="F680" s="2">
        <v>2594443.0</v>
      </c>
      <c r="G680" s="2">
        <v>2902942.0</v>
      </c>
      <c r="H680" s="2">
        <v>5497385.0</v>
      </c>
      <c r="I680" s="2">
        <v>3244420.0</v>
      </c>
      <c r="J680" s="2">
        <v>2252965.0</v>
      </c>
    </row>
    <row r="681">
      <c r="A681" s="2">
        <v>2025.0</v>
      </c>
      <c r="B681" s="1" t="s">
        <v>745</v>
      </c>
      <c r="C681" s="2" t="s">
        <v>526</v>
      </c>
      <c r="D681" s="2" t="s">
        <v>526</v>
      </c>
      <c r="E681" s="2" t="s">
        <v>32</v>
      </c>
      <c r="F681" s="2">
        <v>75401.0</v>
      </c>
      <c r="G681" s="2">
        <v>240642.0</v>
      </c>
      <c r="H681" s="2">
        <v>316043.0</v>
      </c>
      <c r="I681" s="2">
        <v>284174.0</v>
      </c>
      <c r="J681" s="2">
        <v>31869.0</v>
      </c>
    </row>
    <row r="682">
      <c r="A682" s="2">
        <v>2025.0</v>
      </c>
      <c r="B682" s="1" t="s">
        <v>745</v>
      </c>
      <c r="C682" s="2" t="s">
        <v>796</v>
      </c>
      <c r="D682" s="2" t="s">
        <v>797</v>
      </c>
      <c r="E682" s="2" t="s">
        <v>25</v>
      </c>
      <c r="F682" s="2">
        <v>1115116.0</v>
      </c>
      <c r="G682" s="2">
        <v>405121.0</v>
      </c>
      <c r="H682" s="2">
        <v>1520237.0</v>
      </c>
      <c r="I682" s="2">
        <v>773905.0</v>
      </c>
      <c r="J682" s="2">
        <v>746332.0</v>
      </c>
    </row>
    <row r="683">
      <c r="A683" s="2">
        <v>2025.0</v>
      </c>
      <c r="B683" s="1" t="s">
        <v>745</v>
      </c>
      <c r="C683" s="2" t="s">
        <v>796</v>
      </c>
      <c r="D683" s="2" t="s">
        <v>797</v>
      </c>
      <c r="E683" s="2" t="s">
        <v>92</v>
      </c>
      <c r="F683" s="2">
        <v>463966.0</v>
      </c>
      <c r="G683" s="2">
        <v>1688894.0</v>
      </c>
      <c r="H683" s="2">
        <v>2152860.0</v>
      </c>
      <c r="I683" s="2">
        <v>1515204.0</v>
      </c>
      <c r="J683" s="2">
        <v>637656.0</v>
      </c>
    </row>
    <row r="684">
      <c r="A684" s="2">
        <v>2025.0</v>
      </c>
      <c r="B684" s="1" t="s">
        <v>745</v>
      </c>
      <c r="C684" s="2" t="s">
        <v>796</v>
      </c>
      <c r="D684" s="2" t="s">
        <v>797</v>
      </c>
      <c r="E684" s="2" t="s">
        <v>32</v>
      </c>
      <c r="F684" s="2">
        <v>54574.0</v>
      </c>
      <c r="G684" s="2">
        <v>199441.0</v>
      </c>
      <c r="H684" s="2">
        <v>254015.0</v>
      </c>
      <c r="I684" s="2">
        <v>186160.0</v>
      </c>
      <c r="J684" s="2">
        <v>67855.0</v>
      </c>
    </row>
    <row r="685">
      <c r="A685" s="2">
        <v>2025.0</v>
      </c>
      <c r="B685" s="1" t="s">
        <v>745</v>
      </c>
      <c r="C685" s="2" t="s">
        <v>796</v>
      </c>
      <c r="D685" s="2" t="s">
        <v>799</v>
      </c>
      <c r="E685" s="2" t="s">
        <v>25</v>
      </c>
      <c r="F685" s="2">
        <v>959008.0</v>
      </c>
      <c r="G685" s="2">
        <v>414666.0</v>
      </c>
      <c r="H685" s="2">
        <v>1373674.0</v>
      </c>
      <c r="I685" s="2">
        <v>699461.0</v>
      </c>
      <c r="J685" s="2">
        <v>674213.0</v>
      </c>
    </row>
    <row r="686">
      <c r="A686" s="2">
        <v>2025.0</v>
      </c>
      <c r="B686" s="1" t="s">
        <v>745</v>
      </c>
      <c r="C686" s="2" t="s">
        <v>796</v>
      </c>
      <c r="D686" s="2" t="s">
        <v>799</v>
      </c>
      <c r="E686" s="2" t="s">
        <v>56</v>
      </c>
      <c r="F686" s="2">
        <v>291936.0</v>
      </c>
      <c r="G686" s="2">
        <v>2022484.0</v>
      </c>
      <c r="H686" s="2">
        <v>2314420.0</v>
      </c>
      <c r="I686" s="2">
        <v>1845444.0</v>
      </c>
      <c r="J686" s="2">
        <v>468976.0</v>
      </c>
    </row>
    <row r="687">
      <c r="A687" s="2">
        <v>2025.0</v>
      </c>
      <c r="B687" s="1" t="s">
        <v>745</v>
      </c>
      <c r="C687" s="2" t="s">
        <v>796</v>
      </c>
      <c r="D687" s="2" t="s">
        <v>799</v>
      </c>
      <c r="E687" s="2" t="s">
        <v>32</v>
      </c>
      <c r="F687" s="2">
        <v>5326.0</v>
      </c>
      <c r="G687" s="2">
        <v>75849.0</v>
      </c>
      <c r="H687" s="2">
        <v>81175.0</v>
      </c>
      <c r="I687" s="2">
        <v>65805.0</v>
      </c>
      <c r="J687" s="2">
        <v>15370.0</v>
      </c>
    </row>
    <row r="688">
      <c r="A688" s="2">
        <v>2025.0</v>
      </c>
      <c r="B688" s="1" t="s">
        <v>745</v>
      </c>
      <c r="C688" s="2" t="s">
        <v>796</v>
      </c>
      <c r="D688" s="2" t="s">
        <v>800</v>
      </c>
      <c r="E688" s="2" t="s">
        <v>25</v>
      </c>
      <c r="F688" s="2">
        <v>0.0</v>
      </c>
      <c r="G688" s="2">
        <v>445871.0</v>
      </c>
      <c r="H688" s="2">
        <v>445871.0</v>
      </c>
      <c r="I688" s="2">
        <v>0.0</v>
      </c>
      <c r="J688" s="2">
        <v>445871.0</v>
      </c>
    </row>
    <row r="689">
      <c r="A689" s="2">
        <v>2025.0</v>
      </c>
      <c r="B689" s="1" t="s">
        <v>745</v>
      </c>
      <c r="C689" s="2" t="s">
        <v>796</v>
      </c>
      <c r="D689" s="2" t="s">
        <v>800</v>
      </c>
      <c r="E689" s="2" t="s">
        <v>394</v>
      </c>
      <c r="F689" s="2">
        <v>7962.0</v>
      </c>
      <c r="G689" s="2">
        <v>1930503.0</v>
      </c>
      <c r="H689" s="2">
        <v>1938465.0</v>
      </c>
      <c r="I689" s="2">
        <v>1030680.0</v>
      </c>
      <c r="J689" s="2">
        <v>907785.0</v>
      </c>
    </row>
    <row r="690">
      <c r="A690" s="2">
        <v>2025.0</v>
      </c>
      <c r="B690" s="1" t="s">
        <v>745</v>
      </c>
      <c r="C690" s="2" t="s">
        <v>796</v>
      </c>
      <c r="D690" s="2" t="s">
        <v>800</v>
      </c>
      <c r="E690" s="2" t="s">
        <v>775</v>
      </c>
      <c r="F690" s="2">
        <v>0.0</v>
      </c>
      <c r="G690" s="2">
        <v>280688.0</v>
      </c>
      <c r="H690" s="2">
        <v>280688.0</v>
      </c>
      <c r="I690" s="2">
        <v>5000.0</v>
      </c>
      <c r="J690" s="2">
        <v>275688.0</v>
      </c>
    </row>
    <row r="691">
      <c r="A691" s="2">
        <v>2025.0</v>
      </c>
      <c r="B691" s="1" t="s">
        <v>745</v>
      </c>
      <c r="C691" s="2" t="s">
        <v>796</v>
      </c>
      <c r="D691" s="2" t="s">
        <v>802</v>
      </c>
      <c r="E691" s="2" t="s">
        <v>686</v>
      </c>
      <c r="F691" s="2">
        <v>3139580.0</v>
      </c>
      <c r="G691" s="2">
        <v>848722.0</v>
      </c>
      <c r="H691" s="2">
        <v>3988302.0</v>
      </c>
      <c r="I691" s="2">
        <v>1831827.0</v>
      </c>
      <c r="J691" s="2">
        <v>2156475.0</v>
      </c>
    </row>
    <row r="692">
      <c r="A692" s="2">
        <v>2025.0</v>
      </c>
      <c r="B692" s="1" t="s">
        <v>745</v>
      </c>
      <c r="C692" s="2" t="s">
        <v>796</v>
      </c>
      <c r="D692" s="2" t="s">
        <v>802</v>
      </c>
      <c r="E692" s="2" t="s">
        <v>777</v>
      </c>
      <c r="F692" s="2">
        <v>1678659.0</v>
      </c>
      <c r="G692" s="2">
        <v>3758867.0</v>
      </c>
      <c r="H692" s="2">
        <v>5437526.0</v>
      </c>
      <c r="I692" s="2">
        <v>3018268.0</v>
      </c>
      <c r="J692" s="2">
        <v>2419258.0</v>
      </c>
    </row>
    <row r="693">
      <c r="A693" s="2">
        <v>2025.0</v>
      </c>
      <c r="B693" s="1" t="s">
        <v>745</v>
      </c>
      <c r="C693" s="2" t="s">
        <v>796</v>
      </c>
      <c r="D693" s="2" t="s">
        <v>802</v>
      </c>
      <c r="E693" s="2" t="s">
        <v>32</v>
      </c>
      <c r="F693" s="2">
        <v>303581.0</v>
      </c>
      <c r="G693" s="2">
        <v>300047.0</v>
      </c>
      <c r="H693" s="2">
        <v>603628.0</v>
      </c>
      <c r="I693" s="2">
        <v>486974.0</v>
      </c>
      <c r="J693" s="2">
        <v>116654.0</v>
      </c>
    </row>
    <row r="694">
      <c r="A694" s="2">
        <v>2025.0</v>
      </c>
      <c r="B694" s="1" t="s">
        <v>745</v>
      </c>
      <c r="C694" s="2" t="s">
        <v>796</v>
      </c>
      <c r="D694" s="2" t="s">
        <v>803</v>
      </c>
      <c r="E694" s="2" t="s">
        <v>686</v>
      </c>
      <c r="F694" s="2">
        <v>3413873.0</v>
      </c>
      <c r="G694" s="2">
        <v>439118.0</v>
      </c>
      <c r="H694" s="2">
        <v>3852991.0</v>
      </c>
      <c r="I694" s="2">
        <v>1680303.0</v>
      </c>
      <c r="J694" s="2">
        <v>2172688.0</v>
      </c>
    </row>
    <row r="695">
      <c r="A695" s="2">
        <v>2025.0</v>
      </c>
      <c r="B695" s="1" t="s">
        <v>745</v>
      </c>
      <c r="C695" s="2" t="s">
        <v>796</v>
      </c>
      <c r="D695" s="2" t="s">
        <v>803</v>
      </c>
      <c r="E695" s="2" t="s">
        <v>56</v>
      </c>
      <c r="F695" s="2">
        <v>2117324.0</v>
      </c>
      <c r="G695" s="2">
        <v>2605987.0</v>
      </c>
      <c r="H695" s="2">
        <v>4723311.0</v>
      </c>
      <c r="I695" s="2">
        <v>3446685.0</v>
      </c>
      <c r="J695" s="2">
        <v>1276626.0</v>
      </c>
    </row>
    <row r="696">
      <c r="A696" s="2">
        <v>2025.0</v>
      </c>
      <c r="B696" s="1" t="s">
        <v>745</v>
      </c>
      <c r="C696" s="2" t="s">
        <v>796</v>
      </c>
      <c r="D696" s="2" t="s">
        <v>803</v>
      </c>
      <c r="E696" s="2" t="s">
        <v>805</v>
      </c>
      <c r="F696" s="2">
        <v>31451.0</v>
      </c>
      <c r="G696" s="2">
        <v>106908.0</v>
      </c>
      <c r="H696" s="2">
        <v>138359.0</v>
      </c>
      <c r="I696" s="2">
        <v>119256.0</v>
      </c>
      <c r="J696" s="2">
        <v>19103.0</v>
      </c>
    </row>
    <row r="697">
      <c r="A697" s="2">
        <v>2025.0</v>
      </c>
      <c r="B697" s="1" t="s">
        <v>745</v>
      </c>
      <c r="C697" s="2" t="s">
        <v>796</v>
      </c>
      <c r="D697" s="2" t="s">
        <v>803</v>
      </c>
      <c r="E697" s="2" t="s">
        <v>775</v>
      </c>
      <c r="F697" s="2">
        <v>0.0</v>
      </c>
      <c r="G697" s="2">
        <v>68793.0</v>
      </c>
      <c r="H697" s="2">
        <v>68793.0</v>
      </c>
      <c r="I697" s="2">
        <v>0.0</v>
      </c>
      <c r="J697" s="2">
        <v>68793.0</v>
      </c>
    </row>
    <row r="698">
      <c r="A698" s="2">
        <v>2025.0</v>
      </c>
      <c r="B698" s="1" t="s">
        <v>745</v>
      </c>
      <c r="C698" s="2" t="s">
        <v>796</v>
      </c>
      <c r="D698" s="2" t="s">
        <v>803</v>
      </c>
      <c r="E698" s="2" t="s">
        <v>460</v>
      </c>
      <c r="F698" s="2">
        <v>167328.0</v>
      </c>
      <c r="G698" s="2">
        <v>14551.0</v>
      </c>
      <c r="H698" s="2">
        <v>181879.0</v>
      </c>
      <c r="I698" s="2">
        <v>0.0</v>
      </c>
      <c r="J698" s="2">
        <v>181879.0</v>
      </c>
    </row>
    <row r="699">
      <c r="A699" s="2">
        <v>2025.0</v>
      </c>
      <c r="B699" s="1" t="s">
        <v>745</v>
      </c>
      <c r="C699" s="2" t="s">
        <v>133</v>
      </c>
      <c r="D699" s="2" t="s">
        <v>806</v>
      </c>
      <c r="E699" s="2" t="s">
        <v>686</v>
      </c>
      <c r="F699" s="2">
        <v>3531925.0</v>
      </c>
      <c r="G699" s="2">
        <v>644635.0</v>
      </c>
      <c r="H699" s="2">
        <v>4176560.0</v>
      </c>
      <c r="I699" s="2">
        <v>1822214.0</v>
      </c>
      <c r="J699" s="2">
        <v>2354346.0</v>
      </c>
    </row>
    <row r="700">
      <c r="A700" s="2">
        <v>2025.0</v>
      </c>
      <c r="B700" s="1" t="s">
        <v>745</v>
      </c>
      <c r="C700" s="2" t="s">
        <v>133</v>
      </c>
      <c r="D700" s="2" t="s">
        <v>806</v>
      </c>
      <c r="E700" s="2" t="s">
        <v>777</v>
      </c>
      <c r="F700" s="2">
        <v>1839459.0</v>
      </c>
      <c r="G700" s="2">
        <v>3259507.0</v>
      </c>
      <c r="H700" s="2">
        <v>5098966.0</v>
      </c>
      <c r="I700" s="2">
        <v>3209593.0</v>
      </c>
      <c r="J700" s="2">
        <v>1889373.0</v>
      </c>
    </row>
    <row r="701">
      <c r="A701" s="2">
        <v>2025.0</v>
      </c>
      <c r="B701" s="1" t="s">
        <v>745</v>
      </c>
      <c r="C701" s="2" t="s">
        <v>133</v>
      </c>
      <c r="D701" s="2" t="s">
        <v>806</v>
      </c>
      <c r="E701" s="2" t="s">
        <v>32</v>
      </c>
      <c r="F701" s="2">
        <v>37420.0</v>
      </c>
      <c r="G701" s="2">
        <v>168233.0</v>
      </c>
      <c r="H701" s="2">
        <v>205653.0</v>
      </c>
      <c r="I701" s="2">
        <v>120525.0</v>
      </c>
      <c r="J701" s="2">
        <v>85128.0</v>
      </c>
    </row>
    <row r="702">
      <c r="A702" s="2">
        <v>2025.0</v>
      </c>
      <c r="B702" s="1" t="s">
        <v>745</v>
      </c>
      <c r="C702" s="2" t="s">
        <v>133</v>
      </c>
      <c r="D702" s="2" t="s">
        <v>142</v>
      </c>
      <c r="E702" s="2" t="s">
        <v>686</v>
      </c>
      <c r="F702" s="2">
        <v>4483646.0</v>
      </c>
      <c r="G702" s="2">
        <v>1237524.0</v>
      </c>
      <c r="H702" s="2">
        <v>5721170.0</v>
      </c>
      <c r="I702" s="2">
        <v>2988189.0</v>
      </c>
      <c r="J702" s="2">
        <v>2732981.0</v>
      </c>
    </row>
    <row r="703">
      <c r="A703" s="2">
        <v>2025.0</v>
      </c>
      <c r="B703" s="1" t="s">
        <v>745</v>
      </c>
      <c r="C703" s="2" t="s">
        <v>133</v>
      </c>
      <c r="D703" s="2" t="s">
        <v>142</v>
      </c>
      <c r="E703" s="2" t="s">
        <v>56</v>
      </c>
      <c r="F703" s="2">
        <v>2728992.0</v>
      </c>
      <c r="G703" s="2">
        <v>3566039.0</v>
      </c>
      <c r="H703" s="2">
        <v>6295031.0</v>
      </c>
      <c r="I703" s="2">
        <v>4217676.0</v>
      </c>
      <c r="J703" s="2">
        <v>2077355.0</v>
      </c>
    </row>
    <row r="704">
      <c r="A704" s="2">
        <v>2025.0</v>
      </c>
      <c r="B704" s="1" t="s">
        <v>745</v>
      </c>
      <c r="C704" s="2" t="s">
        <v>133</v>
      </c>
      <c r="D704" s="2" t="s">
        <v>142</v>
      </c>
      <c r="E704" s="2" t="s">
        <v>32</v>
      </c>
      <c r="F704" s="2">
        <v>63524.0</v>
      </c>
      <c r="G704" s="2">
        <v>234291.0</v>
      </c>
      <c r="H704" s="2">
        <v>297815.0</v>
      </c>
      <c r="I704" s="2">
        <v>292123.0</v>
      </c>
      <c r="J704" s="2">
        <v>5692.0</v>
      </c>
    </row>
    <row r="705">
      <c r="A705" s="2">
        <v>2025.0</v>
      </c>
      <c r="B705" s="1" t="s">
        <v>745</v>
      </c>
      <c r="C705" s="2" t="s">
        <v>133</v>
      </c>
      <c r="D705" s="2" t="s">
        <v>142</v>
      </c>
      <c r="E705" s="2" t="s">
        <v>775</v>
      </c>
      <c r="F705" s="2">
        <v>0.0</v>
      </c>
      <c r="G705" s="2">
        <v>489673.0</v>
      </c>
      <c r="H705" s="2">
        <v>489673.0</v>
      </c>
      <c r="I705" s="2">
        <v>361049.0</v>
      </c>
      <c r="J705" s="2">
        <v>128624.0</v>
      </c>
    </row>
    <row r="706">
      <c r="A706" s="2">
        <v>2025.0</v>
      </c>
      <c r="B706" s="1" t="s">
        <v>745</v>
      </c>
      <c r="C706" s="2" t="s">
        <v>133</v>
      </c>
      <c r="D706" s="2" t="s">
        <v>142</v>
      </c>
      <c r="E706" s="2" t="s">
        <v>460</v>
      </c>
      <c r="F706" s="2">
        <v>114124.0</v>
      </c>
      <c r="G706" s="2">
        <v>3345.0</v>
      </c>
      <c r="H706" s="2">
        <v>117469.0</v>
      </c>
      <c r="I706" s="2">
        <v>0.0</v>
      </c>
      <c r="J706" s="2">
        <v>117469.0</v>
      </c>
    </row>
    <row r="707">
      <c r="A707" s="2">
        <v>2025.0</v>
      </c>
      <c r="B707" s="1" t="s">
        <v>745</v>
      </c>
      <c r="C707" s="2" t="s">
        <v>133</v>
      </c>
      <c r="D707" s="2" t="s">
        <v>809</v>
      </c>
      <c r="E707" s="2" t="s">
        <v>686</v>
      </c>
      <c r="F707" s="2">
        <v>331457.0</v>
      </c>
      <c r="G707" s="2">
        <v>3564573.0</v>
      </c>
      <c r="H707" s="2">
        <v>3896030.0</v>
      </c>
      <c r="I707" s="2">
        <v>1461042.0</v>
      </c>
      <c r="J707" s="2">
        <v>2434988.0</v>
      </c>
    </row>
    <row r="708">
      <c r="A708" s="2">
        <v>2025.0</v>
      </c>
      <c r="B708" s="1" t="s">
        <v>745</v>
      </c>
      <c r="C708" s="2" t="s">
        <v>133</v>
      </c>
      <c r="D708" s="2" t="s">
        <v>809</v>
      </c>
      <c r="E708" s="2" t="s">
        <v>749</v>
      </c>
      <c r="F708" s="2">
        <v>4291207.0</v>
      </c>
      <c r="G708" s="2">
        <v>1885245.0</v>
      </c>
      <c r="H708" s="2">
        <v>6176452.0</v>
      </c>
      <c r="I708" s="2">
        <v>2808438.0</v>
      </c>
      <c r="J708" s="2">
        <v>3368014.0</v>
      </c>
    </row>
    <row r="709">
      <c r="A709" s="2">
        <v>2025.0</v>
      </c>
      <c r="B709" s="1" t="s">
        <v>745</v>
      </c>
      <c r="C709" s="2" t="s">
        <v>133</v>
      </c>
      <c r="D709" s="2" t="s">
        <v>809</v>
      </c>
      <c r="E709" s="2" t="s">
        <v>27</v>
      </c>
      <c r="F709" s="2">
        <v>248284.0</v>
      </c>
      <c r="G709" s="2">
        <v>1454074.0</v>
      </c>
      <c r="H709" s="2">
        <v>1702358.0</v>
      </c>
      <c r="I709" s="2">
        <v>1405515.0</v>
      </c>
      <c r="J709" s="2">
        <v>296843.0</v>
      </c>
    </row>
    <row r="710">
      <c r="A710" s="2">
        <v>2025.0</v>
      </c>
      <c r="B710" s="1" t="s">
        <v>745</v>
      </c>
      <c r="C710" s="2" t="s">
        <v>133</v>
      </c>
      <c r="D710" s="2" t="s">
        <v>809</v>
      </c>
      <c r="E710" s="2" t="s">
        <v>32</v>
      </c>
      <c r="F710" s="2">
        <v>361014.0</v>
      </c>
      <c r="G710" s="2">
        <v>207542.0</v>
      </c>
      <c r="H710" s="2">
        <v>568556.0</v>
      </c>
      <c r="I710" s="2">
        <v>203072.0</v>
      </c>
      <c r="J710" s="2">
        <v>365484.0</v>
      </c>
    </row>
    <row r="711">
      <c r="A711" s="2">
        <v>2025.0</v>
      </c>
      <c r="B711" s="1" t="s">
        <v>745</v>
      </c>
      <c r="C711" s="2" t="s">
        <v>133</v>
      </c>
      <c r="D711" s="2" t="s">
        <v>814</v>
      </c>
      <c r="E711" s="2" t="s">
        <v>25</v>
      </c>
      <c r="F711" s="2">
        <v>2666105.0</v>
      </c>
      <c r="G711" s="2">
        <v>2091363.0</v>
      </c>
      <c r="H711" s="2">
        <v>4757468.0</v>
      </c>
      <c r="I711" s="2">
        <v>1878526.0</v>
      </c>
      <c r="J711" s="2">
        <v>2878942.0</v>
      </c>
    </row>
    <row r="712">
      <c r="A712" s="2">
        <v>2025.0</v>
      </c>
      <c r="B712" s="1" t="s">
        <v>745</v>
      </c>
      <c r="C712" s="2" t="s">
        <v>133</v>
      </c>
      <c r="D712" s="2" t="s">
        <v>814</v>
      </c>
      <c r="E712" s="2" t="s">
        <v>56</v>
      </c>
      <c r="F712" s="2">
        <v>2374819.0</v>
      </c>
      <c r="G712" s="2">
        <v>1747764.0</v>
      </c>
      <c r="H712" s="2">
        <v>4122583.0</v>
      </c>
      <c r="I712" s="2">
        <v>678651.0</v>
      </c>
      <c r="J712" s="2">
        <v>3443932.0</v>
      </c>
    </row>
    <row r="713">
      <c r="A713" s="2">
        <v>2025.0</v>
      </c>
      <c r="B713" s="1" t="s">
        <v>745</v>
      </c>
      <c r="C713" s="2" t="s">
        <v>133</v>
      </c>
      <c r="D713" s="2" t="s">
        <v>814</v>
      </c>
      <c r="E713" s="2" t="s">
        <v>32</v>
      </c>
      <c r="F713" s="2">
        <v>212928.0</v>
      </c>
      <c r="G713" s="2">
        <v>687859.0</v>
      </c>
      <c r="H713" s="2">
        <v>900787.0</v>
      </c>
      <c r="I713" s="2">
        <v>412518.0</v>
      </c>
      <c r="J713" s="2">
        <v>488269.0</v>
      </c>
    </row>
    <row r="714">
      <c r="A714" s="2">
        <v>2025.0</v>
      </c>
      <c r="B714" s="1" t="s">
        <v>745</v>
      </c>
      <c r="C714" s="2" t="s">
        <v>133</v>
      </c>
      <c r="D714" s="2" t="s">
        <v>814</v>
      </c>
      <c r="E714" s="2" t="s">
        <v>27</v>
      </c>
      <c r="F714" s="2">
        <v>332016.0</v>
      </c>
      <c r="G714" s="2">
        <v>1731849.0</v>
      </c>
      <c r="H714" s="2">
        <v>2063865.0</v>
      </c>
      <c r="I714" s="2">
        <v>1813133.0</v>
      </c>
      <c r="J714" s="2">
        <v>250732.0</v>
      </c>
    </row>
    <row r="715">
      <c r="A715" s="2">
        <v>2025.0</v>
      </c>
      <c r="B715" s="1" t="s">
        <v>745</v>
      </c>
      <c r="C715" s="2" t="s">
        <v>133</v>
      </c>
      <c r="D715" s="2" t="s">
        <v>816</v>
      </c>
      <c r="E715" s="2" t="s">
        <v>25</v>
      </c>
      <c r="F715" s="2">
        <v>0.0</v>
      </c>
      <c r="G715" s="2">
        <v>481892.0</v>
      </c>
      <c r="H715" s="2">
        <v>481892.0</v>
      </c>
      <c r="I715" s="2">
        <v>389.0</v>
      </c>
      <c r="J715" s="2">
        <v>481503.0</v>
      </c>
    </row>
    <row r="716">
      <c r="A716" s="2">
        <v>2025.0</v>
      </c>
      <c r="B716" s="1" t="s">
        <v>745</v>
      </c>
      <c r="C716" s="2" t="s">
        <v>133</v>
      </c>
      <c r="D716" s="2" t="s">
        <v>816</v>
      </c>
      <c r="E716" s="2" t="s">
        <v>56</v>
      </c>
      <c r="F716" s="2">
        <v>0.0</v>
      </c>
      <c r="G716" s="2">
        <v>1984575.0</v>
      </c>
      <c r="H716" s="2">
        <v>1984575.0</v>
      </c>
      <c r="I716" s="2">
        <v>1177797.0</v>
      </c>
      <c r="J716" s="2">
        <v>806778.0</v>
      </c>
    </row>
    <row r="717">
      <c r="A717" s="2">
        <v>2025.0</v>
      </c>
      <c r="B717" s="1" t="s">
        <v>745</v>
      </c>
      <c r="C717" s="2" t="s">
        <v>133</v>
      </c>
      <c r="D717" s="2" t="s">
        <v>816</v>
      </c>
      <c r="E717" s="2" t="s">
        <v>32</v>
      </c>
      <c r="F717" s="2">
        <v>0.0</v>
      </c>
      <c r="G717" s="2">
        <v>142437.0</v>
      </c>
      <c r="H717" s="2">
        <v>142437.0</v>
      </c>
      <c r="I717" s="2">
        <v>6039.0</v>
      </c>
      <c r="J717" s="2">
        <v>136398.0</v>
      </c>
    </row>
    <row r="718">
      <c r="A718" s="2">
        <v>2025.0</v>
      </c>
      <c r="B718" s="1" t="s">
        <v>745</v>
      </c>
      <c r="C718" s="2" t="s">
        <v>133</v>
      </c>
      <c r="D718" s="2" t="s">
        <v>139</v>
      </c>
      <c r="E718" s="2" t="s">
        <v>25</v>
      </c>
      <c r="F718" s="4">
        <v>1894103.0</v>
      </c>
      <c r="G718" s="2">
        <v>2938666.0</v>
      </c>
      <c r="H718" s="4">
        <v>4832769.0</v>
      </c>
      <c r="I718" s="4">
        <v>1883373.0</v>
      </c>
      <c r="J718" s="2">
        <v>2949396.0</v>
      </c>
    </row>
    <row r="719">
      <c r="A719" s="2">
        <v>2025.0</v>
      </c>
      <c r="B719" s="1" t="s">
        <v>745</v>
      </c>
      <c r="C719" s="2" t="s">
        <v>133</v>
      </c>
      <c r="D719" s="2" t="s">
        <v>139</v>
      </c>
      <c r="E719" s="2" t="s">
        <v>56</v>
      </c>
      <c r="F719" s="2">
        <v>3452729.0</v>
      </c>
      <c r="G719" s="2">
        <v>3728040.0</v>
      </c>
      <c r="H719" s="2">
        <v>7180769.0</v>
      </c>
      <c r="I719" s="2">
        <v>3156210.0</v>
      </c>
      <c r="J719" s="2">
        <v>4024559.0</v>
      </c>
    </row>
    <row r="720">
      <c r="A720" s="2">
        <v>2025.0</v>
      </c>
      <c r="B720" s="1" t="s">
        <v>745</v>
      </c>
      <c r="C720" s="2" t="s">
        <v>133</v>
      </c>
      <c r="D720" s="2" t="s">
        <v>139</v>
      </c>
      <c r="E720" s="2" t="s">
        <v>32</v>
      </c>
      <c r="F720" s="2">
        <v>93081.0</v>
      </c>
      <c r="G720" s="2">
        <v>41676.0</v>
      </c>
      <c r="H720" s="2">
        <v>134757.0</v>
      </c>
      <c r="I720" s="2">
        <v>128697.0</v>
      </c>
      <c r="J720" s="2">
        <v>6060.0</v>
      </c>
    </row>
    <row r="721">
      <c r="A721" s="2">
        <v>2025.0</v>
      </c>
      <c r="B721" s="1" t="s">
        <v>745</v>
      </c>
      <c r="C721" s="2" t="s">
        <v>133</v>
      </c>
      <c r="D721" s="2" t="s">
        <v>820</v>
      </c>
      <c r="E721" s="2" t="s">
        <v>686</v>
      </c>
      <c r="F721" s="2">
        <v>2867247.0</v>
      </c>
      <c r="G721" s="2">
        <v>658008.0</v>
      </c>
      <c r="H721" s="2">
        <v>3525255.0</v>
      </c>
      <c r="I721" s="2">
        <v>949201.0</v>
      </c>
      <c r="J721" s="2">
        <v>2576054.0</v>
      </c>
    </row>
    <row r="722">
      <c r="A722" s="2">
        <v>2025.0</v>
      </c>
      <c r="B722" s="1" t="s">
        <v>745</v>
      </c>
      <c r="C722" s="2" t="s">
        <v>133</v>
      </c>
      <c r="D722" s="2" t="s">
        <v>820</v>
      </c>
      <c r="E722" s="2" t="s">
        <v>394</v>
      </c>
      <c r="F722" s="2">
        <v>2426034.0</v>
      </c>
      <c r="G722" s="2">
        <v>4112355.0</v>
      </c>
      <c r="H722" s="2">
        <v>6538389.0</v>
      </c>
      <c r="I722" s="2">
        <v>3708726.0</v>
      </c>
      <c r="J722" s="2">
        <v>2829663.0</v>
      </c>
    </row>
    <row r="723">
      <c r="A723" s="2">
        <v>2025.0</v>
      </c>
      <c r="B723" s="1" t="s">
        <v>745</v>
      </c>
      <c r="C723" s="2" t="s">
        <v>133</v>
      </c>
      <c r="D723" s="2" t="s">
        <v>820</v>
      </c>
      <c r="E723" s="2" t="s">
        <v>124</v>
      </c>
      <c r="F723" s="2">
        <v>12541.0</v>
      </c>
      <c r="G723" s="2">
        <v>360930.0</v>
      </c>
      <c r="H723" s="2">
        <v>373471.0</v>
      </c>
      <c r="I723" s="2">
        <v>365478.0</v>
      </c>
      <c r="J723" s="2">
        <v>7993.0</v>
      </c>
    </row>
    <row r="724">
      <c r="A724" s="2">
        <v>2025.0</v>
      </c>
      <c r="B724" s="1" t="s">
        <v>745</v>
      </c>
      <c r="C724" s="2" t="s">
        <v>143</v>
      </c>
      <c r="D724" s="2" t="s">
        <v>822</v>
      </c>
      <c r="E724" s="2" t="s">
        <v>686</v>
      </c>
      <c r="F724" s="2">
        <v>1571883.0</v>
      </c>
      <c r="G724" s="2">
        <v>629696.0</v>
      </c>
      <c r="H724" s="2">
        <v>2201579.0</v>
      </c>
      <c r="I724" s="2">
        <v>983709.0</v>
      </c>
      <c r="J724" s="2">
        <v>1217870.0</v>
      </c>
    </row>
    <row r="725">
      <c r="A725" s="2">
        <v>2025.0</v>
      </c>
      <c r="B725" s="1" t="s">
        <v>745</v>
      </c>
      <c r="C725" s="2" t="s">
        <v>143</v>
      </c>
      <c r="D725" s="2" t="s">
        <v>822</v>
      </c>
      <c r="E725" s="2" t="s">
        <v>824</v>
      </c>
      <c r="F725" s="2">
        <v>2327276.0</v>
      </c>
      <c r="G725" s="2">
        <v>2956118.0</v>
      </c>
      <c r="H725" s="2">
        <v>5283394.0</v>
      </c>
      <c r="I725" s="2">
        <v>2202253.0</v>
      </c>
      <c r="J725" s="2">
        <v>3081141.0</v>
      </c>
    </row>
    <row r="726">
      <c r="A726" s="2">
        <v>2025.0</v>
      </c>
      <c r="B726" s="1" t="s">
        <v>745</v>
      </c>
      <c r="C726" s="2" t="s">
        <v>143</v>
      </c>
      <c r="D726" s="2" t="s">
        <v>825</v>
      </c>
      <c r="E726" s="2" t="s">
        <v>686</v>
      </c>
      <c r="F726" s="2">
        <v>5304212.0</v>
      </c>
      <c r="G726" s="2">
        <v>678762.0</v>
      </c>
      <c r="H726" s="2">
        <v>5982974.0</v>
      </c>
      <c r="I726" s="2">
        <v>3059470.0</v>
      </c>
      <c r="J726" s="2">
        <v>2923504.0</v>
      </c>
    </row>
    <row r="727">
      <c r="A727" s="2">
        <v>2025.0</v>
      </c>
      <c r="B727" s="1" t="s">
        <v>745</v>
      </c>
      <c r="C727" s="2" t="s">
        <v>143</v>
      </c>
      <c r="D727" s="2" t="s">
        <v>825</v>
      </c>
      <c r="E727" s="2" t="s">
        <v>394</v>
      </c>
      <c r="F727" s="2">
        <v>2871852.0</v>
      </c>
      <c r="G727" s="2">
        <v>2709427.0</v>
      </c>
      <c r="H727" s="2">
        <v>5581279.0</v>
      </c>
      <c r="I727" s="2">
        <v>3812854.0</v>
      </c>
      <c r="J727" s="2">
        <v>1768425.0</v>
      </c>
    </row>
    <row r="728">
      <c r="A728" s="2">
        <v>2025.0</v>
      </c>
      <c r="B728" s="1" t="s">
        <v>745</v>
      </c>
      <c r="C728" s="2" t="s">
        <v>143</v>
      </c>
      <c r="D728" s="2" t="s">
        <v>826</v>
      </c>
      <c r="E728" s="2" t="s">
        <v>686</v>
      </c>
      <c r="F728" s="2">
        <v>0.0</v>
      </c>
      <c r="G728" s="2">
        <v>477277.0</v>
      </c>
      <c r="H728" s="2">
        <v>477277.0</v>
      </c>
      <c r="I728" s="2">
        <v>0.0</v>
      </c>
      <c r="J728" s="2">
        <v>477277.0</v>
      </c>
    </row>
    <row r="729">
      <c r="A729" s="2">
        <v>2025.0</v>
      </c>
      <c r="B729" s="1" t="s">
        <v>745</v>
      </c>
      <c r="C729" s="2" t="s">
        <v>143</v>
      </c>
      <c r="D729" s="2" t="s">
        <v>826</v>
      </c>
      <c r="E729" s="2" t="s">
        <v>394</v>
      </c>
      <c r="F729" s="2">
        <v>64856.0</v>
      </c>
      <c r="G729" s="2">
        <v>2490403.0</v>
      </c>
      <c r="H729" s="2">
        <v>2555259.0</v>
      </c>
      <c r="I729" s="2">
        <v>1318652.0</v>
      </c>
      <c r="J729" s="2">
        <v>1236607.0</v>
      </c>
    </row>
    <row r="730">
      <c r="A730" s="2">
        <v>2025.0</v>
      </c>
      <c r="B730" s="1" t="s">
        <v>745</v>
      </c>
      <c r="C730" s="2" t="s">
        <v>143</v>
      </c>
      <c r="D730" s="2" t="s">
        <v>828</v>
      </c>
      <c r="E730" s="2" t="s">
        <v>686</v>
      </c>
      <c r="F730" s="2">
        <v>3656330.0</v>
      </c>
      <c r="G730" s="2">
        <v>1224004.0</v>
      </c>
      <c r="H730" s="2">
        <v>4880334.0</v>
      </c>
      <c r="I730" s="2">
        <v>3576104.0</v>
      </c>
      <c r="J730" s="2">
        <v>1304230.0</v>
      </c>
    </row>
    <row r="731">
      <c r="A731" s="2">
        <v>2025.0</v>
      </c>
      <c r="B731" s="1" t="s">
        <v>745</v>
      </c>
      <c r="C731" s="2" t="s">
        <v>143</v>
      </c>
      <c r="D731" s="2" t="s">
        <v>828</v>
      </c>
      <c r="E731" s="2" t="s">
        <v>394</v>
      </c>
      <c r="F731" s="2">
        <v>1395074.0</v>
      </c>
      <c r="G731" s="2">
        <v>4951397.0</v>
      </c>
      <c r="H731" s="2">
        <v>6346471.0</v>
      </c>
      <c r="I731" s="2">
        <v>5401864.0</v>
      </c>
      <c r="J731" s="2">
        <v>944607.0</v>
      </c>
    </row>
    <row r="732">
      <c r="A732" s="2">
        <v>2025.0</v>
      </c>
      <c r="B732" s="1" t="s">
        <v>745</v>
      </c>
      <c r="C732" s="2" t="s">
        <v>143</v>
      </c>
      <c r="D732" s="2" t="s">
        <v>146</v>
      </c>
      <c r="E732" s="2" t="s">
        <v>686</v>
      </c>
      <c r="F732" s="2">
        <v>3377542.0</v>
      </c>
      <c r="G732" s="2">
        <v>813162.0</v>
      </c>
      <c r="H732" s="2">
        <v>4190704.0</v>
      </c>
      <c r="I732" s="2">
        <v>2736139.0</v>
      </c>
      <c r="J732" s="2">
        <v>1454565.0</v>
      </c>
    </row>
    <row r="733">
      <c r="A733" s="2">
        <v>2025.0</v>
      </c>
      <c r="B733" s="1" t="s">
        <v>745</v>
      </c>
      <c r="C733" s="2" t="s">
        <v>143</v>
      </c>
      <c r="D733" s="2" t="s">
        <v>146</v>
      </c>
      <c r="E733" s="2" t="s">
        <v>228</v>
      </c>
      <c r="F733" s="2">
        <v>1136272.0</v>
      </c>
      <c r="G733" s="2">
        <v>4618813.0</v>
      </c>
      <c r="H733" s="2">
        <v>5755085.0</v>
      </c>
      <c r="I733" s="2">
        <v>3824001.0</v>
      </c>
      <c r="J733" s="2">
        <v>1931084.0</v>
      </c>
    </row>
    <row r="734">
      <c r="A734" s="2">
        <v>2025.0</v>
      </c>
      <c r="B734" s="1" t="s">
        <v>745</v>
      </c>
      <c r="C734" s="2" t="s">
        <v>143</v>
      </c>
      <c r="D734" s="2" t="s">
        <v>829</v>
      </c>
      <c r="E734" s="2" t="s">
        <v>686</v>
      </c>
      <c r="F734" s="2">
        <v>2592018.0</v>
      </c>
      <c r="G734" s="2">
        <v>672208.0</v>
      </c>
      <c r="H734" s="2">
        <v>3264226.0</v>
      </c>
      <c r="I734" s="2">
        <v>2013088.0</v>
      </c>
      <c r="J734" s="2">
        <v>1251138.0</v>
      </c>
    </row>
    <row r="735">
      <c r="A735" s="2">
        <v>2025.0</v>
      </c>
      <c r="B735" s="1" t="s">
        <v>745</v>
      </c>
      <c r="C735" s="2" t="s">
        <v>143</v>
      </c>
      <c r="D735" s="2" t="s">
        <v>829</v>
      </c>
      <c r="E735" s="2" t="s">
        <v>394</v>
      </c>
      <c r="F735" s="2">
        <v>1656627.0</v>
      </c>
      <c r="G735" s="2">
        <v>2423177.0</v>
      </c>
      <c r="H735" s="2">
        <v>4079804.0</v>
      </c>
      <c r="I735" s="2">
        <v>2335295.0</v>
      </c>
      <c r="J735" s="2">
        <v>1744509.0</v>
      </c>
    </row>
    <row r="736">
      <c r="A736" s="2">
        <v>2025.0</v>
      </c>
      <c r="B736" s="1" t="s">
        <v>745</v>
      </c>
      <c r="C736" s="2" t="s">
        <v>143</v>
      </c>
      <c r="D736" s="2" t="s">
        <v>830</v>
      </c>
      <c r="E736" s="2" t="s">
        <v>686</v>
      </c>
      <c r="F736" s="2">
        <v>1596533.0</v>
      </c>
      <c r="G736" s="2">
        <v>593674.0</v>
      </c>
      <c r="H736" s="2">
        <v>2190207.0</v>
      </c>
      <c r="I736" s="2">
        <v>715582.0</v>
      </c>
      <c r="J736" s="2">
        <v>1474625.0</v>
      </c>
    </row>
    <row r="737">
      <c r="A737" s="2">
        <v>2025.0</v>
      </c>
      <c r="B737" s="1" t="s">
        <v>745</v>
      </c>
      <c r="C737" s="2" t="s">
        <v>143</v>
      </c>
      <c r="D737" s="2" t="s">
        <v>830</v>
      </c>
      <c r="E737" s="2" t="s">
        <v>228</v>
      </c>
      <c r="F737" s="2">
        <v>2419042.0</v>
      </c>
      <c r="G737" s="2">
        <v>3914329.0</v>
      </c>
      <c r="H737" s="2">
        <v>6333371.0</v>
      </c>
      <c r="I737" s="2">
        <v>3477054.0</v>
      </c>
      <c r="J737" s="2">
        <v>2856317.0</v>
      </c>
    </row>
    <row r="738">
      <c r="A738" s="2">
        <v>2025.0</v>
      </c>
      <c r="B738" s="1" t="s">
        <v>745</v>
      </c>
      <c r="C738" s="2" t="s">
        <v>143</v>
      </c>
      <c r="D738" s="2" t="s">
        <v>832</v>
      </c>
      <c r="E738" s="2" t="s">
        <v>686</v>
      </c>
      <c r="F738" s="2">
        <v>2718901.0</v>
      </c>
      <c r="G738" s="2">
        <v>691278.0</v>
      </c>
      <c r="H738" s="2">
        <v>3410179.0</v>
      </c>
      <c r="I738" s="2">
        <v>1903576.0</v>
      </c>
      <c r="J738" s="2">
        <v>1506603.0</v>
      </c>
    </row>
    <row r="739">
      <c r="A739" s="2">
        <v>2025.0</v>
      </c>
      <c r="B739" s="1" t="s">
        <v>745</v>
      </c>
      <c r="C739" s="2" t="s">
        <v>143</v>
      </c>
      <c r="D739" s="2" t="s">
        <v>832</v>
      </c>
      <c r="E739" s="2" t="s">
        <v>394</v>
      </c>
      <c r="F739" s="2">
        <v>1543433.0</v>
      </c>
      <c r="G739" s="2">
        <v>3467487.0</v>
      </c>
      <c r="H739" s="2">
        <v>5010920.0</v>
      </c>
      <c r="I739" s="2">
        <v>2655619.0</v>
      </c>
      <c r="J739" s="2">
        <v>2355301.0</v>
      </c>
    </row>
    <row r="740">
      <c r="A740" s="2">
        <v>2025.0</v>
      </c>
      <c r="B740" s="1" t="s">
        <v>745</v>
      </c>
      <c r="C740" s="2" t="s">
        <v>143</v>
      </c>
      <c r="D740" s="2" t="s">
        <v>144</v>
      </c>
      <c r="E740" s="2" t="s">
        <v>686</v>
      </c>
      <c r="F740" s="2">
        <v>901992.0</v>
      </c>
      <c r="G740" s="2">
        <v>511366.0</v>
      </c>
      <c r="H740" s="2">
        <v>1413358.0</v>
      </c>
      <c r="I740" s="2">
        <v>248649.0</v>
      </c>
      <c r="J740" s="2">
        <v>1164709.0</v>
      </c>
    </row>
    <row r="741">
      <c r="A741" s="2">
        <v>2025.0</v>
      </c>
      <c r="B741" s="1" t="s">
        <v>745</v>
      </c>
      <c r="C741" s="2" t="s">
        <v>143</v>
      </c>
      <c r="D741" s="2" t="s">
        <v>144</v>
      </c>
      <c r="E741" s="2" t="s">
        <v>56</v>
      </c>
      <c r="F741" s="2">
        <v>33118.0</v>
      </c>
      <c r="G741" s="2">
        <v>1605589.0</v>
      </c>
      <c r="H741" s="2">
        <v>1638707.0</v>
      </c>
      <c r="I741" s="2">
        <v>1222892.0</v>
      </c>
      <c r="J741" s="2">
        <v>415815.0</v>
      </c>
    </row>
    <row r="742">
      <c r="A742" s="2">
        <v>2025.0</v>
      </c>
      <c r="B742" s="1" t="s">
        <v>745</v>
      </c>
      <c r="C742" s="2" t="s">
        <v>143</v>
      </c>
      <c r="D742" s="2" t="s">
        <v>144</v>
      </c>
      <c r="E742" s="2" t="s">
        <v>32</v>
      </c>
      <c r="F742" s="2">
        <v>0.0</v>
      </c>
      <c r="G742" s="2">
        <v>159923.0</v>
      </c>
      <c r="H742" s="2">
        <v>159923.0</v>
      </c>
      <c r="I742" s="2">
        <v>72187.0</v>
      </c>
      <c r="J742" s="2">
        <v>87736.0</v>
      </c>
    </row>
    <row r="743">
      <c r="A743" s="2">
        <v>2025.0</v>
      </c>
      <c r="B743" s="1" t="s">
        <v>745</v>
      </c>
      <c r="C743" s="2" t="s">
        <v>143</v>
      </c>
      <c r="D743" s="2" t="s">
        <v>144</v>
      </c>
      <c r="E743" s="2" t="s">
        <v>779</v>
      </c>
      <c r="F743" s="2">
        <v>85365.0</v>
      </c>
      <c r="G743" s="2">
        <v>2530.0</v>
      </c>
      <c r="H743" s="2">
        <v>87895.0</v>
      </c>
      <c r="I743" s="2">
        <v>0.0</v>
      </c>
      <c r="J743" s="2">
        <v>87895.0</v>
      </c>
    </row>
    <row r="744">
      <c r="A744" s="2">
        <v>2025.0</v>
      </c>
      <c r="B744" s="1" t="s">
        <v>745</v>
      </c>
      <c r="C744" s="2" t="s">
        <v>106</v>
      </c>
      <c r="D744" s="2" t="s">
        <v>111</v>
      </c>
      <c r="E744" s="2" t="s">
        <v>686</v>
      </c>
      <c r="F744" s="2">
        <v>5667173.0</v>
      </c>
      <c r="G744" s="2">
        <v>2017287.0</v>
      </c>
      <c r="H744" s="2">
        <v>7684460.0</v>
      </c>
      <c r="I744" s="2">
        <v>5339525.0</v>
      </c>
      <c r="J744" s="2">
        <v>2344935.0</v>
      </c>
    </row>
    <row r="745">
      <c r="A745" s="2">
        <v>2025.0</v>
      </c>
      <c r="B745" s="1" t="s">
        <v>745</v>
      </c>
      <c r="C745" s="2" t="s">
        <v>106</v>
      </c>
      <c r="D745" s="2" t="s">
        <v>111</v>
      </c>
      <c r="E745" s="2" t="s">
        <v>749</v>
      </c>
      <c r="F745" s="2">
        <v>2987715.0</v>
      </c>
      <c r="G745" s="2">
        <v>3620903.0</v>
      </c>
      <c r="H745" s="2">
        <v>6608618.0</v>
      </c>
      <c r="I745" s="2">
        <v>2652707.0</v>
      </c>
      <c r="J745" s="2">
        <v>3955911.0</v>
      </c>
    </row>
    <row r="746">
      <c r="A746" s="2">
        <v>2025.0</v>
      </c>
      <c r="B746" s="1" t="s">
        <v>745</v>
      </c>
      <c r="C746" s="2" t="s">
        <v>106</v>
      </c>
      <c r="D746" s="2" t="s">
        <v>111</v>
      </c>
      <c r="E746" s="2" t="s">
        <v>760</v>
      </c>
      <c r="F746" s="2">
        <v>160975.0</v>
      </c>
      <c r="G746" s="2">
        <v>2139244.0</v>
      </c>
      <c r="H746" s="2">
        <v>2300219.0</v>
      </c>
      <c r="I746" s="2">
        <v>1876715.0</v>
      </c>
      <c r="J746" s="2">
        <v>423504.0</v>
      </c>
    </row>
    <row r="747">
      <c r="A747" s="2">
        <v>2025.0</v>
      </c>
      <c r="B747" s="1" t="s">
        <v>745</v>
      </c>
      <c r="C747" s="2" t="s">
        <v>106</v>
      </c>
      <c r="D747" s="2" t="s">
        <v>833</v>
      </c>
      <c r="E747" s="2" t="s">
        <v>686</v>
      </c>
      <c r="F747" s="2">
        <v>3102406.0</v>
      </c>
      <c r="G747" s="2">
        <v>896635.0</v>
      </c>
      <c r="H747" s="2">
        <v>3999041.0</v>
      </c>
      <c r="I747" s="2">
        <v>2653323.0</v>
      </c>
      <c r="J747" s="2">
        <v>1345718.0</v>
      </c>
    </row>
    <row r="748">
      <c r="A748" s="2">
        <v>2025.0</v>
      </c>
      <c r="B748" s="1" t="s">
        <v>745</v>
      </c>
      <c r="C748" s="2" t="s">
        <v>106</v>
      </c>
      <c r="D748" s="2" t="s">
        <v>833</v>
      </c>
      <c r="E748" s="2" t="s">
        <v>56</v>
      </c>
      <c r="F748" s="2">
        <v>2630332.0</v>
      </c>
      <c r="G748" s="2">
        <v>1619190.0</v>
      </c>
      <c r="H748" s="2">
        <v>4249522.0</v>
      </c>
      <c r="I748" s="2">
        <v>1722126.0</v>
      </c>
      <c r="J748" s="2">
        <v>2527396.0</v>
      </c>
    </row>
    <row r="749">
      <c r="A749" s="2">
        <v>2025.0</v>
      </c>
      <c r="B749" s="1" t="s">
        <v>745</v>
      </c>
      <c r="C749" s="2" t="s">
        <v>106</v>
      </c>
      <c r="D749" s="2" t="s">
        <v>833</v>
      </c>
      <c r="E749" s="2" t="s">
        <v>32</v>
      </c>
      <c r="F749" s="2">
        <v>56724.0</v>
      </c>
      <c r="G749" s="2">
        <v>104699.0</v>
      </c>
      <c r="H749" s="2">
        <v>161423.0</v>
      </c>
      <c r="I749" s="2">
        <v>10006.0</v>
      </c>
      <c r="J749" s="2">
        <v>151417.0</v>
      </c>
    </row>
    <row r="750">
      <c r="A750" s="2">
        <v>2025.0</v>
      </c>
      <c r="B750" s="1" t="s">
        <v>745</v>
      </c>
      <c r="C750" s="2" t="s">
        <v>106</v>
      </c>
      <c r="D750" s="2" t="s">
        <v>833</v>
      </c>
      <c r="E750" s="2" t="s">
        <v>329</v>
      </c>
      <c r="F750" s="2">
        <v>3024.0</v>
      </c>
      <c r="G750" s="2">
        <v>2122826.0</v>
      </c>
      <c r="H750" s="2">
        <v>2125850.0</v>
      </c>
      <c r="I750" s="2">
        <v>1808941.0</v>
      </c>
      <c r="J750" s="2">
        <v>316909.0</v>
      </c>
    </row>
    <row r="751">
      <c r="A751" s="2">
        <v>2025.0</v>
      </c>
      <c r="B751" s="1" t="s">
        <v>745</v>
      </c>
      <c r="C751" s="2" t="s">
        <v>106</v>
      </c>
      <c r="D751" s="2" t="s">
        <v>834</v>
      </c>
      <c r="E751" s="2" t="s">
        <v>805</v>
      </c>
      <c r="F751" s="2">
        <v>138813.0</v>
      </c>
      <c r="G751" s="2">
        <v>735945.0</v>
      </c>
      <c r="H751" s="2">
        <v>874758.0</v>
      </c>
      <c r="I751" s="2">
        <v>874758.0</v>
      </c>
      <c r="J751" s="2">
        <v>0.0</v>
      </c>
    </row>
    <row r="752">
      <c r="A752" s="2">
        <v>2025.0</v>
      </c>
      <c r="B752" s="1" t="s">
        <v>745</v>
      </c>
      <c r="C752" s="2" t="s">
        <v>106</v>
      </c>
      <c r="D752" s="2" t="s">
        <v>834</v>
      </c>
      <c r="E752" s="2" t="s">
        <v>92</v>
      </c>
      <c r="F752" s="2">
        <v>1858369.0</v>
      </c>
      <c r="G752" s="2">
        <v>5708987.0</v>
      </c>
      <c r="H752" s="2">
        <v>7567356.0</v>
      </c>
      <c r="I752" s="2">
        <v>6134998.0</v>
      </c>
      <c r="J752" s="2">
        <v>1432358.0</v>
      </c>
    </row>
    <row r="753">
      <c r="A753" s="2">
        <v>2025.0</v>
      </c>
      <c r="B753" s="1" t="s">
        <v>745</v>
      </c>
      <c r="C753" s="2" t="s">
        <v>106</v>
      </c>
      <c r="D753" s="2" t="s">
        <v>834</v>
      </c>
      <c r="E753" s="2" t="s">
        <v>835</v>
      </c>
      <c r="F753" s="2">
        <v>347032.0</v>
      </c>
      <c r="G753" s="2">
        <v>163068.0</v>
      </c>
      <c r="H753" s="2">
        <v>510100.0</v>
      </c>
      <c r="I753" s="2">
        <v>209341.0</v>
      </c>
      <c r="J753" s="2">
        <v>300759.0</v>
      </c>
    </row>
    <row r="754">
      <c r="A754" s="2">
        <v>2025.0</v>
      </c>
      <c r="B754" s="1" t="s">
        <v>745</v>
      </c>
      <c r="C754" s="2" t="s">
        <v>106</v>
      </c>
      <c r="D754" s="2" t="s">
        <v>834</v>
      </c>
      <c r="E754" s="2" t="s">
        <v>686</v>
      </c>
      <c r="F754" s="2">
        <v>7220396.0</v>
      </c>
      <c r="G754" s="2">
        <v>2188595.0</v>
      </c>
      <c r="H754" s="2">
        <v>9408991.0</v>
      </c>
      <c r="I754" s="2">
        <v>6524668.0</v>
      </c>
      <c r="J754" s="2">
        <v>2884323.0</v>
      </c>
    </row>
    <row r="755">
      <c r="A755" s="2">
        <v>2025.0</v>
      </c>
      <c r="B755" s="1" t="s">
        <v>745</v>
      </c>
      <c r="C755" s="2" t="s">
        <v>836</v>
      </c>
      <c r="D755" s="2" t="s">
        <v>837</v>
      </c>
      <c r="E755" s="2" t="s">
        <v>32</v>
      </c>
      <c r="F755" s="2">
        <v>31076.0</v>
      </c>
      <c r="G755" s="2">
        <v>857594.0</v>
      </c>
      <c r="H755" s="2">
        <v>888670.0</v>
      </c>
      <c r="I755" s="2">
        <v>839367.0</v>
      </c>
      <c r="J755" s="2">
        <v>49303.0</v>
      </c>
    </row>
    <row r="756">
      <c r="A756" s="2">
        <v>2025.0</v>
      </c>
      <c r="B756" s="1" t="s">
        <v>745</v>
      </c>
      <c r="C756" s="2" t="s">
        <v>836</v>
      </c>
      <c r="D756" s="2" t="s">
        <v>837</v>
      </c>
      <c r="E756" s="2" t="s">
        <v>457</v>
      </c>
      <c r="F756" s="2">
        <v>12012.0</v>
      </c>
      <c r="G756" s="2">
        <v>456.0</v>
      </c>
      <c r="H756" s="2">
        <v>12468.0</v>
      </c>
      <c r="I756" s="2">
        <v>0.0</v>
      </c>
      <c r="J756" s="2">
        <v>12468.0</v>
      </c>
    </row>
    <row r="757">
      <c r="A757" s="2">
        <v>2025.0</v>
      </c>
      <c r="B757" s="1" t="s">
        <v>745</v>
      </c>
      <c r="C757" s="2" t="s">
        <v>836</v>
      </c>
      <c r="D757" s="2" t="s">
        <v>837</v>
      </c>
      <c r="E757" s="2" t="s">
        <v>777</v>
      </c>
      <c r="F757" s="2">
        <v>1207486.0</v>
      </c>
      <c r="G757" s="2">
        <v>6086609.0</v>
      </c>
      <c r="H757" s="2">
        <v>7294095.0</v>
      </c>
      <c r="I757" s="2">
        <v>6535965.0</v>
      </c>
      <c r="J757" s="2">
        <v>758130.0</v>
      </c>
    </row>
    <row r="758">
      <c r="A758" s="2">
        <v>2025.0</v>
      </c>
      <c r="B758" s="1" t="s">
        <v>745</v>
      </c>
      <c r="C758" s="2" t="s">
        <v>836</v>
      </c>
      <c r="D758" s="2" t="s">
        <v>837</v>
      </c>
      <c r="E758" s="2" t="s">
        <v>25</v>
      </c>
      <c r="F758" s="2">
        <v>4355712.0</v>
      </c>
      <c r="G758" s="2">
        <v>1952619.0</v>
      </c>
      <c r="H758" s="2">
        <v>6308331.0</v>
      </c>
      <c r="I758" s="2">
        <v>3481551.0</v>
      </c>
      <c r="J758" s="2">
        <v>2826780.0</v>
      </c>
    </row>
    <row r="759">
      <c r="A759" s="2">
        <v>2025.0</v>
      </c>
      <c r="B759" s="1" t="s">
        <v>745</v>
      </c>
      <c r="C759" s="2" t="s">
        <v>836</v>
      </c>
      <c r="D759" s="2" t="s">
        <v>838</v>
      </c>
      <c r="E759" s="2" t="s">
        <v>777</v>
      </c>
      <c r="F759" s="2">
        <v>3106681.0</v>
      </c>
      <c r="G759" s="2">
        <v>3124436.0</v>
      </c>
      <c r="H759" s="2">
        <v>6231117.0</v>
      </c>
      <c r="I759" s="2">
        <v>2978797.0</v>
      </c>
      <c r="J759" s="2">
        <v>3252320.0</v>
      </c>
    </row>
    <row r="760">
      <c r="A760" s="2">
        <v>2025.0</v>
      </c>
      <c r="B760" s="1" t="s">
        <v>745</v>
      </c>
      <c r="C760" s="2" t="s">
        <v>836</v>
      </c>
      <c r="D760" s="2" t="s">
        <v>838</v>
      </c>
      <c r="E760" s="2" t="s">
        <v>457</v>
      </c>
      <c r="F760" s="2">
        <v>131310.0</v>
      </c>
      <c r="G760" s="2">
        <v>4984.0</v>
      </c>
      <c r="H760" s="2">
        <v>136294.0</v>
      </c>
      <c r="I760" s="2">
        <v>0.0</v>
      </c>
      <c r="J760" s="2">
        <v>136294.0</v>
      </c>
    </row>
    <row r="761">
      <c r="A761" s="2">
        <v>2025.0</v>
      </c>
      <c r="B761" s="1" t="s">
        <v>745</v>
      </c>
      <c r="C761" s="2" t="s">
        <v>836</v>
      </c>
      <c r="D761" s="2" t="s">
        <v>838</v>
      </c>
      <c r="E761" s="2" t="s">
        <v>32</v>
      </c>
      <c r="F761" s="2">
        <v>408746.0</v>
      </c>
      <c r="G761" s="2">
        <v>198941.0</v>
      </c>
      <c r="H761" s="2">
        <v>607687.0</v>
      </c>
      <c r="I761" s="2">
        <v>283115.0</v>
      </c>
      <c r="J761" s="2">
        <v>324572.0</v>
      </c>
    </row>
    <row r="762">
      <c r="A762" s="2">
        <v>2025.0</v>
      </c>
      <c r="B762" s="1" t="s">
        <v>745</v>
      </c>
      <c r="C762" s="2" t="s">
        <v>836</v>
      </c>
      <c r="D762" s="2" t="s">
        <v>838</v>
      </c>
      <c r="E762" s="2" t="s">
        <v>460</v>
      </c>
      <c r="F762" s="2">
        <v>166197.0</v>
      </c>
      <c r="G762" s="2">
        <v>67544.0</v>
      </c>
      <c r="H762" s="2">
        <v>233741.0</v>
      </c>
      <c r="I762" s="2">
        <v>0.0</v>
      </c>
      <c r="J762" s="2">
        <v>233741.0</v>
      </c>
    </row>
    <row r="763">
      <c r="A763" s="2">
        <v>2025.0</v>
      </c>
      <c r="B763" s="1" t="s">
        <v>745</v>
      </c>
      <c r="C763" s="2" t="s">
        <v>836</v>
      </c>
      <c r="D763" s="2" t="s">
        <v>838</v>
      </c>
      <c r="E763" s="2" t="s">
        <v>779</v>
      </c>
      <c r="F763" s="2">
        <v>86383.0</v>
      </c>
      <c r="G763" s="2">
        <v>1683.0</v>
      </c>
      <c r="H763" s="2">
        <v>88066.0</v>
      </c>
      <c r="I763" s="2">
        <v>25000.0</v>
      </c>
      <c r="J763" s="2">
        <v>63066.0</v>
      </c>
    </row>
    <row r="764">
      <c r="A764" s="2">
        <v>2025.0</v>
      </c>
      <c r="B764" s="1" t="s">
        <v>745</v>
      </c>
      <c r="C764" s="2" t="s">
        <v>836</v>
      </c>
      <c r="D764" s="2" t="s">
        <v>838</v>
      </c>
      <c r="E764" s="2" t="s">
        <v>25</v>
      </c>
      <c r="F764" s="2">
        <v>4756573.0</v>
      </c>
      <c r="G764" s="2">
        <v>953881.0</v>
      </c>
      <c r="H764" s="2">
        <v>5710454.0</v>
      </c>
      <c r="I764" s="2">
        <v>837809.0</v>
      </c>
      <c r="J764" s="2">
        <v>4872645.0</v>
      </c>
    </row>
    <row r="765">
      <c r="A765" s="2">
        <v>2025.0</v>
      </c>
      <c r="B765" s="1" t="s">
        <v>745</v>
      </c>
      <c r="C765" s="2" t="s">
        <v>836</v>
      </c>
      <c r="D765" s="2" t="s">
        <v>839</v>
      </c>
      <c r="E765" s="2" t="s">
        <v>686</v>
      </c>
      <c r="F765" s="2">
        <v>4730926.0</v>
      </c>
      <c r="G765" s="2">
        <v>833881.0</v>
      </c>
      <c r="H765" s="2">
        <v>5564807.0</v>
      </c>
      <c r="I765" s="2">
        <v>1857538.0</v>
      </c>
      <c r="J765" s="2">
        <v>3707269.0</v>
      </c>
    </row>
    <row r="766">
      <c r="A766" s="2">
        <v>2025.0</v>
      </c>
      <c r="B766" s="1" t="s">
        <v>745</v>
      </c>
      <c r="C766" s="2" t="s">
        <v>836</v>
      </c>
      <c r="D766" s="2" t="s">
        <v>839</v>
      </c>
      <c r="E766" s="2" t="s">
        <v>56</v>
      </c>
      <c r="F766" s="2">
        <v>2173885.0</v>
      </c>
      <c r="G766" s="2">
        <v>3340140.0</v>
      </c>
      <c r="H766" s="2">
        <v>5514025.0</v>
      </c>
      <c r="I766" s="2">
        <v>3590410.0</v>
      </c>
      <c r="J766" s="2">
        <v>1923615.0</v>
      </c>
    </row>
    <row r="767">
      <c r="A767" s="2">
        <v>2025.0</v>
      </c>
      <c r="B767" s="1" t="s">
        <v>745</v>
      </c>
      <c r="C767" s="2" t="s">
        <v>836</v>
      </c>
      <c r="D767" s="2" t="s">
        <v>839</v>
      </c>
      <c r="E767" s="2" t="s">
        <v>805</v>
      </c>
      <c r="F767" s="2">
        <v>73308.0</v>
      </c>
      <c r="G767" s="2">
        <v>136645.0</v>
      </c>
      <c r="H767" s="2">
        <v>209953.0</v>
      </c>
      <c r="I767" s="2">
        <v>171680.0</v>
      </c>
      <c r="J767" s="2">
        <v>38273.0</v>
      </c>
    </row>
    <row r="768">
      <c r="A768" s="2">
        <v>2025.0</v>
      </c>
      <c r="B768" s="1" t="s">
        <v>745</v>
      </c>
      <c r="C768" s="2" t="s">
        <v>836</v>
      </c>
      <c r="D768" s="2" t="s">
        <v>839</v>
      </c>
      <c r="E768" s="2" t="s">
        <v>775</v>
      </c>
      <c r="F768" s="2">
        <v>0.0</v>
      </c>
      <c r="G768" s="2">
        <v>76531.0</v>
      </c>
      <c r="H768" s="2">
        <v>76531.0</v>
      </c>
      <c r="I768" s="2">
        <v>88.0</v>
      </c>
      <c r="J768" s="2">
        <v>76443.0</v>
      </c>
    </row>
    <row r="769">
      <c r="A769" s="2">
        <v>2025.0</v>
      </c>
      <c r="B769" s="1" t="s">
        <v>745</v>
      </c>
      <c r="C769" s="2" t="s">
        <v>836</v>
      </c>
      <c r="D769" s="2" t="s">
        <v>841</v>
      </c>
      <c r="E769" s="2" t="s">
        <v>32</v>
      </c>
      <c r="F769" s="2">
        <v>1106098.0</v>
      </c>
      <c r="G769" s="2">
        <v>1111691.0</v>
      </c>
      <c r="H769" s="2">
        <v>2217789.0</v>
      </c>
      <c r="I769" s="2">
        <v>396571.0</v>
      </c>
      <c r="J769" s="2">
        <v>1821218.0</v>
      </c>
    </row>
    <row r="770">
      <c r="A770" s="2">
        <v>2025.0</v>
      </c>
      <c r="B770" s="1" t="s">
        <v>745</v>
      </c>
      <c r="C770" s="2" t="s">
        <v>836</v>
      </c>
      <c r="D770" s="2" t="s">
        <v>841</v>
      </c>
      <c r="E770" s="2" t="s">
        <v>78</v>
      </c>
      <c r="F770" s="2">
        <v>7340656.0</v>
      </c>
      <c r="G770" s="2">
        <v>4321140.0</v>
      </c>
      <c r="H770" s="2">
        <v>1.1661796E7</v>
      </c>
      <c r="I770" s="2">
        <v>3945627.0</v>
      </c>
      <c r="J770" s="2">
        <v>7716169.0</v>
      </c>
    </row>
    <row r="771">
      <c r="A771" s="2">
        <v>2025.0</v>
      </c>
      <c r="B771" s="1" t="s">
        <v>745</v>
      </c>
      <c r="C771" s="2" t="s">
        <v>836</v>
      </c>
      <c r="D771" s="2" t="s">
        <v>841</v>
      </c>
      <c r="E771" s="2" t="s">
        <v>686</v>
      </c>
      <c r="F771" s="2">
        <v>6618898.0</v>
      </c>
      <c r="G771" s="2">
        <v>814674.0</v>
      </c>
      <c r="H771" s="2">
        <v>7433572.0</v>
      </c>
      <c r="I771" s="2">
        <v>1297921.0</v>
      </c>
      <c r="J771" s="2">
        <v>6135651.0</v>
      </c>
    </row>
    <row r="772">
      <c r="A772" s="2">
        <v>2025.0</v>
      </c>
      <c r="B772" s="1" t="s">
        <v>745</v>
      </c>
      <c r="C772" s="2" t="s">
        <v>836</v>
      </c>
      <c r="D772" s="2" t="s">
        <v>842</v>
      </c>
      <c r="E772" s="2" t="s">
        <v>686</v>
      </c>
      <c r="F772" s="2">
        <v>0.0</v>
      </c>
      <c r="G772" s="2">
        <v>339752.0</v>
      </c>
      <c r="H772" s="2">
        <v>339752.0</v>
      </c>
      <c r="I772" s="2">
        <v>0.0</v>
      </c>
      <c r="J772" s="2">
        <v>339752.0</v>
      </c>
    </row>
    <row r="773">
      <c r="A773" s="2">
        <v>2025.0</v>
      </c>
      <c r="B773" s="1" t="s">
        <v>745</v>
      </c>
      <c r="C773" s="2" t="s">
        <v>836</v>
      </c>
      <c r="D773" s="2" t="s">
        <v>842</v>
      </c>
      <c r="E773" s="2" t="s">
        <v>56</v>
      </c>
      <c r="F773" s="2">
        <v>0.0</v>
      </c>
      <c r="G773" s="2">
        <v>1583827.0</v>
      </c>
      <c r="H773" s="2">
        <v>1583827.0</v>
      </c>
      <c r="I773" s="2">
        <v>134751.0</v>
      </c>
      <c r="J773" s="2">
        <v>1449076.0</v>
      </c>
    </row>
    <row r="774">
      <c r="A774" s="2">
        <v>2025.0</v>
      </c>
      <c r="B774" s="1" t="s">
        <v>745</v>
      </c>
      <c r="C774" s="2" t="s">
        <v>836</v>
      </c>
      <c r="D774" s="2" t="s">
        <v>842</v>
      </c>
      <c r="E774" s="2" t="s">
        <v>32</v>
      </c>
      <c r="F774" s="2">
        <v>414694.0</v>
      </c>
      <c r="G774" s="2">
        <v>409158.0</v>
      </c>
      <c r="H774" s="2">
        <v>823852.0</v>
      </c>
      <c r="I774" s="2">
        <v>475323.0</v>
      </c>
      <c r="J774" s="2">
        <v>348529.0</v>
      </c>
    </row>
    <row r="775">
      <c r="A775" s="2">
        <v>2025.0</v>
      </c>
      <c r="B775" s="1" t="s">
        <v>745</v>
      </c>
      <c r="C775" s="2" t="s">
        <v>836</v>
      </c>
      <c r="D775" s="2" t="s">
        <v>843</v>
      </c>
      <c r="E775" s="2" t="s">
        <v>329</v>
      </c>
      <c r="F775" s="2">
        <v>235459.0</v>
      </c>
      <c r="G775" s="2">
        <v>12053.0</v>
      </c>
      <c r="H775" s="2">
        <v>247512.0</v>
      </c>
      <c r="I775" s="2">
        <v>205815.0</v>
      </c>
      <c r="J775" s="2">
        <v>41697.0</v>
      </c>
    </row>
    <row r="776">
      <c r="A776" s="2">
        <v>2025.0</v>
      </c>
      <c r="B776" s="1" t="s">
        <v>745</v>
      </c>
      <c r="C776" s="2" t="s">
        <v>836</v>
      </c>
      <c r="D776" s="2" t="s">
        <v>843</v>
      </c>
      <c r="E776" s="2" t="s">
        <v>787</v>
      </c>
      <c r="F776" s="2">
        <v>1545242.0</v>
      </c>
      <c r="G776" s="2">
        <v>3539986.0</v>
      </c>
      <c r="H776" s="2">
        <v>5085228.0</v>
      </c>
      <c r="I776" s="2">
        <v>1878808.0</v>
      </c>
      <c r="J776" s="2">
        <v>3206420.0</v>
      </c>
    </row>
    <row r="777">
      <c r="A777" s="2">
        <v>2025.0</v>
      </c>
      <c r="B777" s="1" t="s">
        <v>745</v>
      </c>
      <c r="C777" s="2" t="s">
        <v>836</v>
      </c>
      <c r="D777" s="2" t="s">
        <v>843</v>
      </c>
      <c r="E777" s="2" t="s">
        <v>32</v>
      </c>
      <c r="F777" s="2">
        <v>124470.0</v>
      </c>
      <c r="G777" s="2">
        <v>328223.0</v>
      </c>
      <c r="H777" s="2">
        <v>452693.0</v>
      </c>
      <c r="I777" s="2">
        <v>353877.0</v>
      </c>
      <c r="J777" s="2">
        <v>98816.0</v>
      </c>
    </row>
    <row r="778">
      <c r="A778" s="2">
        <v>2025.0</v>
      </c>
      <c r="B778" s="1" t="s">
        <v>745</v>
      </c>
      <c r="C778" s="2" t="s">
        <v>836</v>
      </c>
      <c r="D778" s="2" t="s">
        <v>843</v>
      </c>
      <c r="E778" s="2" t="s">
        <v>25</v>
      </c>
      <c r="F778" s="2">
        <v>1914672.0</v>
      </c>
      <c r="G778" s="2">
        <v>573172.0</v>
      </c>
      <c r="H778" s="2">
        <v>2487844.0</v>
      </c>
      <c r="I778" s="2">
        <v>699339.0</v>
      </c>
      <c r="J778" s="2">
        <v>1788505.0</v>
      </c>
    </row>
    <row r="779">
      <c r="A779" s="2">
        <v>2025.0</v>
      </c>
      <c r="B779" s="1" t="s">
        <v>745</v>
      </c>
      <c r="C779" s="2" t="s">
        <v>836</v>
      </c>
      <c r="D779" s="2" t="s">
        <v>843</v>
      </c>
      <c r="E779" s="2" t="s">
        <v>779</v>
      </c>
      <c r="F779" s="2">
        <v>62190.0</v>
      </c>
      <c r="G779" s="2">
        <v>1826.0</v>
      </c>
      <c r="H779" s="2">
        <v>64016.0</v>
      </c>
      <c r="I779" s="2">
        <v>0.0</v>
      </c>
      <c r="J779" s="2">
        <v>64016.0</v>
      </c>
    </row>
    <row r="780">
      <c r="A780" s="2">
        <v>2025.0</v>
      </c>
      <c r="B780" s="1" t="s">
        <v>745</v>
      </c>
      <c r="C780" s="2" t="s">
        <v>844</v>
      </c>
      <c r="D780" s="2" t="s">
        <v>845</v>
      </c>
      <c r="E780" s="2" t="s">
        <v>686</v>
      </c>
      <c r="F780" s="2">
        <v>2905484.0</v>
      </c>
      <c r="G780" s="2">
        <v>554601.0</v>
      </c>
      <c r="H780" s="2">
        <v>3460085.0</v>
      </c>
      <c r="I780" s="2">
        <v>1464103.0</v>
      </c>
      <c r="J780" s="2">
        <v>1995982.0</v>
      </c>
    </row>
    <row r="781">
      <c r="A781" s="2">
        <v>2025.0</v>
      </c>
      <c r="B781" s="1" t="s">
        <v>745</v>
      </c>
      <c r="C781" s="2" t="s">
        <v>844</v>
      </c>
      <c r="D781" s="2" t="s">
        <v>845</v>
      </c>
      <c r="E781" s="2" t="s">
        <v>32</v>
      </c>
      <c r="F781" s="2">
        <v>0.0</v>
      </c>
      <c r="G781" s="2">
        <v>734601.0</v>
      </c>
      <c r="H781" s="2">
        <v>734601.0</v>
      </c>
      <c r="I781" s="2">
        <v>555196.0</v>
      </c>
      <c r="J781" s="2">
        <v>179405.0</v>
      </c>
    </row>
    <row r="782">
      <c r="A782" s="2">
        <v>2025.0</v>
      </c>
      <c r="B782" s="1" t="s">
        <v>745</v>
      </c>
      <c r="C782" s="2" t="s">
        <v>844</v>
      </c>
      <c r="D782" s="2" t="s">
        <v>845</v>
      </c>
      <c r="E782" s="2" t="s">
        <v>846</v>
      </c>
      <c r="F782" s="2">
        <v>2710220.0</v>
      </c>
      <c r="G782" s="2">
        <v>2600475.0</v>
      </c>
      <c r="H782" s="2">
        <v>5310695.0</v>
      </c>
      <c r="I782" s="2">
        <v>3024387.0</v>
      </c>
      <c r="J782" s="2">
        <v>2286308.0</v>
      </c>
    </row>
    <row r="783">
      <c r="A783" s="2">
        <v>2025.0</v>
      </c>
      <c r="B783" s="1" t="s">
        <v>745</v>
      </c>
      <c r="C783" s="2" t="s">
        <v>844</v>
      </c>
      <c r="D783" s="2" t="s">
        <v>265</v>
      </c>
      <c r="E783" s="2" t="s">
        <v>686</v>
      </c>
      <c r="F783" s="2">
        <v>2207971.0</v>
      </c>
      <c r="G783" s="2">
        <v>541318.0</v>
      </c>
      <c r="H783" s="2">
        <v>2749289.0</v>
      </c>
      <c r="I783" s="2">
        <v>587335.0</v>
      </c>
      <c r="J783" s="2">
        <v>2161954.0</v>
      </c>
    </row>
    <row r="784">
      <c r="A784" s="2">
        <v>2025.0</v>
      </c>
      <c r="B784" s="1" t="s">
        <v>745</v>
      </c>
      <c r="C784" s="2" t="s">
        <v>844</v>
      </c>
      <c r="D784" s="2" t="s">
        <v>265</v>
      </c>
      <c r="E784" s="2" t="s">
        <v>32</v>
      </c>
      <c r="F784" s="2">
        <v>0.0</v>
      </c>
      <c r="G784" s="2">
        <v>171617.0</v>
      </c>
      <c r="H784" s="2">
        <v>171617.0</v>
      </c>
      <c r="I784" s="2">
        <v>59.0</v>
      </c>
      <c r="J784" s="2">
        <v>171558.0</v>
      </c>
    </row>
    <row r="785">
      <c r="A785" s="2">
        <v>2025.0</v>
      </c>
      <c r="B785" s="1" t="s">
        <v>745</v>
      </c>
      <c r="C785" s="2" t="s">
        <v>844</v>
      </c>
      <c r="D785" s="2" t="s">
        <v>265</v>
      </c>
      <c r="E785" s="2" t="s">
        <v>78</v>
      </c>
      <c r="F785" s="2">
        <v>4545586.0</v>
      </c>
      <c r="G785" s="2">
        <v>4161208.0</v>
      </c>
      <c r="H785" s="2">
        <v>8706794.0</v>
      </c>
      <c r="I785" s="2">
        <v>3251289.0</v>
      </c>
      <c r="J785" s="2">
        <v>5455505.0</v>
      </c>
    </row>
    <row r="786">
      <c r="A786" s="2">
        <v>2025.0</v>
      </c>
      <c r="B786" s="1" t="s">
        <v>745</v>
      </c>
      <c r="C786" s="2" t="s">
        <v>844</v>
      </c>
      <c r="D786" s="2" t="s">
        <v>848</v>
      </c>
      <c r="E786" s="2" t="s">
        <v>686</v>
      </c>
      <c r="F786" s="2">
        <v>2286607.0</v>
      </c>
      <c r="G786" s="2">
        <v>706862.0</v>
      </c>
      <c r="H786" s="2">
        <v>2993469.0</v>
      </c>
      <c r="I786" s="2">
        <v>1206810.0</v>
      </c>
      <c r="J786" s="2">
        <v>1786659.0</v>
      </c>
    </row>
    <row r="787">
      <c r="A787" s="2">
        <v>2025.0</v>
      </c>
      <c r="B787" s="1" t="s">
        <v>745</v>
      </c>
      <c r="C787" s="2" t="s">
        <v>844</v>
      </c>
      <c r="D787" s="2" t="s">
        <v>848</v>
      </c>
      <c r="E787" s="2" t="s">
        <v>56</v>
      </c>
      <c r="F787" s="2">
        <v>3009092.0</v>
      </c>
      <c r="G787" s="2">
        <v>3470010.0</v>
      </c>
      <c r="H787" s="2">
        <v>6479102.0</v>
      </c>
      <c r="I787" s="2">
        <v>4707134.0</v>
      </c>
      <c r="J787" s="2">
        <v>1771968.0</v>
      </c>
    </row>
    <row r="788">
      <c r="A788" s="2">
        <v>2025.0</v>
      </c>
      <c r="B788" s="1" t="s">
        <v>745</v>
      </c>
      <c r="C788" s="2" t="s">
        <v>844</v>
      </c>
      <c r="D788" s="2" t="s">
        <v>848</v>
      </c>
      <c r="E788" s="2" t="s">
        <v>32</v>
      </c>
      <c r="F788" s="2">
        <v>152231.0</v>
      </c>
      <c r="G788" s="2">
        <v>349067.0</v>
      </c>
      <c r="H788" s="2">
        <v>501298.0</v>
      </c>
      <c r="I788" s="2">
        <v>383576.0</v>
      </c>
      <c r="J788" s="2">
        <v>117722.0</v>
      </c>
    </row>
    <row r="789">
      <c r="A789" s="2">
        <v>2025.0</v>
      </c>
      <c r="B789" s="1" t="s">
        <v>745</v>
      </c>
      <c r="C789" s="2" t="s">
        <v>844</v>
      </c>
      <c r="D789" s="2" t="s">
        <v>245</v>
      </c>
      <c r="E789" s="2" t="s">
        <v>849</v>
      </c>
      <c r="F789" s="2">
        <v>7723158.0</v>
      </c>
      <c r="G789" s="2">
        <v>1379922.0</v>
      </c>
      <c r="H789" s="2">
        <v>9103080.0</v>
      </c>
      <c r="I789" s="2">
        <v>5316867.0</v>
      </c>
      <c r="J789" s="2">
        <v>3786213.0</v>
      </c>
    </row>
    <row r="790">
      <c r="A790" s="2">
        <v>2025.0</v>
      </c>
      <c r="B790" s="1" t="s">
        <v>745</v>
      </c>
      <c r="C790" s="2" t="s">
        <v>844</v>
      </c>
      <c r="D790" s="2" t="s">
        <v>245</v>
      </c>
      <c r="E790" s="2" t="s">
        <v>850</v>
      </c>
      <c r="F790" s="2">
        <v>828164.0</v>
      </c>
      <c r="G790" s="2">
        <v>7551456.0</v>
      </c>
      <c r="H790" s="2">
        <v>8379620.0</v>
      </c>
      <c r="I790" s="2">
        <v>4177480.0</v>
      </c>
      <c r="J790" s="2">
        <v>4202140.0</v>
      </c>
    </row>
    <row r="791">
      <c r="A791" s="2">
        <v>2025.0</v>
      </c>
      <c r="B791" s="1" t="s">
        <v>745</v>
      </c>
      <c r="C791" s="2" t="s">
        <v>844</v>
      </c>
      <c r="D791" s="2" t="s">
        <v>245</v>
      </c>
      <c r="E791" s="2" t="s">
        <v>32</v>
      </c>
      <c r="F791" s="2">
        <v>372206.0</v>
      </c>
      <c r="G791" s="2">
        <v>458055.0</v>
      </c>
      <c r="H791" s="2">
        <v>830261.0</v>
      </c>
      <c r="I791" s="2">
        <v>556657.0</v>
      </c>
      <c r="J791" s="2">
        <v>273604.0</v>
      </c>
    </row>
    <row r="792">
      <c r="A792" s="2">
        <v>2025.0</v>
      </c>
      <c r="B792" s="1" t="s">
        <v>745</v>
      </c>
      <c r="C792" s="2" t="s">
        <v>844</v>
      </c>
      <c r="D792" s="2" t="s">
        <v>256</v>
      </c>
      <c r="E792" s="2" t="s">
        <v>686</v>
      </c>
      <c r="F792" s="2">
        <v>2614562.0</v>
      </c>
      <c r="G792" s="2">
        <v>475936.0</v>
      </c>
      <c r="H792" s="2">
        <v>3090498.0</v>
      </c>
      <c r="I792" s="2">
        <v>0.0</v>
      </c>
      <c r="J792" s="2">
        <v>3090498.0</v>
      </c>
    </row>
    <row r="793">
      <c r="A793" s="2">
        <v>2025.0</v>
      </c>
      <c r="B793" s="1" t="s">
        <v>745</v>
      </c>
      <c r="C793" s="2" t="s">
        <v>844</v>
      </c>
      <c r="D793" s="2" t="s">
        <v>256</v>
      </c>
      <c r="E793" s="2" t="s">
        <v>749</v>
      </c>
      <c r="F793" s="2">
        <v>2006702.0</v>
      </c>
      <c r="G793" s="2">
        <v>3581218.0</v>
      </c>
      <c r="H793" s="2">
        <v>5587920.0</v>
      </c>
      <c r="I793" s="2">
        <v>3024818.0</v>
      </c>
      <c r="J793" s="2">
        <v>2563102.0</v>
      </c>
    </row>
    <row r="794">
      <c r="A794" s="2">
        <v>2025.0</v>
      </c>
      <c r="B794" s="1" t="s">
        <v>745</v>
      </c>
      <c r="C794" s="2" t="s">
        <v>844</v>
      </c>
      <c r="D794" s="2" t="s">
        <v>256</v>
      </c>
      <c r="E794" s="2" t="s">
        <v>32</v>
      </c>
      <c r="F794" s="2">
        <v>0.0</v>
      </c>
      <c r="G794" s="2">
        <v>95099.0</v>
      </c>
      <c r="H794" s="2">
        <v>95099.0</v>
      </c>
      <c r="I794" s="2">
        <v>12530.0</v>
      </c>
      <c r="J794" s="2">
        <v>82569.0</v>
      </c>
    </row>
    <row r="795">
      <c r="A795" s="2">
        <v>2025.0</v>
      </c>
      <c r="B795" s="1" t="s">
        <v>745</v>
      </c>
      <c r="C795" s="2" t="s">
        <v>844</v>
      </c>
      <c r="D795" s="2" t="s">
        <v>241</v>
      </c>
      <c r="E795" s="2" t="s">
        <v>686</v>
      </c>
      <c r="F795" s="2">
        <v>1547039.0</v>
      </c>
      <c r="G795" s="2">
        <v>443757.0</v>
      </c>
      <c r="H795" s="2">
        <v>1990796.0</v>
      </c>
      <c r="I795" s="2">
        <v>662213.0</v>
      </c>
      <c r="J795" s="2">
        <v>1328583.0</v>
      </c>
    </row>
    <row r="796">
      <c r="A796" s="2">
        <v>2025.0</v>
      </c>
      <c r="B796" s="1" t="s">
        <v>745</v>
      </c>
      <c r="C796" s="2" t="s">
        <v>844</v>
      </c>
      <c r="D796" s="2" t="s">
        <v>241</v>
      </c>
      <c r="E796" s="2" t="s">
        <v>394</v>
      </c>
      <c r="F796" s="2">
        <v>3733973.0</v>
      </c>
      <c r="G796" s="2">
        <v>3194717.0</v>
      </c>
      <c r="H796" s="2">
        <v>6928690.0</v>
      </c>
      <c r="I796" s="2">
        <v>2369242.0</v>
      </c>
      <c r="J796" s="2">
        <v>4559448.0</v>
      </c>
    </row>
    <row r="797">
      <c r="A797" s="2">
        <v>2025.0</v>
      </c>
      <c r="B797" s="1" t="s">
        <v>745</v>
      </c>
      <c r="C797" s="2" t="s">
        <v>844</v>
      </c>
      <c r="D797" s="2" t="s">
        <v>274</v>
      </c>
      <c r="E797" s="2" t="s">
        <v>457</v>
      </c>
      <c r="F797" s="2">
        <v>16365.0</v>
      </c>
      <c r="G797" s="2">
        <v>941.0</v>
      </c>
      <c r="H797" s="2">
        <v>17306.0</v>
      </c>
      <c r="I797" s="2">
        <v>0.0</v>
      </c>
      <c r="J797" s="2">
        <v>17306.0</v>
      </c>
    </row>
    <row r="798">
      <c r="A798" s="2">
        <v>2025.0</v>
      </c>
      <c r="B798" s="1" t="s">
        <v>745</v>
      </c>
      <c r="C798" s="2" t="s">
        <v>844</v>
      </c>
      <c r="D798" s="2" t="s">
        <v>274</v>
      </c>
      <c r="E798" s="2" t="s">
        <v>124</v>
      </c>
      <c r="F798" s="2">
        <v>661173.0</v>
      </c>
      <c r="G798" s="2">
        <v>1485936.0</v>
      </c>
      <c r="H798" s="2">
        <v>2147109.0</v>
      </c>
      <c r="I798" s="2">
        <v>1600658.0</v>
      </c>
      <c r="J798" s="2">
        <v>546451.0</v>
      </c>
    </row>
    <row r="799">
      <c r="A799" s="2">
        <v>2025.0</v>
      </c>
      <c r="B799" s="1" t="s">
        <v>745</v>
      </c>
      <c r="C799" s="2" t="s">
        <v>844</v>
      </c>
      <c r="D799" s="2" t="s">
        <v>274</v>
      </c>
      <c r="E799" s="2" t="s">
        <v>32</v>
      </c>
      <c r="F799" s="2">
        <v>0.0</v>
      </c>
      <c r="G799" s="2">
        <v>313364.0</v>
      </c>
      <c r="H799" s="2">
        <v>313364.0</v>
      </c>
      <c r="I799" s="2">
        <v>195313.0</v>
      </c>
      <c r="J799" s="2">
        <v>118051.0</v>
      </c>
    </row>
    <row r="800">
      <c r="A800" s="2">
        <v>2025.0</v>
      </c>
      <c r="B800" s="1" t="s">
        <v>745</v>
      </c>
      <c r="C800" s="2" t="s">
        <v>844</v>
      </c>
      <c r="D800" s="2" t="s">
        <v>274</v>
      </c>
      <c r="E800" s="2" t="s">
        <v>78</v>
      </c>
      <c r="F800" s="2">
        <v>1003203.0</v>
      </c>
      <c r="G800" s="2">
        <v>1453712.0</v>
      </c>
      <c r="H800" s="2">
        <v>2456915.0</v>
      </c>
      <c r="I800" s="2">
        <v>426715.0</v>
      </c>
      <c r="J800" s="2">
        <v>2030200.0</v>
      </c>
    </row>
    <row r="801">
      <c r="A801" s="2">
        <v>2025.0</v>
      </c>
      <c r="B801" s="1" t="s">
        <v>745</v>
      </c>
      <c r="C801" s="2" t="s">
        <v>844</v>
      </c>
      <c r="D801" s="2" t="s">
        <v>274</v>
      </c>
      <c r="E801" s="2" t="s">
        <v>686</v>
      </c>
      <c r="F801" s="2">
        <v>2146619.0</v>
      </c>
      <c r="G801" s="2">
        <v>447295.0</v>
      </c>
      <c r="H801" s="2">
        <v>2593914.0</v>
      </c>
      <c r="I801" s="2">
        <v>333529.0</v>
      </c>
      <c r="J801" s="2">
        <v>2260385.0</v>
      </c>
    </row>
    <row r="802">
      <c r="A802" s="2">
        <v>2025.0</v>
      </c>
      <c r="B802" s="1" t="s">
        <v>745</v>
      </c>
      <c r="C802" s="2" t="s">
        <v>844</v>
      </c>
      <c r="D802" s="2" t="s">
        <v>851</v>
      </c>
      <c r="E802" s="2" t="s">
        <v>686</v>
      </c>
      <c r="F802" s="2">
        <v>0.0</v>
      </c>
      <c r="G802" s="2">
        <v>466573.0</v>
      </c>
      <c r="H802" s="2">
        <v>466573.0</v>
      </c>
      <c r="I802" s="2">
        <v>0.0</v>
      </c>
      <c r="J802" s="2">
        <v>466573.0</v>
      </c>
    </row>
    <row r="803">
      <c r="A803" s="2">
        <v>2025.0</v>
      </c>
      <c r="B803" s="1" t="s">
        <v>745</v>
      </c>
      <c r="C803" s="2" t="s">
        <v>844</v>
      </c>
      <c r="D803" s="2" t="s">
        <v>851</v>
      </c>
      <c r="E803" s="2" t="s">
        <v>32</v>
      </c>
      <c r="F803" s="2">
        <v>0.0</v>
      </c>
      <c r="G803" s="2">
        <v>119388.0</v>
      </c>
      <c r="H803" s="2">
        <v>119388.0</v>
      </c>
      <c r="I803" s="2">
        <v>59.0</v>
      </c>
      <c r="J803" s="2">
        <v>119329.0</v>
      </c>
    </row>
    <row r="804">
      <c r="A804" s="2">
        <v>2025.0</v>
      </c>
      <c r="B804" s="1" t="s">
        <v>745</v>
      </c>
      <c r="C804" s="2" t="s">
        <v>844</v>
      </c>
      <c r="D804" s="2" t="s">
        <v>851</v>
      </c>
      <c r="E804" s="2" t="s">
        <v>56</v>
      </c>
      <c r="F804" s="2">
        <v>1985.0</v>
      </c>
      <c r="G804" s="2">
        <v>2571951.0</v>
      </c>
      <c r="H804" s="2">
        <v>2573936.0</v>
      </c>
      <c r="I804" s="2">
        <v>1764326.0</v>
      </c>
      <c r="J804" s="2">
        <v>809610.0</v>
      </c>
    </row>
    <row r="805">
      <c r="A805" s="2">
        <v>2025.0</v>
      </c>
      <c r="B805" s="1" t="s">
        <v>745</v>
      </c>
      <c r="C805" s="2" t="s">
        <v>844</v>
      </c>
      <c r="D805" s="2" t="s">
        <v>276</v>
      </c>
      <c r="E805" s="2" t="s">
        <v>686</v>
      </c>
      <c r="F805" s="2">
        <v>1406849.0</v>
      </c>
      <c r="G805" s="2">
        <v>541964.0</v>
      </c>
      <c r="H805" s="2">
        <v>1948813.0</v>
      </c>
      <c r="I805" s="2">
        <v>561227.0</v>
      </c>
      <c r="J805" s="2">
        <v>1387586.0</v>
      </c>
    </row>
    <row r="806">
      <c r="A806" s="2">
        <v>2025.0</v>
      </c>
      <c r="B806" s="1" t="s">
        <v>745</v>
      </c>
      <c r="C806" s="2" t="s">
        <v>844</v>
      </c>
      <c r="D806" s="2" t="s">
        <v>276</v>
      </c>
      <c r="E806" s="2" t="s">
        <v>56</v>
      </c>
      <c r="F806" s="2">
        <v>1469324.0</v>
      </c>
      <c r="G806" s="2">
        <v>3979433.0</v>
      </c>
      <c r="H806" s="2">
        <v>5448757.0</v>
      </c>
      <c r="I806" s="2">
        <v>3056659.0</v>
      </c>
      <c r="J806" s="2">
        <v>2392098.0</v>
      </c>
    </row>
    <row r="807">
      <c r="A807" s="2">
        <v>2025.0</v>
      </c>
      <c r="B807" s="1" t="s">
        <v>745</v>
      </c>
      <c r="C807" s="2" t="s">
        <v>844</v>
      </c>
      <c r="D807" s="2" t="s">
        <v>276</v>
      </c>
      <c r="E807" s="2" t="s">
        <v>348</v>
      </c>
      <c r="F807" s="2">
        <v>0.0</v>
      </c>
      <c r="G807" s="2">
        <v>102476.0</v>
      </c>
      <c r="H807" s="2">
        <v>102476.0</v>
      </c>
      <c r="I807" s="2">
        <v>65339.0</v>
      </c>
      <c r="J807" s="2">
        <v>37137.0</v>
      </c>
    </row>
    <row r="808">
      <c r="A808" s="2">
        <v>2025.0</v>
      </c>
      <c r="B808" s="1" t="s">
        <v>745</v>
      </c>
      <c r="C808" s="2" t="s">
        <v>844</v>
      </c>
      <c r="D808" s="2" t="s">
        <v>276</v>
      </c>
      <c r="E808" s="2" t="s">
        <v>853</v>
      </c>
      <c r="F808" s="2">
        <v>11005.0</v>
      </c>
      <c r="G808" s="2">
        <v>206403.0</v>
      </c>
      <c r="H808" s="2">
        <v>217408.0</v>
      </c>
      <c r="I808" s="2">
        <v>215525.0</v>
      </c>
      <c r="J808" s="2">
        <v>1883.0</v>
      </c>
    </row>
    <row r="809">
      <c r="A809" s="2">
        <v>2025.0</v>
      </c>
      <c r="B809" s="1" t="s">
        <v>745</v>
      </c>
      <c r="C809" s="2" t="s">
        <v>844</v>
      </c>
      <c r="D809" s="2" t="s">
        <v>854</v>
      </c>
      <c r="E809" s="2" t="s">
        <v>855</v>
      </c>
      <c r="F809" s="2">
        <v>2546439.0</v>
      </c>
      <c r="G809" s="2">
        <v>3031831.0</v>
      </c>
      <c r="H809" s="2">
        <v>5578270.0</v>
      </c>
      <c r="I809" s="2">
        <v>2963138.0</v>
      </c>
      <c r="J809" s="2">
        <v>2615132.0</v>
      </c>
    </row>
    <row r="810">
      <c r="A810" s="2">
        <v>2025.0</v>
      </c>
      <c r="B810" s="1" t="s">
        <v>745</v>
      </c>
      <c r="C810" s="2" t="s">
        <v>844</v>
      </c>
      <c r="D810" s="2" t="s">
        <v>854</v>
      </c>
      <c r="E810" s="2" t="s">
        <v>348</v>
      </c>
      <c r="F810" s="2">
        <v>0.0</v>
      </c>
      <c r="G810" s="2">
        <v>116260.0</v>
      </c>
      <c r="H810" s="2">
        <v>116260.0</v>
      </c>
      <c r="I810" s="2">
        <v>44202.0</v>
      </c>
      <c r="J810" s="2">
        <v>72058.0</v>
      </c>
    </row>
    <row r="811">
      <c r="A811" s="2">
        <v>2025.0</v>
      </c>
      <c r="B811" s="1" t="s">
        <v>745</v>
      </c>
      <c r="C811" s="2" t="s">
        <v>844</v>
      </c>
      <c r="D811" s="2" t="s">
        <v>854</v>
      </c>
      <c r="E811" s="2" t="s">
        <v>856</v>
      </c>
      <c r="F811" s="2">
        <v>17061.0</v>
      </c>
      <c r="G811" s="2">
        <v>648.0</v>
      </c>
      <c r="H811" s="2">
        <v>17709.0</v>
      </c>
      <c r="I811" s="2">
        <v>0.0</v>
      </c>
      <c r="J811" s="2">
        <v>17709.0</v>
      </c>
    </row>
    <row r="812">
      <c r="A812" s="2">
        <v>2025.0</v>
      </c>
      <c r="B812" s="1" t="s">
        <v>745</v>
      </c>
      <c r="C812" s="2" t="s">
        <v>844</v>
      </c>
      <c r="D812" s="2" t="s">
        <v>854</v>
      </c>
      <c r="E812" s="2" t="s">
        <v>853</v>
      </c>
      <c r="F812" s="2">
        <v>187169.0</v>
      </c>
      <c r="G812" s="2">
        <v>36305.0</v>
      </c>
      <c r="H812" s="2">
        <v>223474.0</v>
      </c>
      <c r="I812" s="2">
        <v>220958.0</v>
      </c>
      <c r="J812" s="2">
        <v>2516.0</v>
      </c>
    </row>
    <row r="813">
      <c r="A813" s="2">
        <v>2025.0</v>
      </c>
      <c r="B813" s="1" t="s">
        <v>745</v>
      </c>
      <c r="C813" s="2" t="s">
        <v>844</v>
      </c>
      <c r="D813" s="2" t="s">
        <v>854</v>
      </c>
      <c r="E813" s="2" t="s">
        <v>25</v>
      </c>
      <c r="F813" s="2">
        <v>2161011.0</v>
      </c>
      <c r="G813" s="2">
        <v>562809.0</v>
      </c>
      <c r="H813" s="2">
        <v>2723820.0</v>
      </c>
      <c r="I813" s="2">
        <v>1008610.0</v>
      </c>
      <c r="J813" s="2">
        <v>1715210.0</v>
      </c>
    </row>
    <row r="814">
      <c r="A814" s="2">
        <v>2025.0</v>
      </c>
      <c r="B814" s="1" t="s">
        <v>745</v>
      </c>
      <c r="C814" s="2" t="s">
        <v>844</v>
      </c>
      <c r="D814" s="2" t="s">
        <v>857</v>
      </c>
      <c r="E814" s="2" t="s">
        <v>686</v>
      </c>
      <c r="F814" s="2">
        <v>3779443.0</v>
      </c>
      <c r="G814" s="2">
        <v>401212.0</v>
      </c>
      <c r="H814" s="2">
        <v>4180655.0</v>
      </c>
      <c r="I814" s="2">
        <v>1594712.0</v>
      </c>
      <c r="J814" s="2">
        <v>2585943.0</v>
      </c>
    </row>
    <row r="815">
      <c r="A815" s="2">
        <v>2025.0</v>
      </c>
      <c r="B815" s="1" t="s">
        <v>745</v>
      </c>
      <c r="C815" s="2" t="s">
        <v>844</v>
      </c>
      <c r="D815" s="2" t="s">
        <v>857</v>
      </c>
      <c r="E815" s="2" t="s">
        <v>32</v>
      </c>
      <c r="F815" s="2">
        <v>23489.0</v>
      </c>
      <c r="G815" s="2">
        <v>132705.0</v>
      </c>
      <c r="H815" s="2">
        <v>156194.0</v>
      </c>
      <c r="I815" s="2">
        <v>92810.0</v>
      </c>
      <c r="J815" s="2">
        <v>63384.0</v>
      </c>
    </row>
    <row r="816">
      <c r="A816" s="2">
        <v>2025.0</v>
      </c>
      <c r="B816" s="1" t="s">
        <v>745</v>
      </c>
      <c r="C816" s="2" t="s">
        <v>844</v>
      </c>
      <c r="D816" s="2" t="s">
        <v>857</v>
      </c>
      <c r="E816" s="2" t="s">
        <v>858</v>
      </c>
      <c r="F816" s="2">
        <v>3174012.0</v>
      </c>
      <c r="G816" s="2">
        <v>2207252.0</v>
      </c>
      <c r="H816" s="2">
        <v>5381264.0</v>
      </c>
      <c r="I816" s="2">
        <v>2850947.0</v>
      </c>
      <c r="J816" s="2">
        <v>2530317.0</v>
      </c>
    </row>
    <row r="817">
      <c r="A817" s="2">
        <v>2025.0</v>
      </c>
      <c r="B817" s="1" t="s">
        <v>745</v>
      </c>
      <c r="C817" s="2" t="s">
        <v>859</v>
      </c>
      <c r="D817" s="2" t="s">
        <v>860</v>
      </c>
      <c r="E817" s="2" t="s">
        <v>861</v>
      </c>
      <c r="F817" s="2">
        <v>1761022.0</v>
      </c>
      <c r="G817" s="2">
        <v>4059489.0</v>
      </c>
      <c r="H817" s="2">
        <v>5820511.0</v>
      </c>
      <c r="I817" s="2">
        <v>4109213.0</v>
      </c>
      <c r="J817" s="2">
        <v>1711298.0</v>
      </c>
    </row>
    <row r="818">
      <c r="A818" s="2">
        <v>2025.0</v>
      </c>
      <c r="B818" s="1" t="s">
        <v>745</v>
      </c>
      <c r="C818" s="2" t="s">
        <v>859</v>
      </c>
      <c r="D818" s="2" t="s">
        <v>860</v>
      </c>
      <c r="E818" s="2" t="s">
        <v>862</v>
      </c>
      <c r="F818" s="2">
        <v>3850.0</v>
      </c>
      <c r="G818" s="2">
        <v>181172.0</v>
      </c>
      <c r="H818" s="2">
        <v>185022.0</v>
      </c>
      <c r="I818" s="2">
        <v>64265.0</v>
      </c>
      <c r="J818" s="2">
        <v>120757.0</v>
      </c>
    </row>
    <row r="819">
      <c r="A819" s="2">
        <v>2025.0</v>
      </c>
      <c r="B819" s="1" t="s">
        <v>745</v>
      </c>
      <c r="C819" s="2" t="s">
        <v>859</v>
      </c>
      <c r="D819" s="2" t="s">
        <v>860</v>
      </c>
      <c r="E819" s="2" t="s">
        <v>25</v>
      </c>
      <c r="F819" s="2">
        <v>1363586.0</v>
      </c>
      <c r="G819" s="2">
        <v>578205.0</v>
      </c>
      <c r="H819" s="2">
        <v>1941791.0</v>
      </c>
      <c r="I819" s="2">
        <v>271417.0</v>
      </c>
      <c r="J819" s="2">
        <v>1670374.0</v>
      </c>
    </row>
    <row r="820">
      <c r="A820" s="2">
        <v>2025.0</v>
      </c>
      <c r="B820" s="1" t="s">
        <v>745</v>
      </c>
      <c r="C820" s="2" t="s">
        <v>859</v>
      </c>
      <c r="D820" s="2" t="s">
        <v>864</v>
      </c>
      <c r="E820" s="2" t="s">
        <v>686</v>
      </c>
      <c r="F820" s="2">
        <v>1311710.0</v>
      </c>
      <c r="G820" s="2">
        <v>479177.0</v>
      </c>
      <c r="H820" s="2">
        <v>1790887.0</v>
      </c>
      <c r="I820" s="2">
        <v>806726.0</v>
      </c>
      <c r="J820" s="2">
        <v>984161.0</v>
      </c>
    </row>
    <row r="821">
      <c r="A821" s="2">
        <v>2025.0</v>
      </c>
      <c r="B821" s="1" t="s">
        <v>745</v>
      </c>
      <c r="C821" s="2" t="s">
        <v>859</v>
      </c>
      <c r="D821" s="2" t="s">
        <v>864</v>
      </c>
      <c r="E821" s="2" t="s">
        <v>865</v>
      </c>
      <c r="F821" s="2">
        <v>2397728.0</v>
      </c>
      <c r="G821" s="2">
        <v>3146269.0</v>
      </c>
      <c r="H821" s="2">
        <v>5543997.0</v>
      </c>
      <c r="I821" s="2">
        <v>2379606.0</v>
      </c>
      <c r="J821" s="2">
        <v>3164391.0</v>
      </c>
    </row>
    <row r="822">
      <c r="A822" s="2">
        <v>2025.0</v>
      </c>
      <c r="B822" s="1" t="s">
        <v>745</v>
      </c>
      <c r="C822" s="2" t="s">
        <v>859</v>
      </c>
      <c r="D822" s="2" t="s">
        <v>864</v>
      </c>
      <c r="E822" s="2" t="s">
        <v>805</v>
      </c>
      <c r="F822" s="2">
        <v>1118228.0</v>
      </c>
      <c r="G822" s="2">
        <v>103609.0</v>
      </c>
      <c r="H822" s="2">
        <v>1221837.0</v>
      </c>
      <c r="I822" s="2">
        <v>0.0</v>
      </c>
      <c r="J822" s="2">
        <v>1221837.0</v>
      </c>
    </row>
    <row r="823">
      <c r="A823" s="2">
        <v>2025.0</v>
      </c>
      <c r="B823" s="1" t="s">
        <v>745</v>
      </c>
      <c r="C823" s="2" t="s">
        <v>859</v>
      </c>
      <c r="D823" s="2" t="s">
        <v>866</v>
      </c>
      <c r="E823" s="2" t="s">
        <v>32</v>
      </c>
      <c r="F823" s="2">
        <v>0.0</v>
      </c>
      <c r="G823" s="2">
        <v>69863.0</v>
      </c>
      <c r="H823" s="2">
        <v>69863.0</v>
      </c>
      <c r="I823" s="2">
        <v>21088.0</v>
      </c>
      <c r="J823" s="2">
        <v>48775.0</v>
      </c>
    </row>
    <row r="824">
      <c r="A824" s="2">
        <v>2025.0</v>
      </c>
      <c r="B824" s="1" t="s">
        <v>745</v>
      </c>
      <c r="C824" s="2" t="s">
        <v>859</v>
      </c>
      <c r="D824" s="2" t="s">
        <v>866</v>
      </c>
      <c r="E824" s="2" t="s">
        <v>47</v>
      </c>
      <c r="F824" s="2">
        <v>6517893.0</v>
      </c>
      <c r="G824" s="2">
        <v>3754245.0</v>
      </c>
      <c r="H824" s="2">
        <v>1.0272138E7</v>
      </c>
      <c r="I824" s="2">
        <v>5610658.0</v>
      </c>
      <c r="J824" s="2">
        <v>4661480.0</v>
      </c>
    </row>
    <row r="825">
      <c r="A825" s="2">
        <v>2025.0</v>
      </c>
      <c r="B825" s="1" t="s">
        <v>745</v>
      </c>
      <c r="C825" s="2" t="s">
        <v>859</v>
      </c>
      <c r="D825" s="2" t="s">
        <v>866</v>
      </c>
      <c r="E825" s="2" t="s">
        <v>25</v>
      </c>
      <c r="F825" s="2">
        <v>4348232.0</v>
      </c>
      <c r="G825" s="2">
        <v>782183.0</v>
      </c>
      <c r="H825" s="2">
        <v>5130415.0</v>
      </c>
      <c r="I825" s="2">
        <v>286000.0</v>
      </c>
      <c r="J825" s="2">
        <v>4844415.0</v>
      </c>
    </row>
    <row r="826">
      <c r="A826" s="2">
        <v>2025.0</v>
      </c>
      <c r="B826" s="1" t="s">
        <v>745</v>
      </c>
      <c r="C826" s="2" t="s">
        <v>859</v>
      </c>
      <c r="D826" s="2" t="s">
        <v>869</v>
      </c>
      <c r="E826" s="2" t="s">
        <v>686</v>
      </c>
      <c r="F826" s="2">
        <v>2728744.0</v>
      </c>
      <c r="G826" s="2">
        <v>759419.0</v>
      </c>
      <c r="H826" s="2">
        <v>3488163.0</v>
      </c>
      <c r="I826" s="2">
        <v>1479319.0</v>
      </c>
      <c r="J826" s="2">
        <v>2008844.0</v>
      </c>
    </row>
    <row r="827">
      <c r="A827" s="2">
        <v>2025.0</v>
      </c>
      <c r="B827" s="1" t="s">
        <v>745</v>
      </c>
      <c r="C827" s="2" t="s">
        <v>859</v>
      </c>
      <c r="D827" s="2" t="s">
        <v>869</v>
      </c>
      <c r="E827" s="2" t="s">
        <v>56</v>
      </c>
      <c r="F827" s="2">
        <v>2327258.0</v>
      </c>
      <c r="G827" s="2">
        <v>5037842.0</v>
      </c>
      <c r="H827" s="2">
        <v>7365100.0</v>
      </c>
      <c r="I827" s="2">
        <v>3384590.0</v>
      </c>
      <c r="J827" s="2">
        <v>3980510.0</v>
      </c>
    </row>
    <row r="828">
      <c r="A828" s="2">
        <v>2025.0</v>
      </c>
      <c r="B828" s="1" t="s">
        <v>745</v>
      </c>
      <c r="C828" s="2" t="s">
        <v>859</v>
      </c>
      <c r="D828" s="2" t="s">
        <v>869</v>
      </c>
      <c r="E828" s="2" t="s">
        <v>32</v>
      </c>
      <c r="F828" s="2">
        <v>0.0</v>
      </c>
      <c r="G828" s="2">
        <v>72515.0</v>
      </c>
      <c r="H828" s="2">
        <v>72515.0</v>
      </c>
      <c r="I828" s="2">
        <v>0.0</v>
      </c>
      <c r="J828" s="2">
        <v>72515.0</v>
      </c>
    </row>
    <row r="829">
      <c r="A829" s="2">
        <v>2025.0</v>
      </c>
      <c r="B829" s="1" t="s">
        <v>745</v>
      </c>
      <c r="C829" s="2" t="s">
        <v>859</v>
      </c>
      <c r="D829" s="2" t="s">
        <v>872</v>
      </c>
      <c r="E829" s="2" t="s">
        <v>686</v>
      </c>
      <c r="F829" s="2">
        <v>0.0</v>
      </c>
      <c r="G829" s="2">
        <v>297244.0</v>
      </c>
      <c r="H829" s="2">
        <v>297244.0</v>
      </c>
      <c r="I829" s="2">
        <v>0.0</v>
      </c>
      <c r="J829" s="2">
        <v>297244.0</v>
      </c>
    </row>
    <row r="830">
      <c r="A830" s="2">
        <v>2025.0</v>
      </c>
      <c r="B830" s="1" t="s">
        <v>745</v>
      </c>
      <c r="C830" s="2" t="s">
        <v>859</v>
      </c>
      <c r="D830" s="2" t="s">
        <v>872</v>
      </c>
      <c r="E830" s="2" t="s">
        <v>777</v>
      </c>
      <c r="F830" s="2">
        <v>29019.0</v>
      </c>
      <c r="G830" s="2">
        <v>1176309.0</v>
      </c>
      <c r="H830" s="2">
        <v>1205328.0</v>
      </c>
      <c r="I830" s="2">
        <v>1176412.0</v>
      </c>
      <c r="J830" s="2">
        <v>28916.0</v>
      </c>
    </row>
    <row r="831">
      <c r="A831" s="2">
        <v>2025.0</v>
      </c>
      <c r="B831" s="1" t="s">
        <v>745</v>
      </c>
      <c r="C831" s="2" t="s">
        <v>859</v>
      </c>
      <c r="D831" s="2" t="s">
        <v>872</v>
      </c>
      <c r="E831" s="2" t="s">
        <v>32</v>
      </c>
      <c r="F831" s="2">
        <v>0.0</v>
      </c>
      <c r="G831" s="2">
        <v>87137.0</v>
      </c>
      <c r="H831" s="2">
        <v>87137.0</v>
      </c>
      <c r="I831" s="2">
        <v>6000.0</v>
      </c>
      <c r="J831" s="2">
        <v>81137.0</v>
      </c>
    </row>
    <row r="832">
      <c r="A832" s="2">
        <v>2025.0</v>
      </c>
      <c r="B832" s="1" t="s">
        <v>745</v>
      </c>
      <c r="C832" s="2" t="s">
        <v>859</v>
      </c>
      <c r="D832" s="2" t="s">
        <v>873</v>
      </c>
      <c r="E832" s="2" t="s">
        <v>78</v>
      </c>
      <c r="F832" s="2">
        <v>828254.0</v>
      </c>
      <c r="G832" s="2">
        <v>1597369.0</v>
      </c>
      <c r="H832" s="2">
        <v>2425623.0</v>
      </c>
      <c r="I832" s="2">
        <v>1106184.0</v>
      </c>
      <c r="J832" s="2">
        <v>1319439.0</v>
      </c>
    </row>
    <row r="833">
      <c r="A833" s="2">
        <v>2025.0</v>
      </c>
      <c r="B833" s="1" t="s">
        <v>745</v>
      </c>
      <c r="C833" s="2" t="s">
        <v>859</v>
      </c>
      <c r="D833" s="2" t="s">
        <v>873</v>
      </c>
      <c r="E833" s="2" t="s">
        <v>25</v>
      </c>
      <c r="F833" s="2">
        <v>2028669.0</v>
      </c>
      <c r="G833" s="2">
        <v>892015.0</v>
      </c>
      <c r="H833" s="2">
        <v>2920684.0</v>
      </c>
      <c r="I833" s="2">
        <v>1667971.0</v>
      </c>
      <c r="J833" s="2">
        <v>1252713.0</v>
      </c>
    </row>
    <row r="834">
      <c r="A834" s="2">
        <v>2025.0</v>
      </c>
      <c r="B834" s="1" t="s">
        <v>745</v>
      </c>
      <c r="C834" s="2" t="s">
        <v>859</v>
      </c>
      <c r="D834" s="2" t="s">
        <v>873</v>
      </c>
      <c r="E834" s="2" t="s">
        <v>760</v>
      </c>
      <c r="F834" s="2">
        <v>82734.0</v>
      </c>
      <c r="G834" s="2">
        <v>2182988.0</v>
      </c>
      <c r="H834" s="2">
        <v>2265722.0</v>
      </c>
      <c r="I834" s="2">
        <v>2203375.0</v>
      </c>
      <c r="J834" s="2">
        <v>62347.0</v>
      </c>
    </row>
    <row r="835">
      <c r="A835" s="2">
        <v>2025.0</v>
      </c>
      <c r="B835" s="1" t="s">
        <v>745</v>
      </c>
      <c r="C835" s="2" t="s">
        <v>859</v>
      </c>
      <c r="D835" s="2" t="s">
        <v>874</v>
      </c>
      <c r="E835" s="2" t="s">
        <v>686</v>
      </c>
      <c r="F835" s="2">
        <v>1475816.0</v>
      </c>
      <c r="G835" s="2">
        <v>575446.0</v>
      </c>
      <c r="H835" s="2">
        <v>2051262.0</v>
      </c>
      <c r="I835" s="2">
        <v>503453.0</v>
      </c>
      <c r="J835" s="2">
        <v>1547809.0</v>
      </c>
    </row>
    <row r="836">
      <c r="A836" s="2">
        <v>2025.0</v>
      </c>
      <c r="B836" s="1" t="s">
        <v>745</v>
      </c>
      <c r="C836" s="2" t="s">
        <v>859</v>
      </c>
      <c r="D836" s="2" t="s">
        <v>874</v>
      </c>
      <c r="E836" s="2" t="s">
        <v>394</v>
      </c>
      <c r="F836" s="2">
        <v>925931.0</v>
      </c>
      <c r="G836" s="2">
        <v>2691678.0</v>
      </c>
      <c r="H836" s="2">
        <v>3617609.0</v>
      </c>
      <c r="I836" s="2">
        <v>2798490.0</v>
      </c>
      <c r="J836" s="2">
        <v>819119.0</v>
      </c>
    </row>
    <row r="837">
      <c r="A837" s="2">
        <v>2025.0</v>
      </c>
      <c r="B837" s="1" t="s">
        <v>745</v>
      </c>
      <c r="C837" s="2" t="s">
        <v>859</v>
      </c>
      <c r="D837" s="2" t="s">
        <v>874</v>
      </c>
      <c r="E837" s="2" t="s">
        <v>329</v>
      </c>
      <c r="F837" s="2">
        <v>65098.0</v>
      </c>
      <c r="G837" s="2">
        <v>1788694.0</v>
      </c>
      <c r="H837" s="2">
        <v>1853792.0</v>
      </c>
      <c r="I837" s="2">
        <v>1700807.0</v>
      </c>
      <c r="J837" s="2">
        <v>152985.0</v>
      </c>
    </row>
    <row r="838">
      <c r="A838" s="2">
        <v>2025.0</v>
      </c>
      <c r="B838" s="1" t="s">
        <v>745</v>
      </c>
      <c r="C838" s="2" t="s">
        <v>859</v>
      </c>
      <c r="D838" s="2" t="s">
        <v>875</v>
      </c>
      <c r="E838" s="2" t="s">
        <v>686</v>
      </c>
      <c r="F838" s="2">
        <v>2626328.0</v>
      </c>
      <c r="G838" s="2">
        <v>933538.0</v>
      </c>
      <c r="H838" s="2">
        <v>3559866.0</v>
      </c>
      <c r="I838" s="2">
        <v>1823280.0</v>
      </c>
      <c r="J838" s="2">
        <v>1736586.0</v>
      </c>
    </row>
    <row r="839">
      <c r="A839" s="2">
        <v>2025.0</v>
      </c>
      <c r="B839" s="1" t="s">
        <v>745</v>
      </c>
      <c r="C839" s="2" t="s">
        <v>859</v>
      </c>
      <c r="D839" s="2"/>
      <c r="E839" s="2" t="s">
        <v>779</v>
      </c>
      <c r="F839" s="2">
        <v>86189.0</v>
      </c>
      <c r="G839" s="2">
        <v>17579.0</v>
      </c>
      <c r="H839" s="2">
        <v>103768.0</v>
      </c>
      <c r="I839" s="2">
        <v>49990.0</v>
      </c>
      <c r="J839" s="2">
        <v>53778.0</v>
      </c>
    </row>
    <row r="840">
      <c r="A840" s="2">
        <v>2025.0</v>
      </c>
      <c r="B840" s="1" t="s">
        <v>745</v>
      </c>
      <c r="C840" s="2" t="s">
        <v>859</v>
      </c>
      <c r="D840" s="2"/>
      <c r="E840" s="2" t="s">
        <v>78</v>
      </c>
      <c r="F840" s="2">
        <v>3765253.0</v>
      </c>
      <c r="G840" s="2">
        <v>3957186.0</v>
      </c>
      <c r="H840" s="2">
        <v>7722439.0</v>
      </c>
      <c r="I840" s="2">
        <v>4144282.0</v>
      </c>
      <c r="J840" s="2">
        <v>3578157.0</v>
      </c>
    </row>
    <row r="841">
      <c r="A841" s="2">
        <v>2025.0</v>
      </c>
      <c r="B841" s="1" t="s">
        <v>745</v>
      </c>
      <c r="C841" s="2" t="s">
        <v>859</v>
      </c>
      <c r="D841" s="2"/>
      <c r="E841" s="2" t="s">
        <v>775</v>
      </c>
      <c r="F841" s="2">
        <v>0.0</v>
      </c>
      <c r="G841" s="2">
        <v>1199493.0</v>
      </c>
      <c r="H841" s="2">
        <v>1199493.0</v>
      </c>
      <c r="I841" s="2">
        <v>769297.0</v>
      </c>
      <c r="J841" s="2">
        <v>430196.0</v>
      </c>
    </row>
    <row r="842">
      <c r="A842" s="2">
        <v>2025.0</v>
      </c>
      <c r="B842" s="1" t="s">
        <v>745</v>
      </c>
      <c r="C842" s="2" t="s">
        <v>859</v>
      </c>
      <c r="D842" s="2"/>
      <c r="E842" s="2" t="s">
        <v>805</v>
      </c>
      <c r="F842" s="2">
        <v>161042.0</v>
      </c>
      <c r="G842" s="2">
        <v>807828.0</v>
      </c>
      <c r="H842" s="2">
        <v>968870.0</v>
      </c>
      <c r="I842" s="2">
        <v>850283.0</v>
      </c>
      <c r="J842" s="2">
        <v>118587.0</v>
      </c>
    </row>
    <row r="843">
      <c r="A843" s="2">
        <v>2025.0</v>
      </c>
      <c r="B843" s="1" t="s">
        <v>745</v>
      </c>
      <c r="C843" s="2" t="s">
        <v>859</v>
      </c>
      <c r="D843" s="2"/>
      <c r="E843" s="2" t="s">
        <v>457</v>
      </c>
      <c r="F843" s="2">
        <v>21969.0</v>
      </c>
      <c r="G843" s="2">
        <v>93.0</v>
      </c>
      <c r="H843" s="2">
        <v>22062.0</v>
      </c>
      <c r="I843" s="2">
        <v>22062.0</v>
      </c>
      <c r="J843" s="2">
        <v>0.0</v>
      </c>
    </row>
    <row r="844">
      <c r="A844" s="2">
        <v>2025.0</v>
      </c>
      <c r="B844" s="1" t="s">
        <v>745</v>
      </c>
      <c r="C844" s="2" t="s">
        <v>859</v>
      </c>
      <c r="D844" s="2" t="s">
        <v>878</v>
      </c>
      <c r="E844" s="2" t="s">
        <v>686</v>
      </c>
      <c r="F844" s="2">
        <v>1894596.0</v>
      </c>
      <c r="G844" s="2">
        <v>545382.0</v>
      </c>
      <c r="H844" s="2">
        <v>2439978.0</v>
      </c>
      <c r="I844" s="2">
        <v>516720.0</v>
      </c>
      <c r="J844" s="2">
        <v>1923258.0</v>
      </c>
    </row>
    <row r="845">
      <c r="A845" s="2">
        <v>2025.0</v>
      </c>
      <c r="B845" s="1" t="s">
        <v>745</v>
      </c>
      <c r="C845" s="2" t="s">
        <v>859</v>
      </c>
      <c r="D845" s="2"/>
      <c r="E845" s="2" t="s">
        <v>32</v>
      </c>
      <c r="F845" s="2">
        <v>416535.0</v>
      </c>
      <c r="G845" s="2">
        <v>137766.0</v>
      </c>
      <c r="H845" s="2">
        <v>554301.0</v>
      </c>
      <c r="I845" s="2">
        <v>339562.0</v>
      </c>
      <c r="J845" s="2">
        <v>214739.0</v>
      </c>
    </row>
    <row r="846">
      <c r="A846" s="2">
        <v>2025.0</v>
      </c>
      <c r="B846" s="1" t="s">
        <v>745</v>
      </c>
      <c r="C846" s="2" t="s">
        <v>859</v>
      </c>
      <c r="D846" s="2"/>
      <c r="E846" s="2" t="s">
        <v>56</v>
      </c>
      <c r="F846" s="2">
        <v>3403748.0</v>
      </c>
      <c r="G846" s="2">
        <v>3255384.0</v>
      </c>
      <c r="H846" s="2">
        <v>6659132.0</v>
      </c>
      <c r="I846" s="2">
        <v>2115213.0</v>
      </c>
      <c r="J846" s="2">
        <v>4543919.0</v>
      </c>
    </row>
    <row r="847">
      <c r="A847" s="2">
        <v>2025.0</v>
      </c>
      <c r="B847" s="1" t="s">
        <v>745</v>
      </c>
      <c r="C847" s="2" t="s">
        <v>859</v>
      </c>
      <c r="D847" s="2" t="s">
        <v>879</v>
      </c>
      <c r="E847" s="2" t="s">
        <v>686</v>
      </c>
      <c r="F847" s="2">
        <v>2329215.0</v>
      </c>
      <c r="G847" s="2">
        <v>503799.0</v>
      </c>
      <c r="H847" s="2">
        <v>2833014.0</v>
      </c>
      <c r="I847" s="2">
        <v>838320.0</v>
      </c>
      <c r="J847" s="2">
        <v>1994694.0</v>
      </c>
    </row>
    <row r="848">
      <c r="A848" s="2">
        <v>2025.0</v>
      </c>
      <c r="B848" s="1" t="s">
        <v>745</v>
      </c>
      <c r="C848" s="2" t="s">
        <v>859</v>
      </c>
      <c r="D848" s="2"/>
      <c r="E848" s="2" t="s">
        <v>32</v>
      </c>
      <c r="F848" s="2">
        <v>2058.0</v>
      </c>
      <c r="G848" s="2">
        <v>21233.0</v>
      </c>
      <c r="H848" s="2">
        <v>23291.0</v>
      </c>
      <c r="I848" s="2">
        <v>9600.0</v>
      </c>
      <c r="J848" s="2">
        <v>13691.0</v>
      </c>
    </row>
    <row r="849">
      <c r="A849" s="2">
        <v>2025.0</v>
      </c>
      <c r="B849" s="1" t="s">
        <v>745</v>
      </c>
      <c r="C849" s="2" t="s">
        <v>859</v>
      </c>
      <c r="D849" s="2"/>
      <c r="E849" s="2" t="s">
        <v>329</v>
      </c>
      <c r="F849" s="2">
        <v>65285.0</v>
      </c>
      <c r="G849" s="2">
        <v>1649604.0</v>
      </c>
      <c r="H849" s="2">
        <v>1714889.0</v>
      </c>
      <c r="I849" s="2">
        <v>1435867.0</v>
      </c>
      <c r="J849" s="2">
        <v>279022.0</v>
      </c>
    </row>
    <row r="850">
      <c r="A850" s="2">
        <v>2025.0</v>
      </c>
      <c r="B850" s="1" t="s">
        <v>745</v>
      </c>
      <c r="C850" s="2" t="s">
        <v>859</v>
      </c>
      <c r="D850" s="2"/>
      <c r="E850" s="2" t="s">
        <v>78</v>
      </c>
      <c r="F850" s="2">
        <v>1175570.0</v>
      </c>
      <c r="G850" s="2">
        <v>1683265.0</v>
      </c>
      <c r="H850" s="2">
        <v>2858835.0</v>
      </c>
      <c r="I850" s="2">
        <v>1353156.0</v>
      </c>
      <c r="J850" s="2">
        <v>1505679.0</v>
      </c>
    </row>
    <row r="851">
      <c r="A851" s="2">
        <v>2025.0</v>
      </c>
      <c r="B851" s="1" t="s">
        <v>745</v>
      </c>
      <c r="C851" s="2" t="s">
        <v>880</v>
      </c>
      <c r="D851" s="2" t="s">
        <v>293</v>
      </c>
      <c r="E851" s="2" t="s">
        <v>686</v>
      </c>
      <c r="F851" s="2">
        <v>3008787.0</v>
      </c>
      <c r="G851" s="2">
        <v>1026880.0</v>
      </c>
      <c r="H851" s="2">
        <v>4035667.0</v>
      </c>
      <c r="I851" s="2">
        <v>1584220.0</v>
      </c>
      <c r="J851" s="2">
        <v>2451447.0</v>
      </c>
    </row>
    <row r="852">
      <c r="A852" s="2">
        <v>2025.0</v>
      </c>
      <c r="B852" s="1" t="s">
        <v>745</v>
      </c>
      <c r="C852" s="2" t="s">
        <v>880</v>
      </c>
      <c r="D852" s="2"/>
      <c r="E852" s="2" t="s">
        <v>56</v>
      </c>
      <c r="F852" s="2">
        <v>1985938.0</v>
      </c>
      <c r="G852" s="2">
        <v>4982957.0</v>
      </c>
      <c r="H852" s="2">
        <v>6968895.0</v>
      </c>
      <c r="I852" s="2">
        <v>3656054.0</v>
      </c>
      <c r="J852" s="2">
        <v>3312841.0</v>
      </c>
    </row>
    <row r="853">
      <c r="A853" s="2">
        <v>2025.0</v>
      </c>
      <c r="B853" s="1" t="s">
        <v>745</v>
      </c>
      <c r="C853" s="2" t="s">
        <v>880</v>
      </c>
      <c r="D853" s="2"/>
      <c r="E853" s="2" t="s">
        <v>32</v>
      </c>
      <c r="F853" s="2">
        <v>33252.0</v>
      </c>
      <c r="G853" s="2">
        <v>263138.0</v>
      </c>
      <c r="H853" s="2">
        <v>296390.0</v>
      </c>
      <c r="I853" s="2">
        <v>102105.0</v>
      </c>
      <c r="J853" s="2">
        <v>194285.0</v>
      </c>
    </row>
    <row r="854">
      <c r="A854" s="2">
        <v>2025.0</v>
      </c>
      <c r="B854" s="1" t="s">
        <v>745</v>
      </c>
      <c r="C854" s="2" t="s">
        <v>880</v>
      </c>
      <c r="D854" s="2" t="s">
        <v>880</v>
      </c>
      <c r="E854" s="2" t="s">
        <v>686</v>
      </c>
      <c r="F854" s="2">
        <v>2649315.0</v>
      </c>
      <c r="G854" s="2">
        <v>571325.0</v>
      </c>
      <c r="H854" s="2">
        <v>3220640.0</v>
      </c>
      <c r="I854" s="2">
        <v>1345010.0</v>
      </c>
      <c r="J854" s="2">
        <v>1875630.0</v>
      </c>
    </row>
    <row r="855">
      <c r="A855" s="2">
        <v>2025.0</v>
      </c>
      <c r="B855" s="1" t="s">
        <v>745</v>
      </c>
      <c r="C855" s="2" t="s">
        <v>880</v>
      </c>
      <c r="D855" s="2"/>
      <c r="E855" s="2" t="s">
        <v>394</v>
      </c>
      <c r="F855" s="2">
        <v>2618723.0</v>
      </c>
      <c r="G855" s="2">
        <v>3268686.0</v>
      </c>
      <c r="H855" s="2">
        <v>5887409.0</v>
      </c>
      <c r="I855" s="2">
        <v>2791172.0</v>
      </c>
      <c r="J855" s="2">
        <v>3096237.0</v>
      </c>
    </row>
    <row r="856">
      <c r="A856" s="2">
        <v>2025.0</v>
      </c>
      <c r="B856" s="1" t="s">
        <v>745</v>
      </c>
      <c r="C856" s="2" t="s">
        <v>880</v>
      </c>
      <c r="D856" s="2" t="s">
        <v>301</v>
      </c>
      <c r="E856" s="2" t="s">
        <v>775</v>
      </c>
      <c r="F856" s="2">
        <v>0.0</v>
      </c>
      <c r="G856" s="2">
        <v>25700.0</v>
      </c>
      <c r="H856" s="2">
        <v>25700.0</v>
      </c>
      <c r="I856" s="2">
        <v>472.0</v>
      </c>
      <c r="J856" s="2">
        <v>25228.0</v>
      </c>
    </row>
    <row r="857">
      <c r="A857" s="2">
        <v>2025.0</v>
      </c>
      <c r="B857" s="1" t="s">
        <v>745</v>
      </c>
      <c r="C857" s="2" t="s">
        <v>880</v>
      </c>
      <c r="D857" s="2"/>
      <c r="E857" s="2" t="s">
        <v>881</v>
      </c>
      <c r="F857" s="2">
        <v>30332.0</v>
      </c>
      <c r="G857" s="2">
        <v>56058.0</v>
      </c>
      <c r="H857" s="2">
        <v>86390.0</v>
      </c>
      <c r="I857" s="2">
        <v>40580.0</v>
      </c>
      <c r="J857" s="2">
        <v>45810.0</v>
      </c>
    </row>
    <row r="858">
      <c r="A858" s="2">
        <v>2025.0</v>
      </c>
      <c r="B858" s="1" t="s">
        <v>745</v>
      </c>
      <c r="C858" s="2" t="s">
        <v>880</v>
      </c>
      <c r="D858" s="2"/>
      <c r="E858" s="2" t="s">
        <v>56</v>
      </c>
      <c r="F858" s="2">
        <v>1833051.0</v>
      </c>
      <c r="G858" s="2">
        <v>3556493.0</v>
      </c>
      <c r="H858" s="2">
        <v>5389544.0</v>
      </c>
      <c r="I858" s="2">
        <v>3016323.0</v>
      </c>
      <c r="J858" s="2">
        <v>2373221.0</v>
      </c>
    </row>
    <row r="859">
      <c r="A859" s="2">
        <v>2025.0</v>
      </c>
      <c r="B859" s="1" t="s">
        <v>745</v>
      </c>
      <c r="C859" s="2" t="s">
        <v>880</v>
      </c>
      <c r="D859" s="2"/>
      <c r="E859" s="2" t="s">
        <v>686</v>
      </c>
      <c r="F859" s="2">
        <v>1512231.0</v>
      </c>
      <c r="G859" s="2">
        <v>640116.0</v>
      </c>
      <c r="H859" s="2">
        <v>2152347.0</v>
      </c>
      <c r="I859" s="2">
        <v>1350776.0</v>
      </c>
      <c r="J859" s="2">
        <v>801571.0</v>
      </c>
    </row>
    <row r="860">
      <c r="A860" s="2">
        <v>2025.0</v>
      </c>
      <c r="B860" s="1" t="s">
        <v>745</v>
      </c>
      <c r="C860" s="2" t="s">
        <v>880</v>
      </c>
      <c r="D860" s="2" t="s">
        <v>882</v>
      </c>
      <c r="E860" s="2" t="s">
        <v>686</v>
      </c>
      <c r="F860" s="2">
        <v>0.0</v>
      </c>
      <c r="G860" s="2">
        <v>316000.0</v>
      </c>
      <c r="H860" s="2">
        <v>316000.0</v>
      </c>
      <c r="I860" s="2">
        <v>0.0</v>
      </c>
      <c r="J860" s="2">
        <v>316000.0</v>
      </c>
    </row>
    <row r="861">
      <c r="A861" s="2">
        <v>2025.0</v>
      </c>
      <c r="B861" s="1" t="s">
        <v>745</v>
      </c>
      <c r="C861" s="2" t="s">
        <v>880</v>
      </c>
      <c r="D861" s="2"/>
      <c r="E861" s="2" t="s">
        <v>883</v>
      </c>
      <c r="F861" s="2">
        <v>60698.0</v>
      </c>
      <c r="G861" s="2">
        <v>1913961.0</v>
      </c>
      <c r="H861" s="2">
        <v>1974659.0</v>
      </c>
      <c r="I861" s="2">
        <v>1376441.0</v>
      </c>
      <c r="J861" s="2">
        <v>598218.0</v>
      </c>
    </row>
    <row r="862">
      <c r="A862" s="2">
        <v>2025.0</v>
      </c>
      <c r="B862" s="1" t="s">
        <v>745</v>
      </c>
      <c r="C862" s="2" t="s">
        <v>764</v>
      </c>
      <c r="D862" s="2" t="s">
        <v>884</v>
      </c>
      <c r="E862" s="2" t="s">
        <v>686</v>
      </c>
      <c r="F862" s="2">
        <v>1401438.0</v>
      </c>
      <c r="G862" s="2">
        <v>300502.0</v>
      </c>
      <c r="H862" s="2">
        <v>1701940.0</v>
      </c>
      <c r="I862" s="2">
        <v>747274.0</v>
      </c>
      <c r="J862" s="2">
        <v>954666.0</v>
      </c>
    </row>
    <row r="863">
      <c r="A863" s="2">
        <v>2025.0</v>
      </c>
      <c r="B863" s="1" t="s">
        <v>745</v>
      </c>
      <c r="C863" s="2" t="s">
        <v>764</v>
      </c>
      <c r="D863" s="2"/>
      <c r="E863" s="2" t="s">
        <v>394</v>
      </c>
      <c r="F863" s="2">
        <v>1739647.0</v>
      </c>
      <c r="G863" s="2">
        <v>2359201.0</v>
      </c>
      <c r="H863" s="2">
        <v>4098848.0</v>
      </c>
      <c r="I863" s="2">
        <v>1834576.0</v>
      </c>
      <c r="J863" s="2">
        <v>2264272.0</v>
      </c>
    </row>
    <row r="864">
      <c r="A864" s="2">
        <v>2025.0</v>
      </c>
      <c r="B864" s="1" t="s">
        <v>745</v>
      </c>
      <c r="C864" s="2" t="s">
        <v>764</v>
      </c>
      <c r="D864" s="2" t="s">
        <v>885</v>
      </c>
      <c r="E864" s="2" t="s">
        <v>686</v>
      </c>
      <c r="F864" s="2">
        <v>2569397.0</v>
      </c>
      <c r="G864" s="2">
        <v>618511.0</v>
      </c>
      <c r="H864" s="2">
        <v>3187908.0</v>
      </c>
      <c r="I864" s="2">
        <v>1064810.0</v>
      </c>
      <c r="J864" s="2">
        <v>2123098.0</v>
      </c>
    </row>
    <row r="865">
      <c r="A865" s="2">
        <v>2025.0</v>
      </c>
      <c r="B865" s="1" t="s">
        <v>745</v>
      </c>
      <c r="C865" s="2" t="s">
        <v>764</v>
      </c>
      <c r="D865" s="2"/>
      <c r="E865" s="2" t="s">
        <v>777</v>
      </c>
      <c r="F865" s="2">
        <v>3927358.0</v>
      </c>
      <c r="G865" s="2">
        <v>3702529.0</v>
      </c>
      <c r="H865" s="2">
        <v>7629887.0</v>
      </c>
      <c r="I865" s="2">
        <v>2687676.0</v>
      </c>
      <c r="J865" s="2">
        <v>4942211.0</v>
      </c>
    </row>
    <row r="866">
      <c r="A866" s="2">
        <v>2025.0</v>
      </c>
      <c r="B866" s="1" t="s">
        <v>745</v>
      </c>
      <c r="C866" s="2" t="s">
        <v>764</v>
      </c>
      <c r="D866" s="2"/>
      <c r="E866" s="2" t="s">
        <v>32</v>
      </c>
      <c r="F866" s="2">
        <v>80810.0</v>
      </c>
      <c r="G866" s="2">
        <v>216553.0</v>
      </c>
      <c r="H866" s="2">
        <v>297363.0</v>
      </c>
      <c r="I866" s="2">
        <v>12000.0</v>
      </c>
      <c r="J866" s="2">
        <v>285363.0</v>
      </c>
    </row>
    <row r="867">
      <c r="A867" s="2">
        <v>2025.0</v>
      </c>
      <c r="B867" s="1" t="s">
        <v>745</v>
      </c>
      <c r="C867" s="2" t="s">
        <v>764</v>
      </c>
      <c r="D867" s="2" t="s">
        <v>886</v>
      </c>
      <c r="E867" s="2" t="s">
        <v>686</v>
      </c>
      <c r="F867" s="2">
        <v>1619288.0</v>
      </c>
      <c r="G867" s="2">
        <v>744090.0</v>
      </c>
      <c r="H867" s="2">
        <v>2363378.0</v>
      </c>
      <c r="I867" s="2">
        <v>1536631.0</v>
      </c>
      <c r="J867" s="2">
        <v>826747.0</v>
      </c>
    </row>
    <row r="868">
      <c r="A868" s="2">
        <v>2025.0</v>
      </c>
      <c r="B868" s="1" t="s">
        <v>745</v>
      </c>
      <c r="C868" s="2" t="s">
        <v>764</v>
      </c>
      <c r="D868" s="2"/>
      <c r="E868" s="2" t="s">
        <v>777</v>
      </c>
      <c r="F868" s="2">
        <v>903844.0</v>
      </c>
      <c r="G868" s="2">
        <v>2592428.0</v>
      </c>
      <c r="H868" s="2">
        <v>3496272.0</v>
      </c>
      <c r="I868" s="2">
        <v>2386171.0</v>
      </c>
      <c r="J868" s="2">
        <v>1110101.0</v>
      </c>
    </row>
    <row r="869">
      <c r="A869" s="2">
        <v>2025.0</v>
      </c>
      <c r="B869" s="1" t="s">
        <v>745</v>
      </c>
      <c r="C869" s="2" t="s">
        <v>764</v>
      </c>
      <c r="D869" s="2"/>
      <c r="E869" s="2" t="s">
        <v>32</v>
      </c>
      <c r="F869" s="2">
        <v>74660.0</v>
      </c>
      <c r="G869" s="2">
        <v>152675.0</v>
      </c>
      <c r="H869" s="2">
        <v>227335.0</v>
      </c>
      <c r="I869" s="2">
        <v>152810.0</v>
      </c>
      <c r="J869" s="2">
        <v>74525.0</v>
      </c>
    </row>
    <row r="870">
      <c r="A870" s="2">
        <v>2025.0</v>
      </c>
      <c r="B870" s="1" t="s">
        <v>745</v>
      </c>
      <c r="C870" s="2" t="s">
        <v>887</v>
      </c>
      <c r="D870" s="2" t="s">
        <v>887</v>
      </c>
      <c r="E870" s="2" t="s">
        <v>279</v>
      </c>
      <c r="F870" s="2">
        <v>7107926.0</v>
      </c>
      <c r="G870" s="2">
        <v>5507069.0</v>
      </c>
      <c r="H870" s="2">
        <v>1.2614995E7</v>
      </c>
      <c r="I870" s="2">
        <v>4164645.0</v>
      </c>
      <c r="J870" s="2">
        <v>8450350.0</v>
      </c>
    </row>
    <row r="871">
      <c r="A871" s="2">
        <v>2025.0</v>
      </c>
      <c r="B871" s="1" t="s">
        <v>745</v>
      </c>
      <c r="C871" s="2" t="s">
        <v>887</v>
      </c>
      <c r="D871" s="2"/>
      <c r="E871" s="2" t="s">
        <v>25</v>
      </c>
      <c r="F871" s="2">
        <v>7849338.0</v>
      </c>
      <c r="G871" s="2">
        <v>1351001.0</v>
      </c>
      <c r="H871" s="2">
        <v>9200339.0</v>
      </c>
      <c r="I871" s="2">
        <v>5507069.0</v>
      </c>
      <c r="J871" s="2">
        <v>3693270.0</v>
      </c>
    </row>
    <row r="872">
      <c r="A872" s="2">
        <v>2025.0</v>
      </c>
      <c r="B872" s="1" t="s">
        <v>745</v>
      </c>
      <c r="C872" s="2" t="s">
        <v>887</v>
      </c>
      <c r="D872" s="2"/>
      <c r="E872" s="2" t="s">
        <v>32</v>
      </c>
      <c r="F872" s="2">
        <v>949468.0</v>
      </c>
      <c r="G872" s="2">
        <v>248227.0</v>
      </c>
      <c r="H872" s="2">
        <v>1197695.0</v>
      </c>
      <c r="I872" s="2">
        <v>66500.0</v>
      </c>
      <c r="J872" s="2">
        <v>1131195.0</v>
      </c>
    </row>
    <row r="873">
      <c r="A873" s="2">
        <v>2025.0</v>
      </c>
      <c r="B873" s="1" t="s">
        <v>745</v>
      </c>
      <c r="C873" s="2" t="s">
        <v>887</v>
      </c>
      <c r="D873" s="2" t="s">
        <v>888</v>
      </c>
      <c r="E873" s="2" t="s">
        <v>56</v>
      </c>
      <c r="F873" s="2">
        <v>4489722.0</v>
      </c>
      <c r="G873" s="2">
        <v>1587450.0</v>
      </c>
      <c r="H873" s="2">
        <v>6077172.0</v>
      </c>
      <c r="I873" s="2">
        <v>901175.0</v>
      </c>
      <c r="J873" s="2">
        <v>5175997.0</v>
      </c>
    </row>
    <row r="874">
      <c r="A874" s="2">
        <v>2025.0</v>
      </c>
      <c r="B874" s="1" t="s">
        <v>745</v>
      </c>
      <c r="C874" s="2" t="s">
        <v>887</v>
      </c>
      <c r="D874" s="2"/>
      <c r="E874" s="2" t="s">
        <v>25</v>
      </c>
      <c r="F874" s="2">
        <v>5004526.0</v>
      </c>
      <c r="G874" s="2">
        <v>954529.0</v>
      </c>
      <c r="H874" s="2">
        <v>5959055.0</v>
      </c>
      <c r="I874" s="2">
        <v>58585.0</v>
      </c>
      <c r="J874" s="2">
        <v>5900470.0</v>
      </c>
    </row>
    <row r="875">
      <c r="A875" s="2">
        <v>2025.0</v>
      </c>
      <c r="B875" s="1" t="s">
        <v>745</v>
      </c>
      <c r="C875" s="2" t="s">
        <v>887</v>
      </c>
      <c r="D875" s="2"/>
      <c r="E875" s="2" t="s">
        <v>32</v>
      </c>
      <c r="F875" s="2">
        <v>896757.0</v>
      </c>
      <c r="G875" s="2">
        <v>39726.0</v>
      </c>
      <c r="H875" s="2">
        <v>936483.0</v>
      </c>
      <c r="I875" s="2">
        <v>124915.0</v>
      </c>
      <c r="J875" s="2">
        <v>811568.0</v>
      </c>
    </row>
    <row r="876">
      <c r="A876" s="2">
        <v>2025.0</v>
      </c>
      <c r="B876" s="1" t="s">
        <v>745</v>
      </c>
      <c r="C876" s="2" t="s">
        <v>887</v>
      </c>
      <c r="D876" s="2"/>
      <c r="E876" s="2" t="s">
        <v>27</v>
      </c>
      <c r="F876" s="2">
        <v>353812.0</v>
      </c>
      <c r="G876" s="2">
        <v>1362169.0</v>
      </c>
      <c r="H876" s="2">
        <v>1715981.0</v>
      </c>
      <c r="I876" s="2">
        <v>1435307.0</v>
      </c>
      <c r="J876" s="2">
        <v>280674.0</v>
      </c>
    </row>
    <row r="877">
      <c r="A877" s="2">
        <v>2025.0</v>
      </c>
      <c r="B877" s="1" t="s">
        <v>745</v>
      </c>
      <c r="C877" s="2" t="s">
        <v>887</v>
      </c>
      <c r="D877" s="2" t="s">
        <v>889</v>
      </c>
      <c r="E877" s="2" t="s">
        <v>228</v>
      </c>
      <c r="F877" s="2">
        <v>1816960.0</v>
      </c>
      <c r="G877" s="2">
        <v>2906567.0</v>
      </c>
      <c r="H877" s="2">
        <v>4723527.0</v>
      </c>
      <c r="I877" s="2">
        <v>2734601.0</v>
      </c>
      <c r="J877" s="2">
        <v>1988926.0</v>
      </c>
    </row>
    <row r="878">
      <c r="A878" s="2">
        <v>2025.0</v>
      </c>
      <c r="B878" s="1" t="s">
        <v>745</v>
      </c>
      <c r="C878" s="2" t="s">
        <v>887</v>
      </c>
      <c r="D878" s="2"/>
      <c r="E878" s="2" t="s">
        <v>25</v>
      </c>
      <c r="F878" s="2">
        <v>1939327.0</v>
      </c>
      <c r="G878" s="2">
        <v>822224.0</v>
      </c>
      <c r="H878" s="2">
        <v>2761551.0</v>
      </c>
      <c r="I878" s="2">
        <v>58585.0</v>
      </c>
      <c r="J878" s="2">
        <v>2702966.0</v>
      </c>
    </row>
    <row r="879">
      <c r="A879" s="2">
        <v>2025.0</v>
      </c>
      <c r="B879" s="1" t="s">
        <v>745</v>
      </c>
      <c r="C879" s="2" t="s">
        <v>887</v>
      </c>
      <c r="D879" s="2" t="s">
        <v>890</v>
      </c>
      <c r="E879" s="2" t="s">
        <v>78</v>
      </c>
      <c r="F879" s="2">
        <v>1056128.0</v>
      </c>
      <c r="G879" s="2">
        <v>2771239.0</v>
      </c>
      <c r="H879" s="2">
        <v>3827367.0</v>
      </c>
      <c r="I879" s="2">
        <v>2335769.0</v>
      </c>
      <c r="J879" s="2">
        <v>1491598.0</v>
      </c>
    </row>
    <row r="880">
      <c r="A880" s="2">
        <v>2025.0</v>
      </c>
      <c r="B880" s="1" t="s">
        <v>745</v>
      </c>
      <c r="C880" s="2" t="s">
        <v>887</v>
      </c>
      <c r="D880" s="2"/>
      <c r="E880" s="2" t="s">
        <v>25</v>
      </c>
      <c r="F880" s="2">
        <v>1344457.0</v>
      </c>
      <c r="G880" s="2">
        <v>268450.0</v>
      </c>
      <c r="H880" s="2">
        <v>1612907.0</v>
      </c>
      <c r="I880" s="2">
        <v>592351.0</v>
      </c>
      <c r="J880" s="2">
        <v>1020556.0</v>
      </c>
    </row>
    <row r="881">
      <c r="A881" s="2">
        <v>2025.0</v>
      </c>
      <c r="B881" s="1" t="s">
        <v>745</v>
      </c>
      <c r="C881" s="2" t="s">
        <v>887</v>
      </c>
      <c r="D881" s="2"/>
      <c r="E881" s="2" t="s">
        <v>32</v>
      </c>
      <c r="F881" s="2">
        <v>10434.0</v>
      </c>
      <c r="G881" s="2">
        <v>15569.0</v>
      </c>
      <c r="H881" s="2">
        <v>26003.0</v>
      </c>
      <c r="I881" s="2">
        <v>10000.0</v>
      </c>
      <c r="J881" s="2">
        <v>16003.0</v>
      </c>
    </row>
    <row r="882">
      <c r="A882" s="2">
        <v>2025.0</v>
      </c>
      <c r="B882" s="1" t="s">
        <v>745</v>
      </c>
      <c r="C882" s="2" t="s">
        <v>877</v>
      </c>
      <c r="D882" s="2" t="s">
        <v>670</v>
      </c>
      <c r="E882" s="2" t="s">
        <v>25</v>
      </c>
      <c r="F882" s="2">
        <v>2679254.0</v>
      </c>
      <c r="G882" s="2">
        <v>640893.0</v>
      </c>
      <c r="H882" s="2">
        <v>3320147.0</v>
      </c>
      <c r="I882" s="2">
        <v>1615007.0</v>
      </c>
      <c r="J882" s="2">
        <v>1705140.0</v>
      </c>
    </row>
    <row r="883">
      <c r="A883" s="2">
        <v>2025.0</v>
      </c>
      <c r="B883" s="1" t="s">
        <v>745</v>
      </c>
      <c r="C883" s="2" t="s">
        <v>877</v>
      </c>
      <c r="D883" s="2"/>
      <c r="E883" s="2" t="s">
        <v>348</v>
      </c>
      <c r="F883" s="2">
        <v>0.0</v>
      </c>
      <c r="G883" s="2">
        <v>13698.0</v>
      </c>
      <c r="H883" s="2">
        <v>13698.0</v>
      </c>
      <c r="I883" s="2">
        <v>236.0</v>
      </c>
      <c r="J883" s="2">
        <v>13462.0</v>
      </c>
    </row>
    <row r="884">
      <c r="A884" s="2">
        <v>2025.0</v>
      </c>
      <c r="B884" s="1" t="s">
        <v>745</v>
      </c>
      <c r="C884" s="2" t="s">
        <v>877</v>
      </c>
      <c r="D884" s="2"/>
      <c r="E884" s="2" t="s">
        <v>853</v>
      </c>
      <c r="F884" s="2">
        <v>655861.0</v>
      </c>
      <c r="G884" s="2">
        <v>554250.0</v>
      </c>
      <c r="H884" s="2">
        <v>1210111.0</v>
      </c>
      <c r="I884" s="2">
        <v>731604.0</v>
      </c>
      <c r="J884" s="2">
        <v>478507.0</v>
      </c>
    </row>
    <row r="885">
      <c r="A885" s="2">
        <v>2025.0</v>
      </c>
      <c r="B885" s="1" t="s">
        <v>745</v>
      </c>
      <c r="C885" s="2" t="s">
        <v>877</v>
      </c>
      <c r="D885" s="2"/>
      <c r="E885" s="2" t="s">
        <v>891</v>
      </c>
      <c r="F885" s="2">
        <v>3976730.0</v>
      </c>
      <c r="G885" s="2">
        <v>3799826.0</v>
      </c>
      <c r="H885" s="2">
        <v>7776556.0</v>
      </c>
      <c r="I885" s="2">
        <v>4432936.0</v>
      </c>
      <c r="J885" s="2">
        <v>3343620.0</v>
      </c>
    </row>
    <row r="886">
      <c r="A886" s="2">
        <v>2025.0</v>
      </c>
      <c r="B886" s="1" t="s">
        <v>745</v>
      </c>
      <c r="C886" s="2" t="s">
        <v>877</v>
      </c>
      <c r="D886" s="2" t="s">
        <v>604</v>
      </c>
      <c r="E886" s="2" t="s">
        <v>25</v>
      </c>
      <c r="F886" s="2">
        <v>1372738.0</v>
      </c>
      <c r="G886" s="2">
        <v>675800.0</v>
      </c>
      <c r="H886" s="2">
        <v>2048538.0</v>
      </c>
      <c r="I886" s="2">
        <v>966498.0</v>
      </c>
      <c r="J886" s="2">
        <v>1082040.0</v>
      </c>
    </row>
    <row r="887">
      <c r="A887" s="2">
        <v>2025.0</v>
      </c>
      <c r="B887" s="1" t="s">
        <v>745</v>
      </c>
      <c r="C887" s="2" t="s">
        <v>877</v>
      </c>
      <c r="D887" s="2"/>
      <c r="E887" s="2" t="s">
        <v>78</v>
      </c>
      <c r="F887" s="2">
        <v>647388.0</v>
      </c>
      <c r="G887" s="2">
        <v>844148.0</v>
      </c>
      <c r="H887" s="2">
        <v>1491536.0</v>
      </c>
      <c r="I887" s="2">
        <v>681737.0</v>
      </c>
      <c r="J887" s="2">
        <v>809799.0</v>
      </c>
    </row>
    <row r="888">
      <c r="A888" s="2">
        <v>2025.0</v>
      </c>
      <c r="B888" s="1" t="s">
        <v>745</v>
      </c>
      <c r="C888" s="2" t="s">
        <v>877</v>
      </c>
      <c r="D888" s="2"/>
      <c r="E888" s="2" t="s">
        <v>27</v>
      </c>
      <c r="F888" s="2">
        <v>463835.0</v>
      </c>
      <c r="G888" s="2">
        <v>2491359.0</v>
      </c>
      <c r="H888" s="2">
        <v>2955194.0</v>
      </c>
      <c r="I888" s="2">
        <v>2569205.0</v>
      </c>
      <c r="J888" s="2">
        <v>385989.0</v>
      </c>
    </row>
    <row r="889">
      <c r="A889" s="2">
        <v>2025.0</v>
      </c>
      <c r="B889" s="1" t="s">
        <v>745</v>
      </c>
      <c r="C889" s="2" t="s">
        <v>877</v>
      </c>
      <c r="D889" s="2"/>
      <c r="E889" s="2" t="s">
        <v>348</v>
      </c>
      <c r="F889" s="2">
        <v>0.0</v>
      </c>
      <c r="G889" s="2">
        <v>229368.0</v>
      </c>
      <c r="H889" s="2">
        <v>229368.0</v>
      </c>
      <c r="I889" s="2">
        <v>0.0</v>
      </c>
      <c r="J889" s="2">
        <v>229368.0</v>
      </c>
    </row>
    <row r="890">
      <c r="A890" s="2">
        <v>2025.0</v>
      </c>
      <c r="B890" s="1" t="s">
        <v>745</v>
      </c>
      <c r="C890" s="2" t="s">
        <v>877</v>
      </c>
      <c r="D890" s="2"/>
      <c r="E890" s="2" t="s">
        <v>853</v>
      </c>
      <c r="F890" s="2">
        <v>231836.0</v>
      </c>
      <c r="G890" s="2">
        <v>47470.0</v>
      </c>
      <c r="H890" s="2">
        <v>279306.0</v>
      </c>
      <c r="I890" s="2">
        <v>13770.0</v>
      </c>
      <c r="J890" s="2">
        <v>265536.0</v>
      </c>
    </row>
    <row r="891">
      <c r="A891" s="2">
        <v>2025.0</v>
      </c>
      <c r="B891" s="1" t="s">
        <v>745</v>
      </c>
      <c r="C891" s="2" t="s">
        <v>877</v>
      </c>
      <c r="D891" s="2" t="s">
        <v>892</v>
      </c>
      <c r="E891" s="2" t="s">
        <v>853</v>
      </c>
      <c r="F891" s="2">
        <v>17762.0</v>
      </c>
      <c r="G891" s="2">
        <v>62470.0</v>
      </c>
      <c r="H891" s="2">
        <v>80232.0</v>
      </c>
      <c r="I891" s="2">
        <v>80232.0</v>
      </c>
      <c r="J891" s="2">
        <v>0.0</v>
      </c>
    </row>
    <row r="892">
      <c r="A892" s="2">
        <v>2025.0</v>
      </c>
      <c r="B892" s="1" t="s">
        <v>745</v>
      </c>
      <c r="C892" s="2" t="s">
        <v>877</v>
      </c>
      <c r="D892" s="2"/>
      <c r="E892" s="2" t="s">
        <v>348</v>
      </c>
      <c r="F892" s="2">
        <v>0.0</v>
      </c>
      <c r="G892" s="2">
        <v>149024.0</v>
      </c>
      <c r="H892" s="2">
        <v>149024.0</v>
      </c>
      <c r="I892" s="2">
        <v>90923.0</v>
      </c>
      <c r="J892" s="2">
        <v>58101.0</v>
      </c>
    </row>
    <row r="893">
      <c r="A893" s="2">
        <v>2025.0</v>
      </c>
      <c r="B893" s="1" t="s">
        <v>745</v>
      </c>
      <c r="C893" s="2" t="s">
        <v>877</v>
      </c>
      <c r="D893" s="2"/>
      <c r="E893" s="2" t="s">
        <v>687</v>
      </c>
      <c r="F893" s="2">
        <v>372138.0</v>
      </c>
      <c r="G893" s="2">
        <v>2490171.0</v>
      </c>
      <c r="H893" s="2">
        <v>2862309.0</v>
      </c>
      <c r="I893" s="2">
        <v>2458898.0</v>
      </c>
      <c r="J893" s="2">
        <v>403411.0</v>
      </c>
    </row>
    <row r="894">
      <c r="A894" s="2">
        <v>2025.0</v>
      </c>
      <c r="B894" s="1" t="s">
        <v>745</v>
      </c>
      <c r="C894" s="2" t="s">
        <v>877</v>
      </c>
      <c r="D894" s="2"/>
      <c r="E894" s="2" t="s">
        <v>25</v>
      </c>
      <c r="F894" s="2">
        <v>2126903.0</v>
      </c>
      <c r="G894" s="2">
        <v>618751.0</v>
      </c>
      <c r="H894" s="2">
        <v>2745654.0</v>
      </c>
      <c r="I894" s="2">
        <v>1374762.0</v>
      </c>
      <c r="J894" s="2">
        <v>1370892.0</v>
      </c>
    </row>
    <row r="895">
      <c r="A895" s="2">
        <v>2025.0</v>
      </c>
      <c r="B895" s="1" t="s">
        <v>745</v>
      </c>
      <c r="C895" s="2" t="s">
        <v>877</v>
      </c>
      <c r="D895" s="2"/>
      <c r="E895" s="2" t="s">
        <v>78</v>
      </c>
      <c r="F895" s="2">
        <v>579541.0</v>
      </c>
      <c r="G895" s="2">
        <v>1054750.0</v>
      </c>
      <c r="H895" s="2">
        <v>1634291.0</v>
      </c>
      <c r="I895" s="2">
        <v>976297.0</v>
      </c>
      <c r="J895" s="2">
        <v>657994.0</v>
      </c>
    </row>
    <row r="896">
      <c r="A896" s="2">
        <v>2025.0</v>
      </c>
      <c r="B896" s="1" t="s">
        <v>745</v>
      </c>
      <c r="C896" s="2" t="s">
        <v>877</v>
      </c>
      <c r="D896" s="2" t="s">
        <v>893</v>
      </c>
      <c r="E896" s="2" t="s">
        <v>348</v>
      </c>
      <c r="F896" s="2">
        <v>0.0</v>
      </c>
      <c r="G896" s="2">
        <v>339620.0</v>
      </c>
      <c r="H896" s="2">
        <v>339620.0</v>
      </c>
      <c r="I896" s="2">
        <v>0.0</v>
      </c>
      <c r="J896" s="2">
        <v>339620.0</v>
      </c>
    </row>
    <row r="897">
      <c r="A897" s="2">
        <v>2025.0</v>
      </c>
      <c r="B897" s="1" t="s">
        <v>745</v>
      </c>
      <c r="C897" s="2" t="s">
        <v>877</v>
      </c>
      <c r="D897" s="2"/>
      <c r="E897" s="2" t="s">
        <v>891</v>
      </c>
      <c r="F897" s="2">
        <v>2963365.0</v>
      </c>
      <c r="G897" s="2">
        <v>1557253.0</v>
      </c>
      <c r="H897" s="2">
        <v>4520618.0</v>
      </c>
      <c r="I897" s="2">
        <v>1954930.0</v>
      </c>
      <c r="J897" s="2">
        <v>2565688.0</v>
      </c>
    </row>
    <row r="898">
      <c r="A898" s="2">
        <v>2025.0</v>
      </c>
      <c r="B898" s="1" t="s">
        <v>745</v>
      </c>
      <c r="C898" s="2" t="s">
        <v>877</v>
      </c>
      <c r="D898" s="2"/>
      <c r="E898" s="2" t="s">
        <v>25</v>
      </c>
      <c r="F898" s="2">
        <v>902092.0</v>
      </c>
      <c r="G898" s="2">
        <v>389355.0</v>
      </c>
      <c r="H898" s="2">
        <v>1291447.0</v>
      </c>
      <c r="I898" s="2">
        <v>501451.0</v>
      </c>
      <c r="J898" s="2">
        <v>789996.0</v>
      </c>
    </row>
    <row r="899">
      <c r="A899" s="2">
        <v>2025.0</v>
      </c>
      <c r="B899" s="1" t="s">
        <v>745</v>
      </c>
      <c r="C899" s="2" t="s">
        <v>877</v>
      </c>
      <c r="D899" s="2"/>
      <c r="E899" s="2" t="s">
        <v>27</v>
      </c>
      <c r="F899" s="2">
        <v>30696.0</v>
      </c>
      <c r="G899" s="2">
        <v>1279327.0</v>
      </c>
      <c r="H899" s="2">
        <v>1310023.0</v>
      </c>
      <c r="I899" s="2">
        <v>1022020.0</v>
      </c>
      <c r="J899" s="2">
        <v>288003.0</v>
      </c>
    </row>
    <row r="900">
      <c r="A900" s="2">
        <v>2025.0</v>
      </c>
      <c r="B900" s="1" t="s">
        <v>745</v>
      </c>
      <c r="C900" s="2" t="s">
        <v>877</v>
      </c>
      <c r="D900" s="2"/>
      <c r="E900" s="2" t="s">
        <v>853</v>
      </c>
      <c r="F900" s="2">
        <v>178788.0</v>
      </c>
      <c r="G900" s="2">
        <v>105697.0</v>
      </c>
      <c r="H900" s="2">
        <v>284485.0</v>
      </c>
      <c r="I900" s="2">
        <v>157475.0</v>
      </c>
      <c r="J900" s="2">
        <v>127010.0</v>
      </c>
    </row>
    <row r="901">
      <c r="A901" s="2">
        <v>2025.0</v>
      </c>
      <c r="B901" s="1" t="s">
        <v>745</v>
      </c>
      <c r="C901" s="2" t="s">
        <v>877</v>
      </c>
      <c r="D901" s="2"/>
      <c r="E901" s="2" t="s">
        <v>460</v>
      </c>
      <c r="F901" s="2">
        <v>5322.0</v>
      </c>
      <c r="G901" s="2">
        <v>76.0</v>
      </c>
      <c r="H901" s="2">
        <v>5398.0</v>
      </c>
      <c r="I901" s="2">
        <v>0.0</v>
      </c>
      <c r="J901" s="2">
        <v>5398.0</v>
      </c>
    </row>
    <row r="902">
      <c r="A902" s="2">
        <v>2025.0</v>
      </c>
      <c r="B902" s="1" t="s">
        <v>745</v>
      </c>
      <c r="C902" s="2" t="s">
        <v>877</v>
      </c>
      <c r="D902" s="2"/>
      <c r="E902" s="2" t="s">
        <v>114</v>
      </c>
      <c r="F902" s="2">
        <v>7633.0</v>
      </c>
      <c r="G902" s="2">
        <v>109.0</v>
      </c>
      <c r="H902" s="2">
        <v>7742.0</v>
      </c>
      <c r="I902" s="2">
        <v>0.0</v>
      </c>
      <c r="J902" s="2">
        <v>7742.0</v>
      </c>
    </row>
    <row r="903">
      <c r="A903" s="2">
        <v>2025.0</v>
      </c>
      <c r="B903" s="1" t="s">
        <v>745</v>
      </c>
      <c r="C903" s="2" t="s">
        <v>877</v>
      </c>
      <c r="D903" s="2" t="s">
        <v>84</v>
      </c>
      <c r="E903" s="2" t="s">
        <v>27</v>
      </c>
      <c r="F903" s="2">
        <v>437114.0</v>
      </c>
      <c r="G903" s="2">
        <v>1215788.0</v>
      </c>
      <c r="H903" s="2">
        <v>1652902.0</v>
      </c>
      <c r="I903" s="2">
        <v>1084342.0</v>
      </c>
      <c r="J903" s="2">
        <v>568560.0</v>
      </c>
    </row>
    <row r="904">
      <c r="A904" s="2">
        <v>2025.0</v>
      </c>
      <c r="B904" s="1" t="s">
        <v>745</v>
      </c>
      <c r="C904" s="2" t="s">
        <v>877</v>
      </c>
      <c r="D904" s="2"/>
      <c r="E904" s="2" t="s">
        <v>56</v>
      </c>
      <c r="F904" s="2">
        <v>1547899.0</v>
      </c>
      <c r="G904" s="2">
        <v>1224391.0</v>
      </c>
      <c r="H904" s="2">
        <v>2772290.0</v>
      </c>
      <c r="I904" s="2">
        <v>512993.0</v>
      </c>
      <c r="J904" s="2">
        <v>2259297.0</v>
      </c>
    </row>
    <row r="905">
      <c r="A905" s="2">
        <v>2025.0</v>
      </c>
      <c r="B905" s="1" t="s">
        <v>745</v>
      </c>
      <c r="C905" s="2" t="s">
        <v>877</v>
      </c>
      <c r="D905" s="2"/>
      <c r="E905" s="2" t="s">
        <v>25</v>
      </c>
      <c r="F905" s="2">
        <v>1971073.0</v>
      </c>
      <c r="G905" s="2">
        <v>373471.0</v>
      </c>
      <c r="H905" s="2">
        <v>2344544.0</v>
      </c>
      <c r="I905" s="2">
        <v>281846.0</v>
      </c>
      <c r="J905" s="2">
        <v>2062698.0</v>
      </c>
    </row>
    <row r="906">
      <c r="A906" s="2">
        <v>2025.0</v>
      </c>
      <c r="B906" s="1" t="s">
        <v>745</v>
      </c>
      <c r="C906" s="2" t="s">
        <v>877</v>
      </c>
      <c r="D906" s="2"/>
      <c r="E906" s="2" t="s">
        <v>32</v>
      </c>
      <c r="F906" s="2">
        <v>98904.0</v>
      </c>
      <c r="G906" s="2">
        <v>393436.0</v>
      </c>
      <c r="H906" s="2">
        <v>492340.0</v>
      </c>
      <c r="I906" s="2">
        <v>196352.0</v>
      </c>
      <c r="J906" s="2">
        <v>295988.0</v>
      </c>
    </row>
    <row r="907">
      <c r="A907" s="2">
        <v>2025.0</v>
      </c>
      <c r="B907" s="1" t="s">
        <v>745</v>
      </c>
      <c r="C907" s="2" t="s">
        <v>877</v>
      </c>
      <c r="D907" s="2" t="s">
        <v>847</v>
      </c>
      <c r="E907" s="2" t="s">
        <v>56</v>
      </c>
      <c r="F907" s="2">
        <v>1159300.0</v>
      </c>
      <c r="G907" s="2">
        <v>1611542.0</v>
      </c>
      <c r="H907" s="2">
        <v>2770842.0</v>
      </c>
      <c r="I907" s="2">
        <v>1048288.0</v>
      </c>
      <c r="J907" s="2">
        <v>1722554.0</v>
      </c>
    </row>
    <row r="908">
      <c r="A908" s="2">
        <v>2025.0</v>
      </c>
      <c r="B908" s="1" t="s">
        <v>745</v>
      </c>
      <c r="C908" s="2" t="s">
        <v>877</v>
      </c>
      <c r="D908" s="2"/>
      <c r="E908" s="2" t="s">
        <v>25</v>
      </c>
      <c r="F908" s="2">
        <v>1514512.0</v>
      </c>
      <c r="G908" s="2">
        <v>340381.0</v>
      </c>
      <c r="H908" s="2">
        <v>1854893.0</v>
      </c>
      <c r="I908" s="2">
        <v>799578.0</v>
      </c>
      <c r="J908" s="2">
        <v>1055315.0</v>
      </c>
    </row>
    <row r="909">
      <c r="A909" s="2">
        <v>2025.0</v>
      </c>
      <c r="B909" s="1" t="s">
        <v>745</v>
      </c>
      <c r="C909" s="2" t="s">
        <v>877</v>
      </c>
      <c r="D909" s="2"/>
      <c r="E909" s="2" t="s">
        <v>32</v>
      </c>
      <c r="F909" s="2">
        <v>1060.0</v>
      </c>
      <c r="G909" s="2">
        <v>35066.0</v>
      </c>
      <c r="H909" s="2">
        <v>36126.0</v>
      </c>
      <c r="I909" s="2">
        <v>0.0</v>
      </c>
      <c r="J909" s="2">
        <v>36126.0</v>
      </c>
    </row>
    <row r="910">
      <c r="A910" s="2">
        <v>2025.0</v>
      </c>
      <c r="B910" s="1" t="s">
        <v>745</v>
      </c>
      <c r="C910" s="2" t="s">
        <v>877</v>
      </c>
      <c r="D910" s="2" t="s">
        <v>895</v>
      </c>
      <c r="E910" s="2" t="s">
        <v>25</v>
      </c>
      <c r="F910" s="2">
        <v>1196331.0</v>
      </c>
      <c r="G910" s="2">
        <v>417700.0</v>
      </c>
      <c r="H910" s="2">
        <v>1614031.0</v>
      </c>
      <c r="I910" s="2">
        <v>766952.0</v>
      </c>
      <c r="J910" s="2">
        <v>847079.0</v>
      </c>
    </row>
    <row r="911">
      <c r="A911" s="2">
        <v>2025.0</v>
      </c>
      <c r="B911" s="1" t="s">
        <v>745</v>
      </c>
      <c r="C911" s="2" t="s">
        <v>877</v>
      </c>
      <c r="D911" s="2"/>
      <c r="E911" s="2" t="s">
        <v>92</v>
      </c>
      <c r="F911" s="2">
        <v>2560350.0</v>
      </c>
      <c r="G911" s="2">
        <v>4144934.0</v>
      </c>
      <c r="H911" s="2">
        <v>6705284.0</v>
      </c>
      <c r="I911" s="2">
        <v>4063711.0</v>
      </c>
      <c r="J911" s="2">
        <v>2641573.0</v>
      </c>
    </row>
    <row r="912">
      <c r="A912" s="2">
        <v>2025.0</v>
      </c>
      <c r="B912" s="1" t="s">
        <v>745</v>
      </c>
      <c r="C912" s="2" t="s">
        <v>877</v>
      </c>
      <c r="D912" s="2"/>
      <c r="E912" s="2" t="s">
        <v>32</v>
      </c>
      <c r="F912" s="2">
        <v>43423.0</v>
      </c>
      <c r="G912" s="2">
        <v>126903.0</v>
      </c>
      <c r="H912" s="2">
        <v>170326.0</v>
      </c>
      <c r="I912" s="2">
        <v>128058.0</v>
      </c>
      <c r="J912" s="2">
        <v>42268.0</v>
      </c>
    </row>
    <row r="913">
      <c r="A913" s="2">
        <v>2025.0</v>
      </c>
      <c r="B913" s="1" t="s">
        <v>745</v>
      </c>
      <c r="C913" s="2" t="s">
        <v>877</v>
      </c>
      <c r="D913" s="2" t="s">
        <v>607</v>
      </c>
      <c r="E913" s="2" t="s">
        <v>896</v>
      </c>
      <c r="F913" s="2">
        <v>4949783.0</v>
      </c>
      <c r="G913" s="2">
        <v>3609077.0</v>
      </c>
      <c r="H913" s="2">
        <v>8558860.0</v>
      </c>
      <c r="I913" s="2">
        <v>3545267.0</v>
      </c>
      <c r="J913" s="2">
        <v>5013593.0</v>
      </c>
    </row>
    <row r="914">
      <c r="A914" s="2">
        <v>2025.0</v>
      </c>
      <c r="B914" s="1" t="s">
        <v>745</v>
      </c>
      <c r="C914" s="2" t="s">
        <v>877</v>
      </c>
      <c r="D914" s="2"/>
      <c r="E914" s="2" t="s">
        <v>25</v>
      </c>
      <c r="F914" s="2">
        <v>6140628.0</v>
      </c>
      <c r="G914" s="2">
        <v>1166132.0</v>
      </c>
      <c r="H914" s="2">
        <v>7306760.0</v>
      </c>
      <c r="I914" s="2">
        <v>3149727.0</v>
      </c>
      <c r="J914" s="2">
        <v>4157033.0</v>
      </c>
    </row>
    <row r="915">
      <c r="A915" s="2">
        <v>2025.0</v>
      </c>
      <c r="B915" s="1" t="s">
        <v>745</v>
      </c>
      <c r="C915" s="2" t="s">
        <v>308</v>
      </c>
      <c r="D915" s="2" t="s">
        <v>324</v>
      </c>
      <c r="E915" s="2" t="s">
        <v>25</v>
      </c>
      <c r="F915" s="2">
        <v>3216413.0</v>
      </c>
      <c r="G915" s="2">
        <v>885882.0</v>
      </c>
      <c r="H915" s="2">
        <v>4102295.0</v>
      </c>
      <c r="I915" s="2">
        <v>1598573.0</v>
      </c>
      <c r="J915" s="2">
        <v>2503722.0</v>
      </c>
    </row>
    <row r="916">
      <c r="A916" s="2">
        <v>2025.0</v>
      </c>
      <c r="B916" s="1" t="s">
        <v>745</v>
      </c>
      <c r="C916" s="2" t="s">
        <v>308</v>
      </c>
      <c r="D916" s="2"/>
      <c r="E916" s="2" t="s">
        <v>92</v>
      </c>
      <c r="F916" s="2">
        <v>2425129.0</v>
      </c>
      <c r="G916" s="2">
        <v>3323784.0</v>
      </c>
      <c r="H916" s="2">
        <v>5748913.0</v>
      </c>
      <c r="I916" s="2">
        <v>2451813.0</v>
      </c>
      <c r="J916" s="2">
        <v>3297100.0</v>
      </c>
    </row>
    <row r="917">
      <c r="A917" s="2">
        <v>2025.0</v>
      </c>
      <c r="B917" s="1" t="s">
        <v>745</v>
      </c>
      <c r="C917" s="2" t="s">
        <v>308</v>
      </c>
      <c r="D917" s="2"/>
      <c r="E917" s="2" t="s">
        <v>32</v>
      </c>
      <c r="F917" s="2">
        <v>253576.0</v>
      </c>
      <c r="G917" s="2">
        <v>651079.0</v>
      </c>
      <c r="H917" s="2">
        <v>904655.0</v>
      </c>
      <c r="I917" s="2">
        <v>611034.0</v>
      </c>
      <c r="J917" s="2">
        <v>293621.0</v>
      </c>
    </row>
    <row r="918">
      <c r="A918" s="2">
        <v>2025.0</v>
      </c>
      <c r="B918" s="1" t="s">
        <v>745</v>
      </c>
      <c r="C918" s="2" t="s">
        <v>308</v>
      </c>
      <c r="D918" s="2" t="s">
        <v>897</v>
      </c>
      <c r="E918" s="2" t="s">
        <v>25</v>
      </c>
      <c r="F918" s="2">
        <v>1137559.0</v>
      </c>
      <c r="G918" s="2">
        <v>365429.0</v>
      </c>
      <c r="H918" s="2">
        <v>1502988.0</v>
      </c>
      <c r="I918" s="2">
        <v>713128.0</v>
      </c>
      <c r="J918" s="2">
        <v>789860.0</v>
      </c>
    </row>
    <row r="919">
      <c r="A919" s="2">
        <v>2025.0</v>
      </c>
      <c r="B919" s="1" t="s">
        <v>745</v>
      </c>
      <c r="C919" s="2" t="s">
        <v>308</v>
      </c>
      <c r="D919" s="2"/>
      <c r="E919" s="2" t="s">
        <v>891</v>
      </c>
      <c r="F919" s="2">
        <v>1652219.0</v>
      </c>
      <c r="G919" s="2">
        <v>4201905.0</v>
      </c>
      <c r="H919" s="2">
        <v>5854124.0</v>
      </c>
      <c r="I919" s="2">
        <v>3462905.0</v>
      </c>
      <c r="J919" s="2">
        <v>2391219.0</v>
      </c>
    </row>
    <row r="920">
      <c r="A920" s="2">
        <v>2025.0</v>
      </c>
      <c r="B920" s="1" t="s">
        <v>745</v>
      </c>
      <c r="C920" s="2" t="s">
        <v>308</v>
      </c>
      <c r="D920" s="2"/>
      <c r="E920" s="2" t="s">
        <v>32</v>
      </c>
      <c r="F920" s="2">
        <v>122501.0</v>
      </c>
      <c r="G920" s="2">
        <v>98705.0</v>
      </c>
      <c r="H920" s="2">
        <v>221206.0</v>
      </c>
      <c r="I920" s="2">
        <v>60000.0</v>
      </c>
      <c r="J920" s="2">
        <v>161206.0</v>
      </c>
    </row>
    <row r="921">
      <c r="A921" s="2">
        <v>2025.0</v>
      </c>
      <c r="B921" s="1" t="s">
        <v>745</v>
      </c>
      <c r="C921" s="2" t="s">
        <v>308</v>
      </c>
      <c r="D921" s="2" t="s">
        <v>326</v>
      </c>
      <c r="E921" s="2" t="s">
        <v>25</v>
      </c>
      <c r="F921" s="2">
        <v>2503513.0</v>
      </c>
      <c r="G921" s="2">
        <v>661739.0</v>
      </c>
      <c r="H921" s="2">
        <v>3165252.0</v>
      </c>
      <c r="I921" s="2">
        <v>995929.0</v>
      </c>
      <c r="J921" s="2">
        <v>2169323.0</v>
      </c>
    </row>
    <row r="922">
      <c r="A922" s="2">
        <v>2025.0</v>
      </c>
      <c r="B922" s="1" t="s">
        <v>745</v>
      </c>
      <c r="C922" s="2" t="s">
        <v>308</v>
      </c>
      <c r="D922" s="2"/>
      <c r="E922" s="2" t="s">
        <v>898</v>
      </c>
      <c r="F922" s="2">
        <v>202483.0</v>
      </c>
      <c r="G922" s="2">
        <v>111613.0</v>
      </c>
      <c r="H922" s="2">
        <v>314096.0</v>
      </c>
      <c r="I922" s="2">
        <v>88668.0</v>
      </c>
      <c r="J922" s="2">
        <v>225428.0</v>
      </c>
    </row>
    <row r="923">
      <c r="A923" s="2">
        <v>2025.0</v>
      </c>
      <c r="B923" s="1" t="s">
        <v>745</v>
      </c>
      <c r="C923" s="2" t="s">
        <v>308</v>
      </c>
      <c r="D923" s="2"/>
      <c r="E923" s="2" t="s">
        <v>891</v>
      </c>
      <c r="F923" s="2">
        <v>2137842.0</v>
      </c>
      <c r="G923" s="2">
        <v>3796371.0</v>
      </c>
      <c r="H923" s="2">
        <v>5934213.0</v>
      </c>
      <c r="I923" s="2">
        <v>3440997.0</v>
      </c>
      <c r="J923" s="2">
        <v>2493216.0</v>
      </c>
    </row>
    <row r="924">
      <c r="A924" s="2">
        <v>2025.0</v>
      </c>
      <c r="B924" s="1" t="s">
        <v>745</v>
      </c>
      <c r="C924" s="2" t="s">
        <v>308</v>
      </c>
      <c r="D924" s="2" t="s">
        <v>899</v>
      </c>
      <c r="E924" s="2" t="s">
        <v>900</v>
      </c>
      <c r="F924" s="2">
        <v>701900.0</v>
      </c>
      <c r="G924" s="2">
        <v>2842250.0</v>
      </c>
      <c r="H924" s="2">
        <v>3544150.0</v>
      </c>
      <c r="I924" s="2">
        <v>2468845.0</v>
      </c>
      <c r="J924" s="2">
        <v>1075305.0</v>
      </c>
    </row>
    <row r="925">
      <c r="A925" s="2">
        <v>2025.0</v>
      </c>
      <c r="B925" s="1" t="s">
        <v>745</v>
      </c>
      <c r="C925" s="2" t="s">
        <v>308</v>
      </c>
      <c r="D925" s="2"/>
      <c r="E925" s="2" t="s">
        <v>891</v>
      </c>
      <c r="F925" s="2">
        <v>0.0</v>
      </c>
      <c r="G925" s="2">
        <v>2937306.0</v>
      </c>
      <c r="H925" s="2">
        <v>2937306.0</v>
      </c>
      <c r="I925" s="2">
        <v>2357884.0</v>
      </c>
      <c r="J925" s="2">
        <v>579422.0</v>
      </c>
    </row>
    <row r="926">
      <c r="A926" s="2">
        <v>2025.0</v>
      </c>
      <c r="B926" s="1" t="s">
        <v>745</v>
      </c>
      <c r="C926" s="2" t="s">
        <v>308</v>
      </c>
      <c r="D926" s="2"/>
      <c r="E926" s="2" t="s">
        <v>25</v>
      </c>
      <c r="F926" s="2">
        <v>2231213.0</v>
      </c>
      <c r="G926" s="2">
        <v>797114.0</v>
      </c>
      <c r="H926" s="2">
        <v>3028327.0</v>
      </c>
      <c r="I926" s="2">
        <v>1623237.0</v>
      </c>
      <c r="J926" s="2">
        <v>1405090.0</v>
      </c>
    </row>
    <row r="927">
      <c r="A927" s="2">
        <v>2025.0</v>
      </c>
      <c r="B927" s="1" t="s">
        <v>745</v>
      </c>
      <c r="C927" s="2" t="s">
        <v>308</v>
      </c>
      <c r="D927" s="2" t="s">
        <v>901</v>
      </c>
      <c r="E927" s="2" t="s">
        <v>25</v>
      </c>
      <c r="F927" s="2">
        <v>1495666.0</v>
      </c>
      <c r="G927" s="2">
        <v>691546.0</v>
      </c>
      <c r="H927" s="2">
        <v>2187212.0</v>
      </c>
      <c r="I927" s="2">
        <v>1504400.0</v>
      </c>
      <c r="J927" s="2">
        <v>682812.0</v>
      </c>
    </row>
    <row r="928">
      <c r="A928" s="2">
        <v>2025.0</v>
      </c>
      <c r="B928" s="1" t="s">
        <v>745</v>
      </c>
      <c r="C928" s="2" t="s">
        <v>308</v>
      </c>
      <c r="D928" s="2"/>
      <c r="E928" s="2" t="s">
        <v>891</v>
      </c>
      <c r="F928" s="2">
        <v>586714.0</v>
      </c>
      <c r="G928" s="2">
        <v>3558903.0</v>
      </c>
      <c r="H928" s="2">
        <v>4145617.0</v>
      </c>
      <c r="I928" s="2">
        <v>3631900.0</v>
      </c>
      <c r="J928" s="2">
        <v>513717.0</v>
      </c>
    </row>
    <row r="929">
      <c r="A929" s="2">
        <v>2025.0</v>
      </c>
      <c r="B929" s="1" t="s">
        <v>745</v>
      </c>
      <c r="C929" s="2" t="s">
        <v>308</v>
      </c>
      <c r="D929" s="2"/>
      <c r="E929" s="2" t="s">
        <v>32</v>
      </c>
      <c r="F929" s="2">
        <v>43935.0</v>
      </c>
      <c r="G929" s="2">
        <v>195627.0</v>
      </c>
      <c r="H929" s="2">
        <v>239562.0</v>
      </c>
      <c r="I929" s="2">
        <v>133619.0</v>
      </c>
      <c r="J929" s="2">
        <v>105943.0</v>
      </c>
    </row>
    <row r="930">
      <c r="A930" s="2">
        <v>2025.0</v>
      </c>
      <c r="B930" s="1" t="s">
        <v>745</v>
      </c>
      <c r="C930" s="2" t="s">
        <v>308</v>
      </c>
      <c r="D930" s="2" t="s">
        <v>903</v>
      </c>
      <c r="E930" s="2" t="s">
        <v>25</v>
      </c>
      <c r="F930" s="2">
        <v>2310995.0</v>
      </c>
      <c r="G930" s="2">
        <v>717313.0</v>
      </c>
      <c r="H930" s="2">
        <v>3028308.0</v>
      </c>
      <c r="I930" s="2">
        <v>2390548.0</v>
      </c>
      <c r="J930" s="2">
        <v>637760.0</v>
      </c>
    </row>
    <row r="931">
      <c r="A931" s="2">
        <v>2025.0</v>
      </c>
      <c r="B931" s="1" t="s">
        <v>745</v>
      </c>
      <c r="C931" s="2" t="s">
        <v>308</v>
      </c>
      <c r="D931" s="2"/>
      <c r="E931" s="2" t="s">
        <v>891</v>
      </c>
      <c r="F931" s="2">
        <v>1791809.0</v>
      </c>
      <c r="G931" s="2">
        <v>3855059.0</v>
      </c>
      <c r="H931" s="2">
        <v>5646868.0</v>
      </c>
      <c r="I931" s="2">
        <v>4599397.0</v>
      </c>
      <c r="J931" s="2">
        <v>1047471.0</v>
      </c>
    </row>
    <row r="932">
      <c r="A932" s="2">
        <v>2025.0</v>
      </c>
      <c r="B932" s="1" t="s">
        <v>745</v>
      </c>
      <c r="C932" s="2" t="s">
        <v>308</v>
      </c>
      <c r="D932" s="2"/>
      <c r="E932" s="2" t="s">
        <v>32</v>
      </c>
      <c r="F932" s="2">
        <v>47332.0</v>
      </c>
      <c r="G932" s="2">
        <v>383750.0</v>
      </c>
      <c r="H932" s="2">
        <v>431082.0</v>
      </c>
      <c r="I932" s="2">
        <v>162677.0</v>
      </c>
      <c r="J932" s="2">
        <v>268405.0</v>
      </c>
    </row>
    <row r="933">
      <c r="A933" s="2">
        <v>2025.0</v>
      </c>
      <c r="B933" s="1" t="s">
        <v>745</v>
      </c>
      <c r="C933" s="2" t="s">
        <v>308</v>
      </c>
      <c r="D933" s="2" t="s">
        <v>904</v>
      </c>
      <c r="E933" s="2" t="s">
        <v>25</v>
      </c>
      <c r="F933" s="2">
        <v>1567992.0</v>
      </c>
      <c r="G933" s="2">
        <v>475101.0</v>
      </c>
      <c r="H933" s="2">
        <v>2043093.0</v>
      </c>
      <c r="I933" s="2">
        <v>1701680.0</v>
      </c>
      <c r="J933" s="2">
        <v>341413.0</v>
      </c>
    </row>
    <row r="934">
      <c r="A934" s="2">
        <v>2025.0</v>
      </c>
      <c r="B934" s="1" t="s">
        <v>745</v>
      </c>
      <c r="C934" s="2" t="s">
        <v>308</v>
      </c>
      <c r="D934" s="2"/>
      <c r="E934" s="2" t="s">
        <v>27</v>
      </c>
      <c r="F934" s="2">
        <v>3777.0</v>
      </c>
      <c r="G934" s="2">
        <v>1669722.0</v>
      </c>
      <c r="H934" s="2">
        <v>1673499.0</v>
      </c>
      <c r="I934" s="2">
        <v>1648322.0</v>
      </c>
      <c r="J934" s="2">
        <v>25177.0</v>
      </c>
    </row>
    <row r="935">
      <c r="A935" s="2">
        <v>2025.0</v>
      </c>
      <c r="B935" s="1" t="s">
        <v>745</v>
      </c>
      <c r="C935" s="2" t="s">
        <v>308</v>
      </c>
      <c r="D935" s="2"/>
      <c r="E935" s="2" t="s">
        <v>78</v>
      </c>
      <c r="F935" s="2">
        <v>390049.0</v>
      </c>
      <c r="G935" s="2">
        <v>1626714.0</v>
      </c>
      <c r="H935" s="2">
        <v>2016763.0</v>
      </c>
      <c r="I935" s="2">
        <v>1510222.0</v>
      </c>
      <c r="J935" s="2">
        <v>506541.0</v>
      </c>
    </row>
    <row r="936">
      <c r="A936" s="2">
        <v>2025.0</v>
      </c>
      <c r="B936" s="1" t="s">
        <v>745</v>
      </c>
      <c r="C936" s="2" t="s">
        <v>308</v>
      </c>
      <c r="D936" s="2"/>
      <c r="E936" s="2" t="s">
        <v>905</v>
      </c>
      <c r="F936" s="2">
        <v>2970.0</v>
      </c>
      <c r="G936" s="2">
        <v>32581.0</v>
      </c>
      <c r="H936" s="2">
        <v>35551.0</v>
      </c>
      <c r="I936" s="2">
        <v>32672.0</v>
      </c>
      <c r="J936" s="2">
        <v>2879.0</v>
      </c>
    </row>
    <row r="937">
      <c r="A937" s="2">
        <v>2025.0</v>
      </c>
      <c r="B937" s="1" t="s">
        <v>745</v>
      </c>
      <c r="C937" s="2" t="s">
        <v>308</v>
      </c>
      <c r="D937" s="2"/>
      <c r="E937" s="2" t="s">
        <v>32</v>
      </c>
      <c r="F937" s="2">
        <v>0.0</v>
      </c>
      <c r="G937" s="2">
        <v>92073.0</v>
      </c>
      <c r="H937" s="2">
        <v>92073.0</v>
      </c>
      <c r="I937" s="2">
        <v>5472.0</v>
      </c>
      <c r="J937" s="2">
        <v>86601.0</v>
      </c>
    </row>
    <row r="938">
      <c r="A938" s="2">
        <v>2025.0</v>
      </c>
      <c r="B938" s="1" t="s">
        <v>745</v>
      </c>
      <c r="C938" s="2" t="s">
        <v>906</v>
      </c>
      <c r="D938" s="2" t="s">
        <v>907</v>
      </c>
      <c r="E938" s="2" t="s">
        <v>908</v>
      </c>
      <c r="F938" s="2">
        <v>3182450.0</v>
      </c>
      <c r="G938" s="2">
        <v>1770477.0</v>
      </c>
      <c r="H938" s="2">
        <v>4952927.0</v>
      </c>
      <c r="I938" s="2">
        <v>1997153.0</v>
      </c>
      <c r="J938" s="2">
        <v>2955774.0</v>
      </c>
    </row>
    <row r="939">
      <c r="A939" s="2">
        <v>2025.0</v>
      </c>
      <c r="B939" s="1" t="s">
        <v>745</v>
      </c>
      <c r="C939" s="2" t="s">
        <v>906</v>
      </c>
      <c r="D939" s="2"/>
      <c r="E939" s="2" t="s">
        <v>25</v>
      </c>
      <c r="F939" s="2">
        <v>2587862.0</v>
      </c>
      <c r="G939" s="2">
        <v>530540.0</v>
      </c>
      <c r="H939" s="2">
        <v>3118402.0</v>
      </c>
      <c r="I939" s="2">
        <v>870496.0</v>
      </c>
      <c r="J939" s="2">
        <v>2247906.0</v>
      </c>
    </row>
    <row r="940">
      <c r="A940" s="2">
        <v>2025.0</v>
      </c>
      <c r="B940" s="1" t="s">
        <v>745</v>
      </c>
      <c r="C940" s="2" t="s">
        <v>906</v>
      </c>
      <c r="D940" s="2"/>
      <c r="E940" s="2" t="s">
        <v>32</v>
      </c>
      <c r="F940" s="2">
        <v>22263.0</v>
      </c>
      <c r="G940" s="2">
        <v>64892.0</v>
      </c>
      <c r="H940" s="2">
        <v>87155.0</v>
      </c>
      <c r="I940" s="2">
        <v>50301.0</v>
      </c>
      <c r="J940" s="2">
        <v>36854.0</v>
      </c>
    </row>
    <row r="941">
      <c r="A941" s="2">
        <v>2025.0</v>
      </c>
      <c r="B941" s="1" t="s">
        <v>745</v>
      </c>
      <c r="C941" s="2" t="s">
        <v>906</v>
      </c>
      <c r="D941" s="2" t="s">
        <v>909</v>
      </c>
      <c r="E941" s="2" t="s">
        <v>910</v>
      </c>
      <c r="F941" s="2">
        <v>1612643.0</v>
      </c>
      <c r="G941" s="2">
        <v>2471403.0</v>
      </c>
      <c r="H941" s="2">
        <v>4084046.0</v>
      </c>
      <c r="I941" s="2">
        <v>2313781.0</v>
      </c>
      <c r="J941" s="2">
        <v>1770265.0</v>
      </c>
    </row>
    <row r="942">
      <c r="A942" s="2">
        <v>2025.0</v>
      </c>
      <c r="B942" s="1" t="s">
        <v>745</v>
      </c>
      <c r="C942" s="2" t="s">
        <v>906</v>
      </c>
      <c r="D942" s="2"/>
      <c r="E942" s="2" t="s">
        <v>25</v>
      </c>
      <c r="F942" s="2">
        <v>555208.0</v>
      </c>
      <c r="G942" s="2">
        <v>225486.0</v>
      </c>
      <c r="H942" s="2">
        <v>780694.0</v>
      </c>
      <c r="I942" s="2">
        <v>184310.0</v>
      </c>
      <c r="J942" s="2">
        <v>596384.0</v>
      </c>
    </row>
    <row r="943">
      <c r="A943" s="2">
        <v>2025.0</v>
      </c>
      <c r="B943" s="1" t="s">
        <v>745</v>
      </c>
      <c r="C943" s="2" t="s">
        <v>906</v>
      </c>
      <c r="D943" s="2"/>
      <c r="E943" s="2" t="s">
        <v>27</v>
      </c>
      <c r="F943" s="2">
        <v>180399.0</v>
      </c>
      <c r="G943" s="2">
        <v>588116.0</v>
      </c>
      <c r="H943" s="2">
        <v>768515.0</v>
      </c>
      <c r="I943" s="2">
        <v>577771.0</v>
      </c>
      <c r="J943" s="2">
        <v>190744.0</v>
      </c>
    </row>
    <row r="944">
      <c r="A944" s="2">
        <v>2025.0</v>
      </c>
      <c r="B944" s="1" t="s">
        <v>745</v>
      </c>
      <c r="C944" s="2" t="s">
        <v>906</v>
      </c>
      <c r="D944" s="2"/>
      <c r="E944" s="2" t="s">
        <v>32</v>
      </c>
      <c r="F944" s="2">
        <v>305918.0</v>
      </c>
      <c r="G944" s="2">
        <v>48129.0</v>
      </c>
      <c r="H944" s="2">
        <v>354047.0</v>
      </c>
      <c r="I944" s="2">
        <v>247882.0</v>
      </c>
      <c r="J944" s="2">
        <v>106165.0</v>
      </c>
    </row>
    <row r="945">
      <c r="A945" s="2">
        <v>2025.0</v>
      </c>
      <c r="B945" s="1" t="s">
        <v>745</v>
      </c>
      <c r="C945" s="2" t="s">
        <v>906</v>
      </c>
      <c r="D945" s="2" t="s">
        <v>911</v>
      </c>
      <c r="E945" s="2" t="s">
        <v>908</v>
      </c>
      <c r="F945" s="2">
        <v>1682926.0</v>
      </c>
      <c r="G945" s="2">
        <v>1255498.0</v>
      </c>
      <c r="H945" s="2">
        <v>2938424.0</v>
      </c>
      <c r="I945" s="2">
        <v>779506.0</v>
      </c>
      <c r="J945" s="2">
        <v>2158918.0</v>
      </c>
    </row>
    <row r="946">
      <c r="A946" s="2">
        <v>2025.0</v>
      </c>
      <c r="B946" s="1" t="s">
        <v>745</v>
      </c>
      <c r="C946" s="2" t="s">
        <v>906</v>
      </c>
      <c r="D946" s="2"/>
      <c r="E946" s="2" t="s">
        <v>27</v>
      </c>
      <c r="F946" s="2">
        <v>193317.0</v>
      </c>
      <c r="G946" s="2">
        <v>1463807.0</v>
      </c>
      <c r="H946" s="2">
        <v>1657124.0</v>
      </c>
      <c r="I946" s="2">
        <v>1227728.0</v>
      </c>
      <c r="J946" s="2">
        <v>429396.0</v>
      </c>
    </row>
    <row r="947">
      <c r="A947" s="2">
        <v>2025.0</v>
      </c>
      <c r="B947" s="1" t="s">
        <v>745</v>
      </c>
      <c r="C947" s="2" t="s">
        <v>906</v>
      </c>
      <c r="D947" s="2"/>
      <c r="E947" s="2" t="s">
        <v>25</v>
      </c>
      <c r="F947" s="2">
        <v>1287624.0</v>
      </c>
      <c r="G947" s="2">
        <v>334382.0</v>
      </c>
      <c r="H947" s="2">
        <v>1622006.0</v>
      </c>
      <c r="I947" s="2">
        <v>688144.0</v>
      </c>
      <c r="J947" s="2">
        <v>933862.0</v>
      </c>
    </row>
    <row r="948">
      <c r="A948" s="2">
        <v>2025.0</v>
      </c>
      <c r="B948" s="1" t="s">
        <v>745</v>
      </c>
      <c r="C948" s="2" t="s">
        <v>906</v>
      </c>
      <c r="D948" s="2"/>
      <c r="E948" s="2" t="s">
        <v>775</v>
      </c>
      <c r="F948" s="2">
        <v>0.0</v>
      </c>
      <c r="G948" s="2">
        <v>40487.0</v>
      </c>
      <c r="H948" s="2">
        <v>40487.0</v>
      </c>
      <c r="I948" s="2">
        <v>413.0</v>
      </c>
      <c r="J948" s="2">
        <v>40074.0</v>
      </c>
    </row>
    <row r="949">
      <c r="A949" s="2">
        <v>2025.0</v>
      </c>
      <c r="B949" s="1" t="s">
        <v>745</v>
      </c>
      <c r="C949" s="2" t="s">
        <v>906</v>
      </c>
      <c r="D949" s="2"/>
      <c r="E949" s="2" t="s">
        <v>805</v>
      </c>
      <c r="F949" s="2">
        <v>97222.0</v>
      </c>
      <c r="G949" s="2">
        <v>97312.0</v>
      </c>
      <c r="H949" s="2">
        <v>194534.0</v>
      </c>
      <c r="I949" s="2">
        <v>191000.0</v>
      </c>
      <c r="J949" s="2">
        <v>3534.0</v>
      </c>
    </row>
    <row r="950">
      <c r="A950" s="2">
        <v>2025.0</v>
      </c>
      <c r="B950" s="1" t="s">
        <v>745</v>
      </c>
      <c r="C950" s="2" t="s">
        <v>906</v>
      </c>
      <c r="D950" s="2" t="s">
        <v>912</v>
      </c>
      <c r="E950" s="2" t="s">
        <v>25</v>
      </c>
      <c r="F950" s="2">
        <v>1079029.0</v>
      </c>
      <c r="G950" s="2">
        <v>287354.0</v>
      </c>
      <c r="H950" s="2">
        <v>1366383.0</v>
      </c>
      <c r="I950" s="2">
        <v>432320.0</v>
      </c>
      <c r="J950" s="2">
        <v>934063.0</v>
      </c>
    </row>
    <row r="951">
      <c r="A951" s="2">
        <v>2025.0</v>
      </c>
      <c r="B951" s="1" t="s">
        <v>745</v>
      </c>
      <c r="C951" s="2" t="s">
        <v>906</v>
      </c>
      <c r="D951" s="2"/>
      <c r="E951" s="2" t="s">
        <v>913</v>
      </c>
      <c r="F951" s="2">
        <v>2439939.0</v>
      </c>
      <c r="G951" s="2">
        <v>1643546.0</v>
      </c>
      <c r="H951" s="2">
        <v>4083485.0</v>
      </c>
      <c r="I951" s="2">
        <v>1768062.0</v>
      </c>
      <c r="J951" s="2">
        <v>2315423.0</v>
      </c>
    </row>
    <row r="952">
      <c r="A952" s="2">
        <v>2025.0</v>
      </c>
      <c r="B952" s="1" t="s">
        <v>745</v>
      </c>
      <c r="C952" s="2" t="s">
        <v>906</v>
      </c>
      <c r="D952" s="2"/>
      <c r="E952" s="2" t="s">
        <v>914</v>
      </c>
      <c r="F952" s="2">
        <v>284002.0</v>
      </c>
      <c r="G952" s="2">
        <v>1002103.0</v>
      </c>
      <c r="H952" s="2">
        <v>1286105.0</v>
      </c>
      <c r="I952" s="2">
        <v>941950.0</v>
      </c>
      <c r="J952" s="2">
        <v>344155.0</v>
      </c>
    </row>
    <row r="953">
      <c r="A953" s="2">
        <v>2025.0</v>
      </c>
      <c r="B953" s="1" t="s">
        <v>745</v>
      </c>
      <c r="C953" s="2" t="s">
        <v>906</v>
      </c>
      <c r="D953" s="2"/>
      <c r="E953" s="2" t="s">
        <v>775</v>
      </c>
      <c r="F953" s="2">
        <v>0.0</v>
      </c>
      <c r="G953" s="2">
        <v>59200.0</v>
      </c>
      <c r="H953" s="2">
        <v>59200.0</v>
      </c>
      <c r="I953" s="2">
        <v>59.0</v>
      </c>
      <c r="J953" s="2">
        <v>59141.0</v>
      </c>
    </row>
    <row r="954">
      <c r="A954" s="2">
        <v>2025.0</v>
      </c>
      <c r="B954" s="1" t="s">
        <v>745</v>
      </c>
      <c r="C954" s="2" t="s">
        <v>906</v>
      </c>
      <c r="D954" s="2" t="s">
        <v>915</v>
      </c>
      <c r="E954" s="2" t="s">
        <v>25</v>
      </c>
      <c r="F954" s="4">
        <v>1970136.0</v>
      </c>
      <c r="G954" s="2">
        <v>600512.0</v>
      </c>
      <c r="H954" s="4">
        <v>2570648.0</v>
      </c>
      <c r="I954" s="4">
        <v>990064.0</v>
      </c>
      <c r="J954" s="2">
        <v>1580584.0</v>
      </c>
    </row>
    <row r="955">
      <c r="A955" s="2">
        <v>2025.0</v>
      </c>
      <c r="B955" s="1" t="s">
        <v>745</v>
      </c>
      <c r="C955" s="2" t="s">
        <v>906</v>
      </c>
      <c r="D955" s="2"/>
      <c r="E955" s="2" t="s">
        <v>47</v>
      </c>
      <c r="F955" s="2">
        <v>2823327.0</v>
      </c>
      <c r="G955" s="2">
        <v>3095512.0</v>
      </c>
      <c r="H955" s="2">
        <v>5918839.0</v>
      </c>
      <c r="I955" s="2">
        <v>2598213.0</v>
      </c>
      <c r="J955" s="2">
        <v>3320626.0</v>
      </c>
    </row>
    <row r="956">
      <c r="A956" s="2">
        <v>2025.0</v>
      </c>
      <c r="B956" s="1" t="s">
        <v>745</v>
      </c>
      <c r="C956" s="2" t="s">
        <v>906</v>
      </c>
      <c r="D956" s="2" t="s">
        <v>916</v>
      </c>
      <c r="E956" s="2" t="s">
        <v>25</v>
      </c>
      <c r="F956" s="2">
        <v>2972925.0</v>
      </c>
      <c r="G956" s="2">
        <v>759034.0</v>
      </c>
      <c r="H956" s="2">
        <v>3731959.0</v>
      </c>
      <c r="I956" s="2">
        <v>1388587.0</v>
      </c>
      <c r="J956" s="2">
        <v>2343372.0</v>
      </c>
    </row>
    <row r="957">
      <c r="A957" s="2">
        <v>2025.0</v>
      </c>
      <c r="B957" s="1" t="s">
        <v>745</v>
      </c>
      <c r="C957" s="2" t="s">
        <v>906</v>
      </c>
      <c r="D957" s="2"/>
      <c r="E957" s="2" t="s">
        <v>394</v>
      </c>
      <c r="F957" s="2">
        <v>2130994.0</v>
      </c>
      <c r="G957" s="2">
        <v>3542073.0</v>
      </c>
      <c r="H957" s="2">
        <v>5673067.0</v>
      </c>
      <c r="I957" s="2">
        <v>2131568.0</v>
      </c>
      <c r="J957" s="2">
        <v>3541499.0</v>
      </c>
    </row>
    <row r="958">
      <c r="A958" s="2">
        <v>2025.0</v>
      </c>
      <c r="B958" s="1" t="s">
        <v>745</v>
      </c>
      <c r="C958" s="2" t="s">
        <v>906</v>
      </c>
      <c r="D958" s="2" t="s">
        <v>917</v>
      </c>
      <c r="E958" s="2" t="s">
        <v>25</v>
      </c>
      <c r="F958" s="2">
        <v>1696285.0</v>
      </c>
      <c r="G958" s="2">
        <v>428091.0</v>
      </c>
      <c r="H958" s="2">
        <v>2124376.0</v>
      </c>
      <c r="I958" s="2">
        <v>386927.0</v>
      </c>
      <c r="J958" s="2">
        <v>1737449.0</v>
      </c>
    </row>
    <row r="959">
      <c r="A959" s="2">
        <v>2025.0</v>
      </c>
      <c r="B959" s="1" t="s">
        <v>745</v>
      </c>
      <c r="C959" s="2" t="s">
        <v>906</v>
      </c>
      <c r="D959" s="2"/>
      <c r="E959" s="2" t="s">
        <v>56</v>
      </c>
      <c r="F959" s="2">
        <v>845628.0</v>
      </c>
      <c r="G959" s="2">
        <v>1423265.0</v>
      </c>
      <c r="H959" s="2">
        <v>2268893.0</v>
      </c>
      <c r="I959" s="2">
        <v>1144562.0</v>
      </c>
      <c r="J959" s="2">
        <v>1124331.0</v>
      </c>
    </row>
    <row r="960">
      <c r="A960" s="2">
        <v>2025.0</v>
      </c>
      <c r="B960" s="1" t="s">
        <v>745</v>
      </c>
      <c r="C960" s="2" t="s">
        <v>906</v>
      </c>
      <c r="D960" s="2"/>
      <c r="E960" s="2" t="s">
        <v>32</v>
      </c>
      <c r="F960" s="2">
        <v>58689.0</v>
      </c>
      <c r="G960" s="2">
        <v>41075.0</v>
      </c>
      <c r="H960" s="2">
        <v>99764.0</v>
      </c>
      <c r="I960" s="2">
        <v>81972.0</v>
      </c>
      <c r="J960" s="2">
        <v>17792.0</v>
      </c>
    </row>
    <row r="961">
      <c r="A961" s="2">
        <v>2025.0</v>
      </c>
      <c r="B961" s="1" t="s">
        <v>745</v>
      </c>
      <c r="C961" s="2" t="s">
        <v>280</v>
      </c>
      <c r="D961" s="2" t="s">
        <v>918</v>
      </c>
      <c r="E961" s="2" t="s">
        <v>25</v>
      </c>
      <c r="F961" s="2">
        <v>2513708.0</v>
      </c>
      <c r="G961" s="2">
        <v>830932.0</v>
      </c>
      <c r="H961" s="2">
        <v>3344640.0</v>
      </c>
      <c r="I961" s="2">
        <v>577152.0</v>
      </c>
      <c r="J961" s="2">
        <v>2767488.0</v>
      </c>
    </row>
    <row r="962">
      <c r="A962" s="2">
        <v>2025.0</v>
      </c>
      <c r="B962" s="1" t="s">
        <v>745</v>
      </c>
      <c r="C962" s="2" t="s">
        <v>280</v>
      </c>
      <c r="D962" s="2"/>
      <c r="E962" s="2" t="s">
        <v>919</v>
      </c>
      <c r="F962" s="2">
        <v>3295913.0</v>
      </c>
      <c r="G962" s="2">
        <v>3038986.0</v>
      </c>
      <c r="H962" s="2">
        <v>6334899.0</v>
      </c>
      <c r="I962" s="2">
        <v>2375068.0</v>
      </c>
      <c r="J962" s="2">
        <v>3959831.0</v>
      </c>
    </row>
    <row r="963">
      <c r="A963" s="2">
        <v>2025.0</v>
      </c>
      <c r="B963" s="1" t="s">
        <v>745</v>
      </c>
      <c r="C963" s="2" t="s">
        <v>280</v>
      </c>
      <c r="D963" s="2"/>
      <c r="E963" s="2" t="s">
        <v>920</v>
      </c>
      <c r="F963" s="2">
        <v>3295913.0</v>
      </c>
      <c r="G963" s="2">
        <v>2928724.0</v>
      </c>
      <c r="H963" s="2">
        <v>6224637.0</v>
      </c>
      <c r="I963" s="2">
        <v>2298318.0</v>
      </c>
      <c r="J963" s="2">
        <v>3926319.0</v>
      </c>
    </row>
    <row r="964">
      <c r="A964" s="2">
        <v>2025.0</v>
      </c>
      <c r="B964" s="1" t="s">
        <v>745</v>
      </c>
      <c r="C964" s="2" t="s">
        <v>280</v>
      </c>
      <c r="D964" s="2" t="s">
        <v>288</v>
      </c>
      <c r="E964" s="2" t="s">
        <v>25</v>
      </c>
      <c r="F964" s="2">
        <v>7973458.0</v>
      </c>
      <c r="G964" s="2">
        <v>2062070.0</v>
      </c>
      <c r="H964" s="2">
        <v>1.0035528E7</v>
      </c>
      <c r="I964" s="2">
        <v>3031073.0</v>
      </c>
      <c r="J964" s="2">
        <v>7004455.0</v>
      </c>
    </row>
    <row r="965">
      <c r="A965" s="2">
        <v>2025.0</v>
      </c>
      <c r="B965" s="1" t="s">
        <v>745</v>
      </c>
      <c r="C965" s="2" t="s">
        <v>280</v>
      </c>
      <c r="D965" s="2"/>
      <c r="E965" s="2" t="s">
        <v>47</v>
      </c>
      <c r="F965" s="2">
        <v>5211520.0</v>
      </c>
      <c r="G965" s="2">
        <v>5166460.0</v>
      </c>
      <c r="H965" s="2">
        <v>1.037798E7</v>
      </c>
      <c r="I965" s="2">
        <v>4549622.0</v>
      </c>
      <c r="J965" s="2">
        <v>5828358.0</v>
      </c>
    </row>
    <row r="966">
      <c r="A966" s="2">
        <v>2025.0</v>
      </c>
      <c r="B966" s="1" t="s">
        <v>745</v>
      </c>
      <c r="C966" s="2" t="s">
        <v>280</v>
      </c>
      <c r="D966" s="2"/>
      <c r="E966" s="2" t="s">
        <v>32</v>
      </c>
      <c r="F966" s="2">
        <v>686423.0</v>
      </c>
      <c r="G966" s="2">
        <v>743046.0</v>
      </c>
      <c r="H966" s="2">
        <v>1429469.0</v>
      </c>
      <c r="I966" s="2">
        <v>702584.0</v>
      </c>
      <c r="J966" s="2">
        <v>726885.0</v>
      </c>
    </row>
    <row r="967">
      <c r="A967" s="2">
        <v>2025.0</v>
      </c>
      <c r="B967" s="1" t="s">
        <v>745</v>
      </c>
      <c r="C967" s="2" t="s">
        <v>280</v>
      </c>
      <c r="D967" s="2" t="s">
        <v>280</v>
      </c>
      <c r="E967" s="2" t="s">
        <v>25</v>
      </c>
      <c r="F967" s="2">
        <v>3287460.0</v>
      </c>
      <c r="G967" s="2">
        <v>1093984.0</v>
      </c>
      <c r="H967" s="2">
        <v>4381444.0</v>
      </c>
      <c r="I967" s="2">
        <v>1338245.0</v>
      </c>
      <c r="J967" s="2">
        <v>3043199.0</v>
      </c>
    </row>
    <row r="968">
      <c r="A968" s="2">
        <v>2025.0</v>
      </c>
      <c r="B968" s="1" t="s">
        <v>745</v>
      </c>
      <c r="C968" s="2" t="s">
        <v>280</v>
      </c>
      <c r="D968" s="2"/>
      <c r="E968" s="2" t="s">
        <v>921</v>
      </c>
      <c r="F968" s="2">
        <v>199495.0</v>
      </c>
      <c r="G968" s="2">
        <v>228605.0</v>
      </c>
      <c r="H968" s="2">
        <v>428100.0</v>
      </c>
      <c r="I968" s="2">
        <v>165340.0</v>
      </c>
      <c r="J968" s="2">
        <v>262760.0</v>
      </c>
    </row>
    <row r="969">
      <c r="A969" s="2">
        <v>2025.0</v>
      </c>
      <c r="B969" s="1" t="s">
        <v>745</v>
      </c>
      <c r="C969" s="2" t="s">
        <v>280</v>
      </c>
      <c r="D969" s="2"/>
      <c r="E969" s="2" t="s">
        <v>922</v>
      </c>
      <c r="F969" s="2">
        <v>0.0</v>
      </c>
      <c r="G969" s="2">
        <v>254734.0</v>
      </c>
      <c r="H969" s="2">
        <v>254734.0</v>
      </c>
      <c r="I969" s="2">
        <v>18088.0</v>
      </c>
      <c r="J969" s="2">
        <v>236646.0</v>
      </c>
    </row>
    <row r="970">
      <c r="A970" s="2">
        <v>2025.0</v>
      </c>
      <c r="B970" s="1" t="s">
        <v>745</v>
      </c>
      <c r="C970" s="2" t="s">
        <v>280</v>
      </c>
      <c r="D970" s="2"/>
      <c r="E970" s="2" t="s">
        <v>47</v>
      </c>
      <c r="F970" s="2">
        <v>3380081.0</v>
      </c>
      <c r="G970" s="2">
        <v>4438287.0</v>
      </c>
      <c r="H970" s="2">
        <v>7818368.0</v>
      </c>
      <c r="I970" s="2">
        <v>4334037.0</v>
      </c>
      <c r="J970" s="2">
        <v>3484331.0</v>
      </c>
    </row>
    <row r="971">
      <c r="A971" s="2">
        <v>2025.0</v>
      </c>
      <c r="B971" s="1" t="s">
        <v>745</v>
      </c>
      <c r="C971" s="2" t="s">
        <v>280</v>
      </c>
      <c r="D971" s="2" t="s">
        <v>286</v>
      </c>
      <c r="E971" s="2" t="s">
        <v>923</v>
      </c>
      <c r="F971" s="2">
        <v>1993967.0</v>
      </c>
      <c r="G971" s="2">
        <v>36516.0</v>
      </c>
      <c r="H971" s="2">
        <v>2030483.0</v>
      </c>
      <c r="I971" s="2">
        <v>324580.0</v>
      </c>
      <c r="J971" s="2">
        <v>1705903.0</v>
      </c>
    </row>
    <row r="972">
      <c r="A972" s="2">
        <v>2025.0</v>
      </c>
      <c r="B972" s="1" t="s">
        <v>745</v>
      </c>
      <c r="C972" s="2" t="s">
        <v>280</v>
      </c>
      <c r="D972" s="2"/>
      <c r="E972" s="2" t="s">
        <v>32</v>
      </c>
      <c r="F972" s="2">
        <v>193837.0</v>
      </c>
      <c r="G972" s="2">
        <v>213376.0</v>
      </c>
      <c r="H972" s="2">
        <v>407213.0</v>
      </c>
      <c r="I972" s="2">
        <v>340914.0</v>
      </c>
      <c r="J972" s="2">
        <v>66299.0</v>
      </c>
    </row>
    <row r="973">
      <c r="A973" s="2">
        <v>2025.0</v>
      </c>
      <c r="B973" s="1" t="s">
        <v>745</v>
      </c>
      <c r="C973" s="2" t="s">
        <v>280</v>
      </c>
      <c r="D973" s="2"/>
      <c r="E973" s="2" t="s">
        <v>25</v>
      </c>
      <c r="F973" s="2">
        <v>5488049.0</v>
      </c>
      <c r="G973" s="2">
        <v>1293802.0</v>
      </c>
      <c r="H973" s="2">
        <v>6781851.0</v>
      </c>
      <c r="I973" s="2">
        <v>2172824.0</v>
      </c>
      <c r="J973" s="2">
        <v>4609027.0</v>
      </c>
    </row>
    <row r="974">
      <c r="A974" s="2">
        <v>2025.0</v>
      </c>
      <c r="B974" s="1" t="s">
        <v>745</v>
      </c>
      <c r="C974" s="2" t="s">
        <v>280</v>
      </c>
      <c r="D974" s="2"/>
      <c r="E974" s="2" t="s">
        <v>47</v>
      </c>
      <c r="F974" s="2">
        <v>8083786.0</v>
      </c>
      <c r="G974" s="2">
        <v>4621516.0</v>
      </c>
      <c r="H974" s="2">
        <v>1.2705302E7</v>
      </c>
      <c r="I974" s="2">
        <v>4269071.0</v>
      </c>
      <c r="J974" s="2">
        <v>8436231.0</v>
      </c>
    </row>
    <row r="975">
      <c r="A975" s="2">
        <v>2025.0</v>
      </c>
      <c r="B975" s="1" t="s">
        <v>745</v>
      </c>
      <c r="C975" s="2" t="s">
        <v>280</v>
      </c>
      <c r="D975" s="2" t="s">
        <v>924</v>
      </c>
      <c r="E975" s="2" t="s">
        <v>25</v>
      </c>
      <c r="F975" s="2">
        <v>3154793.0</v>
      </c>
      <c r="G975" s="2">
        <v>901060.0</v>
      </c>
      <c r="H975" s="2">
        <v>4055853.0</v>
      </c>
      <c r="I975" s="2">
        <v>1550516.0</v>
      </c>
      <c r="J975" s="2">
        <v>2505337.0</v>
      </c>
    </row>
    <row r="976">
      <c r="A976" s="2">
        <v>2025.0</v>
      </c>
      <c r="B976" s="1" t="s">
        <v>745</v>
      </c>
      <c r="C976" s="2" t="s">
        <v>280</v>
      </c>
      <c r="D976" s="2"/>
      <c r="E976" s="2" t="s">
        <v>56</v>
      </c>
      <c r="F976" s="2">
        <v>4909227.0</v>
      </c>
      <c r="G976" s="2">
        <v>3291216.0</v>
      </c>
      <c r="H976" s="2">
        <v>8200443.0</v>
      </c>
      <c r="I976" s="2">
        <v>6359445.0</v>
      </c>
      <c r="J976" s="2">
        <v>1840998.0</v>
      </c>
    </row>
    <row r="977">
      <c r="A977" s="2">
        <v>2025.0</v>
      </c>
      <c r="B977" s="1" t="s">
        <v>745</v>
      </c>
      <c r="C977" s="2" t="s">
        <v>280</v>
      </c>
      <c r="D977" s="2"/>
      <c r="E977" s="2" t="s">
        <v>32</v>
      </c>
      <c r="F977" s="2">
        <v>0.0</v>
      </c>
      <c r="G977" s="2">
        <v>2632945.0</v>
      </c>
      <c r="H977" s="2">
        <v>2632945.0</v>
      </c>
      <c r="I977" s="2">
        <v>2169581.0</v>
      </c>
      <c r="J977" s="2">
        <v>463364.0</v>
      </c>
    </row>
    <row r="978">
      <c r="A978" s="2">
        <v>2025.0</v>
      </c>
      <c r="B978" s="1" t="s">
        <v>745</v>
      </c>
      <c r="C978" s="2" t="s">
        <v>925</v>
      </c>
      <c r="D978" s="2" t="s">
        <v>926</v>
      </c>
      <c r="E978" s="2" t="s">
        <v>891</v>
      </c>
      <c r="F978" s="2">
        <v>3993531.0</v>
      </c>
      <c r="G978" s="2">
        <v>3103729.0</v>
      </c>
      <c r="H978" s="2">
        <v>7097260.0</v>
      </c>
      <c r="I978" s="2">
        <v>3156426.0</v>
      </c>
      <c r="J978" s="2">
        <v>3940834.0</v>
      </c>
    </row>
    <row r="979">
      <c r="A979" s="2">
        <v>2025.0</v>
      </c>
      <c r="B979" s="1" t="s">
        <v>745</v>
      </c>
      <c r="C979" s="2" t="s">
        <v>925</v>
      </c>
      <c r="D979" s="2"/>
      <c r="E979" s="2" t="s">
        <v>805</v>
      </c>
      <c r="F979" s="2">
        <v>666823.0</v>
      </c>
      <c r="G979" s="2">
        <v>188200.0</v>
      </c>
      <c r="H979" s="2">
        <v>855023.0</v>
      </c>
      <c r="I979" s="2">
        <v>686982.0</v>
      </c>
      <c r="J979" s="2">
        <v>168041.0</v>
      </c>
    </row>
    <row r="980">
      <c r="A980" s="2">
        <v>2025.0</v>
      </c>
      <c r="B980" s="1" t="s">
        <v>745</v>
      </c>
      <c r="C980" s="2" t="s">
        <v>925</v>
      </c>
      <c r="D980" s="2"/>
      <c r="E980" s="2" t="s">
        <v>775</v>
      </c>
      <c r="F980" s="2">
        <v>0.0</v>
      </c>
      <c r="G980" s="2">
        <v>1675122.0</v>
      </c>
      <c r="H980" s="2">
        <v>1675122.0</v>
      </c>
      <c r="I980" s="2">
        <v>472.0</v>
      </c>
      <c r="J980" s="2">
        <v>1674650.0</v>
      </c>
    </row>
    <row r="981">
      <c r="A981" s="2">
        <v>2025.0</v>
      </c>
      <c r="B981" s="1" t="s">
        <v>745</v>
      </c>
      <c r="C981" s="2" t="s">
        <v>925</v>
      </c>
      <c r="D981" s="2"/>
      <c r="E981" s="2" t="s">
        <v>25</v>
      </c>
      <c r="F981" s="2">
        <v>3905859.0</v>
      </c>
      <c r="G981" s="2">
        <v>904280.0</v>
      </c>
      <c r="H981" s="2">
        <v>4810139.0</v>
      </c>
      <c r="I981" s="2">
        <v>2793908.0</v>
      </c>
      <c r="J981" s="2">
        <v>2016231.0</v>
      </c>
    </row>
    <row r="982">
      <c r="A982" s="2">
        <v>2025.0</v>
      </c>
      <c r="B982" s="1" t="s">
        <v>745</v>
      </c>
      <c r="C982" s="2" t="s">
        <v>925</v>
      </c>
      <c r="D982" s="2" t="s">
        <v>928</v>
      </c>
      <c r="E982" s="2" t="s">
        <v>775</v>
      </c>
      <c r="F982" s="2">
        <v>1224362.0</v>
      </c>
      <c r="G982" s="2">
        <v>2857606.0</v>
      </c>
      <c r="H982" s="2">
        <v>4081968.0</v>
      </c>
      <c r="I982" s="2">
        <v>1742454.0</v>
      </c>
      <c r="J982" s="2">
        <v>2339514.0</v>
      </c>
    </row>
    <row r="983">
      <c r="A983" s="2">
        <v>2025.0</v>
      </c>
      <c r="B983" s="1" t="s">
        <v>745</v>
      </c>
      <c r="C983" s="2" t="s">
        <v>925</v>
      </c>
      <c r="D983" s="2"/>
      <c r="E983" s="2" t="s">
        <v>25</v>
      </c>
      <c r="F983" s="2">
        <v>3321014.0</v>
      </c>
      <c r="G983" s="2">
        <v>757020.0</v>
      </c>
      <c r="H983" s="2">
        <v>4078034.0</v>
      </c>
      <c r="I983" s="2">
        <v>2026790.0</v>
      </c>
      <c r="J983" s="2">
        <v>2051244.0</v>
      </c>
    </row>
    <row r="984">
      <c r="A984" s="2">
        <v>2025.0</v>
      </c>
      <c r="B984" s="1" t="s">
        <v>745</v>
      </c>
      <c r="C984" s="2" t="s">
        <v>925</v>
      </c>
      <c r="D984" s="2"/>
      <c r="E984" s="2" t="s">
        <v>78</v>
      </c>
      <c r="F984" s="2">
        <v>1224362.0</v>
      </c>
      <c r="G984" s="2">
        <v>2835610.0</v>
      </c>
      <c r="H984" s="2">
        <v>4059972.0</v>
      </c>
      <c r="I984" s="2">
        <v>1720459.0</v>
      </c>
      <c r="J984" s="2">
        <v>2339513.0</v>
      </c>
    </row>
    <row r="985">
      <c r="A985" s="2">
        <v>2025.0</v>
      </c>
      <c r="B985" s="1" t="s">
        <v>745</v>
      </c>
      <c r="C985" s="2" t="s">
        <v>925</v>
      </c>
      <c r="D985" s="2" t="s">
        <v>929</v>
      </c>
      <c r="E985" s="2" t="s">
        <v>25</v>
      </c>
      <c r="F985" s="2">
        <v>3172570.0</v>
      </c>
      <c r="G985" s="2">
        <v>1430263.0</v>
      </c>
      <c r="H985" s="2">
        <v>4602833.0</v>
      </c>
      <c r="I985" s="2">
        <v>1869060.0</v>
      </c>
      <c r="J985" s="2">
        <v>2733773.0</v>
      </c>
    </row>
    <row r="986">
      <c r="A986" s="2">
        <v>2025.0</v>
      </c>
      <c r="B986" s="1" t="s">
        <v>745</v>
      </c>
      <c r="C986" s="2" t="s">
        <v>925</v>
      </c>
      <c r="D986" s="2"/>
      <c r="E986" s="2" t="s">
        <v>900</v>
      </c>
      <c r="F986" s="2">
        <v>2153621.0</v>
      </c>
      <c r="G986" s="2">
        <v>5950085.0</v>
      </c>
      <c r="H986" s="2">
        <v>8103706.0</v>
      </c>
      <c r="I986" s="2">
        <v>5931871.0</v>
      </c>
      <c r="J986" s="2">
        <v>2171835.0</v>
      </c>
    </row>
    <row r="987">
      <c r="A987" s="2">
        <v>2025.0</v>
      </c>
      <c r="B987" s="1" t="s">
        <v>745</v>
      </c>
      <c r="C987" s="2" t="s">
        <v>925</v>
      </c>
      <c r="D987" s="2" t="s">
        <v>930</v>
      </c>
      <c r="E987" s="2" t="s">
        <v>92</v>
      </c>
      <c r="F987" s="2">
        <v>1561014.0</v>
      </c>
      <c r="G987" s="2">
        <v>3120386.0</v>
      </c>
      <c r="H987" s="2">
        <v>4681400.0</v>
      </c>
      <c r="I987" s="2">
        <v>3364607.0</v>
      </c>
      <c r="J987" s="2">
        <v>1316793.0</v>
      </c>
    </row>
    <row r="988">
      <c r="A988" s="2">
        <v>2025.0</v>
      </c>
      <c r="B988" s="1" t="s">
        <v>745</v>
      </c>
      <c r="C988" s="2" t="s">
        <v>925</v>
      </c>
      <c r="D988" s="2"/>
      <c r="E988" s="2" t="s">
        <v>25</v>
      </c>
      <c r="F988" s="2">
        <v>2727684.0</v>
      </c>
      <c r="G988" s="2">
        <v>790569.0</v>
      </c>
      <c r="H988" s="2">
        <v>3518253.0</v>
      </c>
      <c r="I988" s="2">
        <v>1228900.0</v>
      </c>
      <c r="J988" s="2">
        <v>2289353.0</v>
      </c>
    </row>
    <row r="989">
      <c r="A989" s="2">
        <v>2025.0</v>
      </c>
      <c r="B989" s="1" t="s">
        <v>745</v>
      </c>
      <c r="C989" s="2" t="s">
        <v>925</v>
      </c>
      <c r="D989" s="2"/>
      <c r="E989" s="2" t="s">
        <v>32</v>
      </c>
      <c r="F989" s="2">
        <v>56145.0</v>
      </c>
      <c r="G989" s="2">
        <v>204057.0</v>
      </c>
      <c r="H989" s="2">
        <v>260202.0</v>
      </c>
      <c r="I989" s="2">
        <v>30762.0</v>
      </c>
      <c r="J989" s="2">
        <v>229440.0</v>
      </c>
    </row>
    <row r="990">
      <c r="A990" s="2">
        <v>2025.0</v>
      </c>
      <c r="B990" s="1" t="s">
        <v>745</v>
      </c>
      <c r="C990" s="2" t="s">
        <v>925</v>
      </c>
      <c r="D990" s="2" t="s">
        <v>931</v>
      </c>
      <c r="E990" s="2" t="s">
        <v>279</v>
      </c>
      <c r="F990" s="4">
        <v>3671974.0</v>
      </c>
      <c r="G990" s="2">
        <v>5293790.0</v>
      </c>
      <c r="H990" s="4">
        <v>8965764.0</v>
      </c>
      <c r="I990" s="4">
        <v>5121505.0</v>
      </c>
      <c r="J990" s="2">
        <v>3844259.0</v>
      </c>
    </row>
    <row r="991">
      <c r="A991" s="2">
        <v>2025.0</v>
      </c>
      <c r="B991" s="1" t="s">
        <v>745</v>
      </c>
      <c r="C991" s="2" t="s">
        <v>925</v>
      </c>
      <c r="D991" s="2"/>
      <c r="E991" s="2" t="s">
        <v>32</v>
      </c>
      <c r="F991" s="2">
        <v>296889.0</v>
      </c>
      <c r="G991" s="2">
        <v>601865.0</v>
      </c>
      <c r="H991" s="2">
        <v>898754.0</v>
      </c>
      <c r="I991" s="2">
        <v>730853.0</v>
      </c>
      <c r="J991" s="2">
        <v>167901.0</v>
      </c>
    </row>
    <row r="992">
      <c r="A992" s="2">
        <v>2025.0</v>
      </c>
      <c r="B992" s="1" t="s">
        <v>745</v>
      </c>
      <c r="C992" s="2" t="s">
        <v>925</v>
      </c>
      <c r="D992" s="2"/>
      <c r="E992" s="2" t="s">
        <v>25</v>
      </c>
      <c r="G992" s="2">
        <v>0.0</v>
      </c>
      <c r="H992" s="2">
        <v>0.0</v>
      </c>
      <c r="I992" s="2">
        <v>0.0</v>
      </c>
      <c r="J992" s="2">
        <v>0.0</v>
      </c>
    </row>
    <row r="993">
      <c r="A993" s="2">
        <v>2025.0</v>
      </c>
      <c r="B993" s="1" t="s">
        <v>745</v>
      </c>
      <c r="C993" s="2" t="s">
        <v>925</v>
      </c>
      <c r="D993" s="2" t="s">
        <v>932</v>
      </c>
      <c r="E993" s="2" t="s">
        <v>228</v>
      </c>
      <c r="F993" s="2">
        <v>2832413.0</v>
      </c>
      <c r="G993" s="2">
        <v>4032336.0</v>
      </c>
      <c r="H993" s="2">
        <v>6864749.0</v>
      </c>
      <c r="I993" s="2">
        <v>4221964.0</v>
      </c>
      <c r="J993" s="2">
        <v>2642785.0</v>
      </c>
    </row>
    <row r="994">
      <c r="A994" s="2">
        <v>2025.0</v>
      </c>
      <c r="B994" s="1" t="s">
        <v>745</v>
      </c>
      <c r="C994" s="2" t="s">
        <v>925</v>
      </c>
      <c r="D994" s="2"/>
      <c r="E994" s="2" t="s">
        <v>25</v>
      </c>
      <c r="F994" s="2">
        <v>2540398.0</v>
      </c>
      <c r="G994" s="2">
        <v>1195680.0</v>
      </c>
      <c r="H994" s="2">
        <v>3736078.0</v>
      </c>
      <c r="I994" s="2">
        <v>2034161.0</v>
      </c>
      <c r="J994" s="2">
        <v>1701917.0</v>
      </c>
    </row>
    <row r="995">
      <c r="A995" s="2">
        <v>2025.0</v>
      </c>
      <c r="B995" s="1" t="s">
        <v>745</v>
      </c>
      <c r="C995" s="2" t="s">
        <v>93</v>
      </c>
      <c r="D995" s="2" t="s">
        <v>933</v>
      </c>
      <c r="E995" s="2" t="s">
        <v>32</v>
      </c>
      <c r="F995" s="2">
        <v>175817.0</v>
      </c>
      <c r="G995" s="2">
        <v>617350.0</v>
      </c>
      <c r="H995" s="2">
        <v>793167.0</v>
      </c>
      <c r="I995" s="2">
        <v>528649.0</v>
      </c>
      <c r="J995" s="2">
        <v>264518.0</v>
      </c>
    </row>
    <row r="996">
      <c r="A996" s="2">
        <v>2025.0</v>
      </c>
      <c r="B996" s="1" t="s">
        <v>745</v>
      </c>
      <c r="C996" s="2" t="s">
        <v>93</v>
      </c>
      <c r="D996" s="2"/>
      <c r="E996" s="2" t="s">
        <v>686</v>
      </c>
      <c r="F996" s="2">
        <v>2712516.0</v>
      </c>
      <c r="G996" s="2">
        <v>1565910.0</v>
      </c>
      <c r="H996" s="2">
        <v>4278426.0</v>
      </c>
      <c r="I996" s="2">
        <v>1629105.0</v>
      </c>
      <c r="J996" s="2">
        <v>2649321.0</v>
      </c>
    </row>
    <row r="997">
      <c r="A997" s="2">
        <v>2025.0</v>
      </c>
      <c r="B997" s="1" t="s">
        <v>745</v>
      </c>
      <c r="C997" s="2" t="s">
        <v>93</v>
      </c>
      <c r="D997" s="2"/>
      <c r="E997" s="2" t="s">
        <v>27</v>
      </c>
      <c r="F997" s="2">
        <v>38067.0</v>
      </c>
      <c r="G997" s="2">
        <v>1729919.0</v>
      </c>
      <c r="H997" s="2">
        <v>1767986.0</v>
      </c>
      <c r="I997" s="2">
        <v>1686989.0</v>
      </c>
      <c r="J997" s="2">
        <v>80997.0</v>
      </c>
    </row>
    <row r="998">
      <c r="A998" s="2">
        <v>2025.0</v>
      </c>
      <c r="B998" s="1" t="s">
        <v>745</v>
      </c>
      <c r="C998" s="2" t="s">
        <v>93</v>
      </c>
      <c r="D998" s="2"/>
      <c r="E998" s="2" t="s">
        <v>56</v>
      </c>
      <c r="F998" s="2">
        <v>1464845.0</v>
      </c>
      <c r="G998" s="2">
        <v>2835024.0</v>
      </c>
      <c r="H998" s="2">
        <v>4299869.0</v>
      </c>
      <c r="I998" s="2">
        <v>2409787.0</v>
      </c>
      <c r="J998" s="2">
        <v>1890082.0</v>
      </c>
    </row>
    <row r="999">
      <c r="A999" s="2">
        <v>2025.0</v>
      </c>
      <c r="B999" s="1" t="s">
        <v>745</v>
      </c>
      <c r="C999" s="2" t="s">
        <v>93</v>
      </c>
      <c r="D999" s="2" t="s">
        <v>934</v>
      </c>
      <c r="E999" s="2" t="s">
        <v>935</v>
      </c>
      <c r="F999" s="2">
        <v>4013308.0</v>
      </c>
      <c r="G999" s="2">
        <v>1304265.0</v>
      </c>
      <c r="H999" s="2">
        <v>5317573.0</v>
      </c>
      <c r="I999" s="2">
        <v>2152632.0</v>
      </c>
      <c r="J999" s="2">
        <v>3164941.0</v>
      </c>
    </row>
    <row r="1000">
      <c r="A1000" s="2">
        <v>2025.0</v>
      </c>
      <c r="B1000" s="1" t="s">
        <v>745</v>
      </c>
      <c r="C1000" s="2" t="s">
        <v>93</v>
      </c>
      <c r="D1000" s="2"/>
      <c r="E1000" s="2" t="s">
        <v>749</v>
      </c>
      <c r="F1000" s="2">
        <v>2877348.0</v>
      </c>
      <c r="G1000" s="2">
        <v>2224000.0</v>
      </c>
      <c r="H1000" s="2">
        <v>5101348.0</v>
      </c>
      <c r="I1000" s="2">
        <v>1960244.0</v>
      </c>
      <c r="J1000" s="2">
        <v>3141104.0</v>
      </c>
    </row>
    <row r="1001">
      <c r="A1001" s="2">
        <v>2025.0</v>
      </c>
      <c r="B1001" s="1" t="s">
        <v>745</v>
      </c>
      <c r="C1001" s="2" t="s">
        <v>93</v>
      </c>
      <c r="D1001" s="2"/>
      <c r="E1001" s="2" t="s">
        <v>32</v>
      </c>
      <c r="F1001" s="2">
        <v>210105.0</v>
      </c>
      <c r="G1001" s="2">
        <v>258650.0</v>
      </c>
      <c r="H1001" s="2">
        <v>468755.0</v>
      </c>
      <c r="I1001" s="2">
        <v>382099.0</v>
      </c>
      <c r="J1001" s="2">
        <v>86656.0</v>
      </c>
    </row>
    <row r="1002">
      <c r="A1002" s="2">
        <v>2025.0</v>
      </c>
      <c r="B1002" s="1" t="s">
        <v>745</v>
      </c>
      <c r="C1002" s="2" t="s">
        <v>93</v>
      </c>
      <c r="D1002" s="2"/>
      <c r="E1002" s="2" t="s">
        <v>715</v>
      </c>
      <c r="F1002" s="2">
        <v>184899.0</v>
      </c>
      <c r="G1002" s="2">
        <v>0.0</v>
      </c>
      <c r="H1002" s="2">
        <v>184899.0</v>
      </c>
      <c r="I1002" s="2">
        <v>184899.0</v>
      </c>
      <c r="J1002" s="2">
        <v>0.0</v>
      </c>
    </row>
    <row r="1003">
      <c r="A1003" s="2">
        <v>2025.0</v>
      </c>
      <c r="B1003" s="1" t="s">
        <v>745</v>
      </c>
      <c r="C1003" s="2" t="s">
        <v>93</v>
      </c>
      <c r="D1003" s="2"/>
      <c r="E1003" s="2" t="s">
        <v>27</v>
      </c>
      <c r="F1003" s="2">
        <v>129900.0</v>
      </c>
      <c r="G1003" s="2">
        <v>75197.0</v>
      </c>
      <c r="H1003" s="2">
        <v>205097.0</v>
      </c>
      <c r="I1003" s="2">
        <v>205097.0</v>
      </c>
      <c r="J1003" s="2">
        <v>0.0</v>
      </c>
    </row>
    <row r="1004">
      <c r="A1004" s="2">
        <v>2025.0</v>
      </c>
      <c r="B1004" s="1" t="s">
        <v>745</v>
      </c>
      <c r="C1004" s="2" t="s">
        <v>93</v>
      </c>
      <c r="D1004" s="2"/>
      <c r="E1004" s="2" t="s">
        <v>794</v>
      </c>
      <c r="F1004" s="2">
        <v>479026.0</v>
      </c>
      <c r="G1004" s="2">
        <v>0.0</v>
      </c>
      <c r="H1004" s="2">
        <v>479026.0</v>
      </c>
      <c r="I1004" s="2">
        <v>479026.0</v>
      </c>
      <c r="J1004" s="2">
        <v>0.0</v>
      </c>
    </row>
    <row r="1005">
      <c r="A1005" s="2">
        <v>2025.0</v>
      </c>
      <c r="B1005" s="1" t="s">
        <v>745</v>
      </c>
      <c r="C1005" s="2" t="s">
        <v>93</v>
      </c>
      <c r="D1005" s="2"/>
      <c r="E1005" s="2" t="s">
        <v>32</v>
      </c>
      <c r="F1005" s="2">
        <v>1501.0</v>
      </c>
      <c r="G1005" s="2">
        <v>132205.0</v>
      </c>
      <c r="H1005" s="2">
        <v>133706.0</v>
      </c>
      <c r="I1005" s="2">
        <v>41047.0</v>
      </c>
      <c r="J1005" s="2">
        <v>92659.0</v>
      </c>
    </row>
    <row r="1006">
      <c r="A1006" s="2">
        <v>2025.0</v>
      </c>
      <c r="B1006" s="1" t="s">
        <v>745</v>
      </c>
      <c r="C1006" s="2" t="s">
        <v>93</v>
      </c>
      <c r="D1006" s="2"/>
      <c r="E1006" s="2" t="s">
        <v>936</v>
      </c>
      <c r="G1006" s="2">
        <v>122183.0</v>
      </c>
      <c r="H1006" s="2">
        <v>122183.0</v>
      </c>
      <c r="I1006" s="2">
        <v>118.0</v>
      </c>
      <c r="J1006" s="2">
        <v>122065.0</v>
      </c>
    </row>
    <row r="1007">
      <c r="A1007" s="2">
        <v>2025.0</v>
      </c>
      <c r="B1007" s="1" t="s">
        <v>745</v>
      </c>
      <c r="C1007" s="2" t="s">
        <v>93</v>
      </c>
      <c r="D1007" s="2" t="s">
        <v>937</v>
      </c>
      <c r="E1007" s="2" t="s">
        <v>749</v>
      </c>
      <c r="F1007" s="2">
        <v>1798176.0</v>
      </c>
      <c r="G1007" s="2">
        <v>1904873.0</v>
      </c>
      <c r="H1007" s="2">
        <v>3703049.0</v>
      </c>
      <c r="I1007" s="2">
        <v>1808457.0</v>
      </c>
      <c r="J1007" s="2">
        <v>1894592.0</v>
      </c>
    </row>
    <row r="1008">
      <c r="A1008" s="2">
        <v>2025.0</v>
      </c>
      <c r="B1008" s="1" t="s">
        <v>745</v>
      </c>
      <c r="C1008" s="2" t="s">
        <v>93</v>
      </c>
      <c r="D1008" s="2"/>
      <c r="E1008" s="2" t="s">
        <v>686</v>
      </c>
      <c r="F1008" s="2">
        <v>2402122.0</v>
      </c>
      <c r="G1008" s="2">
        <v>808108.0</v>
      </c>
      <c r="H1008" s="2">
        <v>3210230.0</v>
      </c>
      <c r="I1008" s="2">
        <v>1291448.0</v>
      </c>
      <c r="J1008" s="2">
        <v>1918782.0</v>
      </c>
    </row>
    <row r="1009">
      <c r="A1009" s="2">
        <v>2025.0</v>
      </c>
      <c r="B1009" s="1" t="s">
        <v>745</v>
      </c>
      <c r="C1009" s="2" t="s">
        <v>93</v>
      </c>
      <c r="D1009" s="2"/>
      <c r="E1009" s="2" t="s">
        <v>32</v>
      </c>
      <c r="F1009" s="2">
        <v>12302.0</v>
      </c>
      <c r="G1009" s="2">
        <v>402262.0</v>
      </c>
      <c r="H1009" s="2">
        <v>414564.0</v>
      </c>
      <c r="I1009" s="2">
        <v>141876.0</v>
      </c>
      <c r="J1009" s="2">
        <v>272688.0</v>
      </c>
    </row>
    <row r="1010">
      <c r="A1010" s="2">
        <v>2025.0</v>
      </c>
      <c r="B1010" s="1" t="s">
        <v>745</v>
      </c>
      <c r="C1010" s="2" t="s">
        <v>93</v>
      </c>
      <c r="D1010" s="2"/>
      <c r="E1010" s="2" t="s">
        <v>27</v>
      </c>
      <c r="F1010" s="2">
        <v>154626.0</v>
      </c>
      <c r="G1010" s="2">
        <v>2272210.0</v>
      </c>
      <c r="H1010" s="2">
        <v>2426836.0</v>
      </c>
      <c r="I1010" s="2">
        <v>1835546.0</v>
      </c>
      <c r="J1010" s="2">
        <v>591290.0</v>
      </c>
    </row>
    <row r="1011">
      <c r="A1011" s="2">
        <v>2025.0</v>
      </c>
      <c r="B1011" s="1" t="s">
        <v>745</v>
      </c>
      <c r="C1011" s="2" t="s">
        <v>93</v>
      </c>
      <c r="D1011" s="2"/>
      <c r="E1011" s="2" t="s">
        <v>938</v>
      </c>
      <c r="F1011" s="2">
        <v>158733.0</v>
      </c>
      <c r="G1011" s="2">
        <v>146636.0</v>
      </c>
      <c r="H1011" s="2">
        <v>305369.0</v>
      </c>
      <c r="I1011" s="2">
        <v>220543.0</v>
      </c>
      <c r="J1011" s="2">
        <v>84826.0</v>
      </c>
    </row>
    <row r="1012">
      <c r="A1012" s="2">
        <v>2025.0</v>
      </c>
      <c r="B1012" s="1" t="s">
        <v>745</v>
      </c>
      <c r="C1012" s="2" t="s">
        <v>93</v>
      </c>
      <c r="D1012" s="2" t="s">
        <v>93</v>
      </c>
      <c r="E1012" s="2" t="s">
        <v>78</v>
      </c>
      <c r="F1012" s="2">
        <v>1118911.0</v>
      </c>
      <c r="G1012" s="2">
        <v>2510018.0</v>
      </c>
      <c r="H1012" s="2">
        <v>3628929.0</v>
      </c>
      <c r="I1012" s="2">
        <v>1748555.0</v>
      </c>
      <c r="J1012" s="2">
        <v>1880374.0</v>
      </c>
    </row>
    <row r="1013">
      <c r="A1013" s="2">
        <v>2025.0</v>
      </c>
      <c r="B1013" s="1" t="s">
        <v>745</v>
      </c>
      <c r="C1013" s="2" t="s">
        <v>93</v>
      </c>
      <c r="D1013" s="2"/>
      <c r="E1013" s="2" t="s">
        <v>32</v>
      </c>
      <c r="F1013" s="2">
        <v>25420.0</v>
      </c>
      <c r="G1013" s="2">
        <v>711579.0</v>
      </c>
      <c r="H1013" s="2">
        <v>736999.0</v>
      </c>
      <c r="I1013" s="2">
        <v>537096.0</v>
      </c>
      <c r="J1013" s="2">
        <v>199903.0</v>
      </c>
    </row>
    <row r="1014">
      <c r="A1014" s="2">
        <v>2025.0</v>
      </c>
      <c r="B1014" s="1" t="s">
        <v>745</v>
      </c>
      <c r="C1014" s="2" t="s">
        <v>93</v>
      </c>
      <c r="D1014" s="2"/>
      <c r="E1014" s="2" t="s">
        <v>686</v>
      </c>
      <c r="F1014" s="2">
        <v>2519178.0</v>
      </c>
      <c r="G1014" s="2">
        <v>496386.0</v>
      </c>
      <c r="H1014" s="2">
        <v>3015564.0</v>
      </c>
      <c r="I1014" s="2">
        <v>427791.0</v>
      </c>
      <c r="J1014" s="2">
        <v>2587773.0</v>
      </c>
    </row>
    <row r="1015">
      <c r="A1015" s="2">
        <v>2025.0</v>
      </c>
      <c r="B1015" s="1" t="s">
        <v>745</v>
      </c>
      <c r="C1015" s="2" t="s">
        <v>93</v>
      </c>
      <c r="D1015" s="2"/>
      <c r="E1015" s="2" t="s">
        <v>939</v>
      </c>
      <c r="F1015" s="2">
        <v>182529.0</v>
      </c>
      <c r="G1015" s="2">
        <v>121565.0</v>
      </c>
      <c r="H1015" s="2">
        <v>304094.0</v>
      </c>
      <c r="I1015" s="2">
        <v>304094.0</v>
      </c>
      <c r="J1015" s="2">
        <v>0.0</v>
      </c>
    </row>
    <row r="1016">
      <c r="A1016" s="2">
        <v>2025.0</v>
      </c>
      <c r="B1016" s="1" t="s">
        <v>745</v>
      </c>
      <c r="C1016" s="2" t="s">
        <v>93</v>
      </c>
      <c r="D1016" s="2"/>
      <c r="E1016" s="2" t="s">
        <v>940</v>
      </c>
      <c r="F1016" s="2">
        <v>276897.0</v>
      </c>
      <c r="G1016" s="2">
        <v>1830043.0</v>
      </c>
      <c r="H1016" s="2">
        <v>2106940.0</v>
      </c>
      <c r="I1016" s="2">
        <v>1749459.0</v>
      </c>
      <c r="J1016" s="2">
        <v>357481.0</v>
      </c>
    </row>
    <row r="1017">
      <c r="A1017" s="2">
        <v>2025.0</v>
      </c>
      <c r="B1017" s="1" t="s">
        <v>745</v>
      </c>
      <c r="C1017" s="2" t="s">
        <v>93</v>
      </c>
      <c r="D1017" s="2"/>
      <c r="E1017" s="2" t="s">
        <v>936</v>
      </c>
      <c r="F1017" s="2">
        <v>0.0</v>
      </c>
      <c r="G1017" s="2">
        <v>645854.0</v>
      </c>
      <c r="H1017" s="2">
        <v>645854.0</v>
      </c>
      <c r="I1017" s="2">
        <v>0.0</v>
      </c>
      <c r="J1017" s="2">
        <v>645854.0</v>
      </c>
    </row>
    <row r="1018">
      <c r="A1018" s="2">
        <v>2025.0</v>
      </c>
      <c r="B1018" s="1" t="s">
        <v>745</v>
      </c>
      <c r="C1018" s="2" t="s">
        <v>941</v>
      </c>
      <c r="D1018" s="2" t="s">
        <v>942</v>
      </c>
      <c r="E1018" s="2" t="s">
        <v>56</v>
      </c>
      <c r="F1018" s="2">
        <v>75688.0</v>
      </c>
      <c r="G1018" s="2">
        <v>3694695.0</v>
      </c>
      <c r="H1018" s="2">
        <v>3770383.0</v>
      </c>
      <c r="I1018" s="2">
        <v>1720689.0</v>
      </c>
      <c r="J1018" s="2">
        <v>2049694.0</v>
      </c>
    </row>
    <row r="1019">
      <c r="A1019" s="2">
        <v>2025.0</v>
      </c>
      <c r="B1019" s="1" t="s">
        <v>745</v>
      </c>
      <c r="C1019" s="2" t="s">
        <v>941</v>
      </c>
      <c r="D1019" s="2"/>
      <c r="E1019" s="2" t="s">
        <v>32</v>
      </c>
      <c r="F1019" s="2">
        <v>5547.0</v>
      </c>
      <c r="G1019" s="2">
        <v>155991.0</v>
      </c>
      <c r="H1019" s="2">
        <v>161538.0</v>
      </c>
      <c r="I1019" s="2">
        <v>105211.0</v>
      </c>
      <c r="J1019" s="2">
        <v>56327.0</v>
      </c>
    </row>
    <row r="1020">
      <c r="A1020" s="2">
        <v>2025.0</v>
      </c>
      <c r="B1020" s="1" t="s">
        <v>745</v>
      </c>
      <c r="C1020" s="2" t="s">
        <v>941</v>
      </c>
      <c r="D1020" s="2"/>
      <c r="E1020" s="2" t="s">
        <v>686</v>
      </c>
      <c r="F1020" s="2">
        <v>0.0</v>
      </c>
      <c r="G1020" s="2">
        <v>1277292.0</v>
      </c>
      <c r="H1020" s="2">
        <v>1277292.0</v>
      </c>
      <c r="I1020" s="2">
        <v>0.0</v>
      </c>
      <c r="J1020" s="2">
        <v>1277292.0</v>
      </c>
    </row>
    <row r="1021">
      <c r="A1021" s="2">
        <v>2025.0</v>
      </c>
      <c r="B1021" s="1" t="s">
        <v>745</v>
      </c>
      <c r="C1021" s="2" t="s">
        <v>941</v>
      </c>
      <c r="D1021" s="2" t="s">
        <v>943</v>
      </c>
      <c r="E1021" s="2" t="s">
        <v>686</v>
      </c>
      <c r="F1021" s="2">
        <v>5569577.0</v>
      </c>
      <c r="G1021" s="2">
        <v>1362350.0</v>
      </c>
      <c r="H1021" s="2">
        <v>6931927.0</v>
      </c>
      <c r="I1021" s="2">
        <v>3758360.0</v>
      </c>
      <c r="J1021" s="2">
        <v>3173567.0</v>
      </c>
    </row>
    <row r="1022">
      <c r="A1022" s="2">
        <v>2025.0</v>
      </c>
      <c r="B1022" s="1" t="s">
        <v>745</v>
      </c>
      <c r="C1022" s="2" t="s">
        <v>941</v>
      </c>
      <c r="D1022" s="2"/>
      <c r="E1022" s="2" t="s">
        <v>749</v>
      </c>
      <c r="F1022" s="2">
        <v>3959290.0</v>
      </c>
      <c r="G1022" s="2">
        <v>3589586.0</v>
      </c>
      <c r="H1022" s="2">
        <v>7548876.0</v>
      </c>
      <c r="I1022" s="2">
        <v>3903487.0</v>
      </c>
      <c r="J1022" s="2">
        <v>3645389.0</v>
      </c>
    </row>
    <row r="1023">
      <c r="A1023" s="2">
        <v>2025.0</v>
      </c>
      <c r="B1023" s="1" t="s">
        <v>745</v>
      </c>
      <c r="C1023" s="2" t="s">
        <v>941</v>
      </c>
      <c r="D1023" s="2"/>
      <c r="E1023" s="2" t="s">
        <v>32</v>
      </c>
      <c r="F1023" s="2">
        <v>91345.0</v>
      </c>
      <c r="G1023" s="2">
        <v>206112.0</v>
      </c>
      <c r="H1023" s="2">
        <v>297457.0</v>
      </c>
      <c r="I1023" s="2">
        <v>213000.0</v>
      </c>
      <c r="J1023" s="2">
        <v>84457.0</v>
      </c>
    </row>
    <row r="1024">
      <c r="A1024" s="2">
        <v>2025.0</v>
      </c>
      <c r="B1024" s="1" t="s">
        <v>745</v>
      </c>
      <c r="C1024" s="2" t="s">
        <v>941</v>
      </c>
      <c r="D1024" s="2" t="s">
        <v>944</v>
      </c>
      <c r="E1024" s="2" t="s">
        <v>32</v>
      </c>
      <c r="F1024" s="2">
        <v>309296.0</v>
      </c>
      <c r="G1024" s="2">
        <v>173295.0</v>
      </c>
      <c r="H1024" s="2">
        <v>482591.0</v>
      </c>
      <c r="I1024" s="2">
        <v>347491.0</v>
      </c>
      <c r="J1024" s="2">
        <v>135100.0</v>
      </c>
    </row>
    <row r="1025">
      <c r="A1025" s="2">
        <v>2025.0</v>
      </c>
      <c r="B1025" s="1" t="s">
        <v>745</v>
      </c>
      <c r="C1025" s="2" t="s">
        <v>941</v>
      </c>
      <c r="D1025" s="2"/>
      <c r="E1025" s="2" t="s">
        <v>686</v>
      </c>
      <c r="F1025" s="2">
        <v>1724572.0</v>
      </c>
      <c r="G1025" s="2">
        <v>551120.0</v>
      </c>
      <c r="H1025" s="2">
        <v>2275692.0</v>
      </c>
      <c r="I1025" s="2">
        <v>880192.0</v>
      </c>
      <c r="J1025" s="2">
        <v>1395500.0</v>
      </c>
    </row>
    <row r="1026">
      <c r="A1026" s="2">
        <v>2025.0</v>
      </c>
      <c r="B1026" s="1" t="s">
        <v>745</v>
      </c>
      <c r="C1026" s="2" t="s">
        <v>941</v>
      </c>
      <c r="D1026" s="2"/>
      <c r="E1026" s="2" t="s">
        <v>27</v>
      </c>
      <c r="F1026" s="2">
        <v>872912.0</v>
      </c>
      <c r="G1026" s="2">
        <v>992900.0</v>
      </c>
      <c r="H1026" s="2">
        <v>1865812.0</v>
      </c>
      <c r="I1026" s="2">
        <v>1361955.0</v>
      </c>
      <c r="J1026" s="2">
        <v>503857.0</v>
      </c>
    </row>
    <row r="1027">
      <c r="A1027" s="2">
        <v>2025.0</v>
      </c>
      <c r="B1027" s="1" t="s">
        <v>745</v>
      </c>
      <c r="C1027" s="2" t="s">
        <v>941</v>
      </c>
      <c r="D1027" s="2"/>
      <c r="E1027" s="2" t="s">
        <v>749</v>
      </c>
      <c r="F1027" s="2">
        <v>987191.0</v>
      </c>
      <c r="G1027" s="2">
        <v>867320.0</v>
      </c>
      <c r="H1027" s="2">
        <v>1854511.0</v>
      </c>
      <c r="I1027" s="2">
        <v>509950.0</v>
      </c>
      <c r="J1027" s="2">
        <v>1344561.0</v>
      </c>
    </row>
    <row r="1028">
      <c r="A1028" s="2">
        <v>2025.0</v>
      </c>
      <c r="B1028" s="1" t="s">
        <v>745</v>
      </c>
      <c r="C1028" s="2" t="s">
        <v>941</v>
      </c>
      <c r="D1028" s="2"/>
      <c r="E1028" s="2" t="s">
        <v>945</v>
      </c>
      <c r="F1028" s="2">
        <v>665696.0</v>
      </c>
      <c r="G1028" s="2">
        <v>862243.0</v>
      </c>
      <c r="H1028" s="2">
        <v>1527939.0</v>
      </c>
      <c r="I1028" s="2">
        <v>688695.0</v>
      </c>
      <c r="J1028" s="2">
        <v>839244.0</v>
      </c>
    </row>
    <row r="1029">
      <c r="A1029" s="2">
        <v>2025.0</v>
      </c>
      <c r="B1029" s="1" t="s">
        <v>745</v>
      </c>
      <c r="C1029" s="2" t="s">
        <v>941</v>
      </c>
      <c r="D1029" s="2" t="s">
        <v>946</v>
      </c>
      <c r="E1029" s="2" t="s">
        <v>686</v>
      </c>
      <c r="F1029" s="2">
        <v>2410454.0</v>
      </c>
      <c r="G1029" s="2">
        <v>921481.0</v>
      </c>
      <c r="H1029" s="2">
        <v>3331935.0</v>
      </c>
      <c r="I1029" s="2">
        <v>773709.0</v>
      </c>
      <c r="J1029" s="2">
        <v>2558226.0</v>
      </c>
    </row>
    <row r="1030">
      <c r="A1030" s="2">
        <v>2025.0</v>
      </c>
      <c r="B1030" s="1" t="s">
        <v>745</v>
      </c>
      <c r="C1030" s="2" t="s">
        <v>941</v>
      </c>
      <c r="D1030" s="2"/>
      <c r="E1030" s="2" t="s">
        <v>92</v>
      </c>
      <c r="F1030" s="2">
        <v>4680605.0</v>
      </c>
      <c r="G1030" s="2">
        <v>3882514.0</v>
      </c>
      <c r="H1030" s="2">
        <v>8563119.0</v>
      </c>
      <c r="I1030" s="2">
        <v>2721600.0</v>
      </c>
      <c r="J1030" s="2">
        <v>5841519.0</v>
      </c>
    </row>
    <row r="1031">
      <c r="A1031" s="2">
        <v>2025.0</v>
      </c>
      <c r="B1031" s="1" t="s">
        <v>745</v>
      </c>
      <c r="C1031" s="2" t="s">
        <v>941</v>
      </c>
      <c r="D1031" s="2"/>
      <c r="E1031" s="2" t="s">
        <v>32</v>
      </c>
      <c r="F1031" s="2">
        <v>19164.0</v>
      </c>
      <c r="G1031" s="2">
        <v>429571.0</v>
      </c>
      <c r="H1031" s="2">
        <v>448735.0</v>
      </c>
      <c r="I1031" s="2">
        <v>139221.0</v>
      </c>
      <c r="J1031" s="2">
        <v>309514.0</v>
      </c>
    </row>
    <row r="1032">
      <c r="A1032" s="2">
        <v>2025.0</v>
      </c>
      <c r="B1032" s="1" t="s">
        <v>745</v>
      </c>
      <c r="C1032" s="2" t="s">
        <v>941</v>
      </c>
      <c r="D1032" s="2" t="s">
        <v>947</v>
      </c>
      <c r="E1032" s="2" t="s">
        <v>32</v>
      </c>
      <c r="F1032" s="2">
        <v>34242.0</v>
      </c>
      <c r="G1032" s="2">
        <v>388903.0</v>
      </c>
      <c r="H1032" s="2">
        <v>423145.0</v>
      </c>
      <c r="I1032" s="2">
        <v>202228.0</v>
      </c>
      <c r="J1032" s="2">
        <v>220917.0</v>
      </c>
    </row>
    <row r="1033">
      <c r="A1033" s="2">
        <v>2025.0</v>
      </c>
      <c r="B1033" s="1" t="s">
        <v>745</v>
      </c>
      <c r="C1033" s="2" t="s">
        <v>941</v>
      </c>
      <c r="D1033" s="2"/>
      <c r="E1033" s="2" t="s">
        <v>27</v>
      </c>
      <c r="F1033" s="2">
        <v>75530.0</v>
      </c>
      <c r="G1033" s="2">
        <v>802500.0</v>
      </c>
      <c r="H1033" s="2">
        <v>878030.0</v>
      </c>
      <c r="I1033" s="2">
        <v>732730.0</v>
      </c>
      <c r="J1033" s="2">
        <v>145300.0</v>
      </c>
    </row>
    <row r="1034">
      <c r="A1034" s="2">
        <v>2025.0</v>
      </c>
      <c r="B1034" s="1" t="s">
        <v>745</v>
      </c>
      <c r="C1034" s="2" t="s">
        <v>941</v>
      </c>
      <c r="D1034" s="2"/>
      <c r="E1034" s="2" t="s">
        <v>749</v>
      </c>
      <c r="F1034" s="2">
        <v>0.0</v>
      </c>
      <c r="G1034" s="2">
        <v>1466000.0</v>
      </c>
      <c r="H1034" s="2">
        <v>1466000.0</v>
      </c>
      <c r="I1034" s="2">
        <v>534166.0</v>
      </c>
      <c r="J1034" s="2">
        <v>931834.0</v>
      </c>
    </row>
    <row r="1035">
      <c r="A1035" s="2">
        <v>2025.0</v>
      </c>
      <c r="B1035" s="1" t="s">
        <v>745</v>
      </c>
      <c r="C1035" s="2" t="s">
        <v>941</v>
      </c>
      <c r="D1035" s="2"/>
      <c r="E1035" s="2" t="s">
        <v>686</v>
      </c>
      <c r="F1035" s="2">
        <v>0.0</v>
      </c>
      <c r="G1035" s="2">
        <v>661431.0</v>
      </c>
      <c r="H1035" s="2">
        <v>661431.0</v>
      </c>
      <c r="I1035" s="2">
        <v>0.0</v>
      </c>
      <c r="J1035" s="2">
        <v>661431.0</v>
      </c>
    </row>
    <row r="1036">
      <c r="A1036" s="2">
        <v>2025.0</v>
      </c>
      <c r="B1036" s="1" t="s">
        <v>745</v>
      </c>
      <c r="C1036" s="2" t="s">
        <v>941</v>
      </c>
      <c r="D1036" s="2" t="s">
        <v>948</v>
      </c>
      <c r="E1036" s="2" t="s">
        <v>32</v>
      </c>
      <c r="F1036" s="2">
        <v>721037.0</v>
      </c>
      <c r="G1036" s="2">
        <v>495582.0</v>
      </c>
      <c r="H1036" s="2">
        <v>1216619.0</v>
      </c>
      <c r="I1036" s="2">
        <v>468946.0</v>
      </c>
      <c r="J1036" s="2">
        <v>747673.0</v>
      </c>
    </row>
    <row r="1037">
      <c r="A1037" s="2">
        <v>2025.0</v>
      </c>
      <c r="B1037" s="1" t="s">
        <v>745</v>
      </c>
      <c r="C1037" s="2" t="s">
        <v>941</v>
      </c>
      <c r="D1037" s="2"/>
      <c r="E1037" s="2" t="s">
        <v>686</v>
      </c>
      <c r="F1037" s="2">
        <v>3254138.0</v>
      </c>
      <c r="G1037" s="2">
        <v>828250.0</v>
      </c>
      <c r="H1037" s="2">
        <v>4082388.0</v>
      </c>
      <c r="I1037" s="2">
        <v>732219.0</v>
      </c>
      <c r="J1037" s="2">
        <v>3350169.0</v>
      </c>
    </row>
    <row r="1038">
      <c r="A1038" s="2">
        <v>2025.0</v>
      </c>
      <c r="B1038" s="1" t="s">
        <v>745</v>
      </c>
      <c r="C1038" s="2" t="s">
        <v>941</v>
      </c>
      <c r="D1038" s="2"/>
      <c r="E1038" s="2" t="s">
        <v>56</v>
      </c>
      <c r="F1038" s="2">
        <v>3029179.0</v>
      </c>
      <c r="G1038" s="2">
        <v>1356000.0</v>
      </c>
      <c r="H1038" s="2">
        <v>4385179.0</v>
      </c>
      <c r="I1038" s="2">
        <v>93530.0</v>
      </c>
      <c r="J1038" s="2">
        <v>4291649.0</v>
      </c>
    </row>
    <row r="1039">
      <c r="A1039" s="2">
        <v>2025.0</v>
      </c>
      <c r="B1039" s="1" t="s">
        <v>745</v>
      </c>
      <c r="C1039" s="2" t="s">
        <v>941</v>
      </c>
      <c r="D1039" s="2"/>
      <c r="E1039" s="2" t="s">
        <v>27</v>
      </c>
      <c r="F1039" s="2">
        <v>154640.0</v>
      </c>
      <c r="G1039" s="2">
        <v>2117766.0</v>
      </c>
      <c r="H1039" s="2">
        <v>2272406.0</v>
      </c>
      <c r="I1039" s="2">
        <v>1691513.0</v>
      </c>
      <c r="J1039" s="2">
        <v>580893.0</v>
      </c>
    </row>
    <row r="1040">
      <c r="A1040" s="2">
        <v>2025.0</v>
      </c>
      <c r="B1040" s="1" t="s">
        <v>745</v>
      </c>
      <c r="C1040" s="2" t="s">
        <v>941</v>
      </c>
      <c r="D1040" s="2" t="s">
        <v>949</v>
      </c>
      <c r="E1040" s="2" t="s">
        <v>686</v>
      </c>
      <c r="F1040" s="2">
        <v>3270154.0</v>
      </c>
      <c r="G1040" s="2">
        <v>813182.0</v>
      </c>
      <c r="H1040" s="2">
        <v>4083336.0</v>
      </c>
      <c r="I1040" s="2">
        <v>1382052.0</v>
      </c>
      <c r="J1040" s="2">
        <v>2701284.0</v>
      </c>
    </row>
    <row r="1041">
      <c r="A1041" s="2">
        <v>2025.0</v>
      </c>
      <c r="B1041" s="1" t="s">
        <v>745</v>
      </c>
      <c r="C1041" s="2" t="s">
        <v>941</v>
      </c>
      <c r="D1041" s="2"/>
      <c r="E1041" s="2" t="s">
        <v>749</v>
      </c>
      <c r="F1041" s="2">
        <v>3163935.0</v>
      </c>
      <c r="G1041" s="2">
        <v>1058432.0</v>
      </c>
      <c r="H1041" s="2">
        <v>4222367.0</v>
      </c>
      <c r="I1041" s="2">
        <v>1278406.0</v>
      </c>
      <c r="J1041" s="2">
        <v>2943961.0</v>
      </c>
    </row>
    <row r="1042">
      <c r="A1042" s="2">
        <v>2025.0</v>
      </c>
      <c r="B1042" s="1" t="s">
        <v>745</v>
      </c>
      <c r="C1042" s="2" t="s">
        <v>941</v>
      </c>
      <c r="D1042" s="2"/>
      <c r="E1042" s="2" t="s">
        <v>32</v>
      </c>
      <c r="F1042" s="2">
        <v>146310.0</v>
      </c>
      <c r="G1042" s="2">
        <v>297570.0</v>
      </c>
      <c r="H1042" s="2">
        <v>443880.0</v>
      </c>
      <c r="I1042" s="2">
        <v>247483.0</v>
      </c>
      <c r="J1042" s="2">
        <v>196397.0</v>
      </c>
    </row>
    <row r="1043">
      <c r="A1043" s="2">
        <v>2025.0</v>
      </c>
      <c r="B1043" s="1" t="s">
        <v>745</v>
      </c>
      <c r="C1043" s="2" t="s">
        <v>941</v>
      </c>
      <c r="D1043" s="2"/>
      <c r="E1043" s="2" t="s">
        <v>27</v>
      </c>
      <c r="F1043" s="2">
        <v>773405.0</v>
      </c>
      <c r="G1043" s="2">
        <v>2452854.0</v>
      </c>
      <c r="H1043" s="2">
        <v>3226259.0</v>
      </c>
      <c r="I1043" s="2">
        <v>2727006.0</v>
      </c>
      <c r="J1043" s="2">
        <v>499253.0</v>
      </c>
    </row>
    <row r="1044">
      <c r="A1044" s="2">
        <v>2025.0</v>
      </c>
      <c r="B1044" s="1" t="s">
        <v>745</v>
      </c>
      <c r="C1044" s="2" t="s">
        <v>941</v>
      </c>
      <c r="D1044" s="2" t="s">
        <v>950</v>
      </c>
      <c r="E1044" s="2" t="s">
        <v>32</v>
      </c>
      <c r="F1044" s="2">
        <v>463818.0</v>
      </c>
      <c r="G1044" s="2">
        <v>144696.0</v>
      </c>
      <c r="H1044" s="2">
        <v>608514.0</v>
      </c>
      <c r="I1044" s="2">
        <v>407351.0</v>
      </c>
      <c r="J1044" s="2">
        <v>201163.0</v>
      </c>
    </row>
    <row r="1045">
      <c r="A1045" s="2">
        <v>2025.0</v>
      </c>
      <c r="B1045" s="1" t="s">
        <v>745</v>
      </c>
      <c r="C1045" s="2" t="s">
        <v>941</v>
      </c>
      <c r="D1045" s="2"/>
      <c r="E1045" s="2" t="s">
        <v>27</v>
      </c>
      <c r="F1045" s="2">
        <v>496388.0</v>
      </c>
      <c r="G1045" s="2">
        <v>1836560.0</v>
      </c>
      <c r="H1045" s="2">
        <v>2332948.0</v>
      </c>
      <c r="I1045" s="2">
        <v>1653136.0</v>
      </c>
      <c r="J1045" s="2">
        <v>679812.0</v>
      </c>
    </row>
    <row r="1046">
      <c r="A1046" s="2">
        <v>2025.0</v>
      </c>
      <c r="B1046" s="1" t="s">
        <v>745</v>
      </c>
      <c r="C1046" s="2" t="s">
        <v>941</v>
      </c>
      <c r="D1046" s="2"/>
      <c r="E1046" s="2" t="s">
        <v>749</v>
      </c>
      <c r="F1046" s="2">
        <v>1829816.0</v>
      </c>
      <c r="G1046" s="2">
        <v>1842327.0</v>
      </c>
      <c r="H1046" s="2">
        <v>3672143.0</v>
      </c>
      <c r="I1046" s="2">
        <v>762524.0</v>
      </c>
      <c r="J1046" s="2">
        <v>2909619.0</v>
      </c>
    </row>
    <row r="1047">
      <c r="A1047" s="2">
        <v>2025.0</v>
      </c>
      <c r="B1047" s="1" t="s">
        <v>745</v>
      </c>
      <c r="C1047" s="2" t="s">
        <v>941</v>
      </c>
      <c r="D1047" s="2"/>
      <c r="E1047" s="2" t="s">
        <v>686</v>
      </c>
      <c r="F1047" s="2">
        <v>1894945.0</v>
      </c>
      <c r="G1047" s="2">
        <v>874313.0</v>
      </c>
      <c r="H1047" s="2">
        <v>2769258.0</v>
      </c>
      <c r="I1047" s="2">
        <v>614882.0</v>
      </c>
      <c r="J1047" s="2">
        <v>2154376.0</v>
      </c>
    </row>
    <row r="1048">
      <c r="A1048" s="2">
        <v>2025.0</v>
      </c>
      <c r="B1048" s="1" t="s">
        <v>745</v>
      </c>
      <c r="C1048" s="2" t="s">
        <v>941</v>
      </c>
      <c r="D1048" s="2"/>
      <c r="E1048" s="2" t="s">
        <v>951</v>
      </c>
      <c r="F1048" s="2">
        <v>120901.0</v>
      </c>
      <c r="G1048" s="2">
        <v>43650.0</v>
      </c>
      <c r="H1048" s="2">
        <v>164551.0</v>
      </c>
      <c r="I1048" s="2">
        <v>63795.0</v>
      </c>
      <c r="J1048" s="2">
        <v>100756.0</v>
      </c>
    </row>
    <row r="1049">
      <c r="A1049" s="2">
        <v>2025.0</v>
      </c>
      <c r="B1049" s="1" t="s">
        <v>745</v>
      </c>
      <c r="C1049" s="2" t="s">
        <v>941</v>
      </c>
      <c r="D1049" s="2" t="s">
        <v>952</v>
      </c>
      <c r="E1049" s="2" t="s">
        <v>32</v>
      </c>
      <c r="F1049" s="2">
        <v>25424.0</v>
      </c>
      <c r="G1049" s="2">
        <v>551816.0</v>
      </c>
      <c r="H1049" s="2">
        <v>577240.0</v>
      </c>
      <c r="I1049" s="2">
        <v>235444.0</v>
      </c>
      <c r="J1049" s="2">
        <v>341796.0</v>
      </c>
    </row>
    <row r="1050">
      <c r="A1050" s="2">
        <v>2025.0</v>
      </c>
      <c r="B1050" s="1" t="s">
        <v>745</v>
      </c>
      <c r="C1050" s="2" t="s">
        <v>941</v>
      </c>
      <c r="D1050" s="2"/>
      <c r="E1050" s="2" t="s">
        <v>749</v>
      </c>
      <c r="F1050" s="2">
        <v>1370875.0</v>
      </c>
      <c r="G1050" s="2">
        <v>1296000.0</v>
      </c>
      <c r="H1050" s="2">
        <v>2666875.0</v>
      </c>
      <c r="I1050" s="2">
        <v>970940.0</v>
      </c>
      <c r="J1050" s="2">
        <v>1695935.0</v>
      </c>
    </row>
    <row r="1051">
      <c r="A1051" s="2">
        <v>2025.0</v>
      </c>
      <c r="B1051" s="1" t="s">
        <v>745</v>
      </c>
      <c r="C1051" s="2" t="s">
        <v>941</v>
      </c>
      <c r="D1051" s="2"/>
      <c r="E1051" s="2" t="s">
        <v>27</v>
      </c>
      <c r="F1051" s="2">
        <v>396280.0</v>
      </c>
      <c r="G1051" s="2">
        <v>957000.0</v>
      </c>
      <c r="H1051" s="2">
        <v>1353280.0</v>
      </c>
      <c r="I1051" s="2">
        <v>1050780.0</v>
      </c>
      <c r="J1051" s="2">
        <v>302500.0</v>
      </c>
    </row>
    <row r="1052">
      <c r="A1052" s="2">
        <v>2025.0</v>
      </c>
      <c r="B1052" s="1" t="s">
        <v>745</v>
      </c>
      <c r="C1052" s="2" t="s">
        <v>941</v>
      </c>
      <c r="D1052" s="2"/>
      <c r="E1052" s="2" t="s">
        <v>686</v>
      </c>
      <c r="F1052" s="2">
        <v>1587090.0</v>
      </c>
      <c r="G1052" s="2">
        <v>737844.0</v>
      </c>
      <c r="H1052" s="2">
        <v>2324934.0</v>
      </c>
      <c r="I1052" s="2">
        <v>1052601.0</v>
      </c>
      <c r="J1052" s="2">
        <v>1272333.0</v>
      </c>
    </row>
    <row r="1053">
      <c r="A1053" s="2">
        <v>2025.0</v>
      </c>
      <c r="B1053" s="1" t="s">
        <v>745</v>
      </c>
      <c r="C1053" s="2" t="s">
        <v>623</v>
      </c>
      <c r="D1053" s="2" t="s">
        <v>953</v>
      </c>
      <c r="E1053" s="2" t="s">
        <v>749</v>
      </c>
      <c r="F1053" s="2">
        <v>536254.0</v>
      </c>
      <c r="G1053" s="2">
        <v>1103380.0</v>
      </c>
      <c r="H1053" s="2">
        <v>1639634.0</v>
      </c>
      <c r="I1053" s="2">
        <v>601758.0</v>
      </c>
      <c r="J1053" s="2">
        <v>1037876.0</v>
      </c>
    </row>
    <row r="1054">
      <c r="A1054" s="2">
        <v>2025.0</v>
      </c>
      <c r="B1054" s="1" t="s">
        <v>745</v>
      </c>
      <c r="C1054" s="2" t="s">
        <v>623</v>
      </c>
      <c r="D1054" s="2"/>
      <c r="E1054" s="2" t="s">
        <v>686</v>
      </c>
      <c r="F1054" s="2">
        <v>792371.0</v>
      </c>
      <c r="G1054" s="2">
        <v>211229.0</v>
      </c>
      <c r="H1054" s="2">
        <v>1003600.0</v>
      </c>
      <c r="I1054" s="2">
        <v>180705.0</v>
      </c>
      <c r="J1054" s="2">
        <v>822895.0</v>
      </c>
    </row>
    <row r="1055">
      <c r="A1055" s="2">
        <v>2025.0</v>
      </c>
      <c r="B1055" s="1" t="s">
        <v>745</v>
      </c>
      <c r="C1055" s="2" t="s">
        <v>623</v>
      </c>
      <c r="D1055" s="2" t="s">
        <v>815</v>
      </c>
      <c r="E1055" s="2" t="s">
        <v>32</v>
      </c>
      <c r="F1055" s="2">
        <v>38288.0</v>
      </c>
      <c r="G1055" s="2">
        <v>42791.0</v>
      </c>
      <c r="H1055" s="2">
        <v>81079.0</v>
      </c>
      <c r="I1055" s="2">
        <v>18733.0</v>
      </c>
      <c r="J1055" s="2">
        <v>62346.0</v>
      </c>
    </row>
    <row r="1056">
      <c r="A1056" s="2">
        <v>2025.0</v>
      </c>
      <c r="B1056" s="1" t="s">
        <v>745</v>
      </c>
      <c r="C1056" s="2" t="s">
        <v>623</v>
      </c>
      <c r="D1056" s="2"/>
      <c r="E1056" s="2" t="s">
        <v>686</v>
      </c>
      <c r="F1056" s="2">
        <v>1443116.0</v>
      </c>
      <c r="G1056" s="2">
        <v>454471.0</v>
      </c>
      <c r="H1056" s="2">
        <v>1897587.0</v>
      </c>
      <c r="I1056" s="2">
        <v>1405117.0</v>
      </c>
      <c r="J1056" s="2">
        <v>492470.0</v>
      </c>
    </row>
    <row r="1057">
      <c r="A1057" s="2">
        <v>2025.0</v>
      </c>
      <c r="B1057" s="1" t="s">
        <v>745</v>
      </c>
      <c r="C1057" s="2" t="s">
        <v>623</v>
      </c>
      <c r="D1057" s="2"/>
      <c r="E1057" s="2" t="s">
        <v>749</v>
      </c>
      <c r="F1057" s="2">
        <v>392649.0</v>
      </c>
      <c r="G1057" s="2">
        <v>2099164.0</v>
      </c>
      <c r="H1057" s="2">
        <v>2491813.0</v>
      </c>
      <c r="I1057" s="2">
        <v>2063808.0</v>
      </c>
      <c r="J1057" s="2">
        <v>428005.0</v>
      </c>
    </row>
    <row r="1058">
      <c r="A1058" s="2">
        <v>2025.0</v>
      </c>
      <c r="B1058" s="1" t="s">
        <v>745</v>
      </c>
      <c r="C1058" s="2" t="s">
        <v>623</v>
      </c>
      <c r="D1058" s="2" t="s">
        <v>954</v>
      </c>
      <c r="E1058" s="2" t="s">
        <v>749</v>
      </c>
      <c r="F1058" s="2">
        <v>524371.0</v>
      </c>
      <c r="G1058" s="2">
        <v>1299783.0</v>
      </c>
      <c r="H1058" s="2">
        <v>1824154.0</v>
      </c>
      <c r="I1058" s="2">
        <v>1398312.0</v>
      </c>
      <c r="J1058" s="2">
        <v>425842.0</v>
      </c>
    </row>
    <row r="1059">
      <c r="A1059" s="2">
        <v>2025.0</v>
      </c>
      <c r="B1059" s="1" t="s">
        <v>745</v>
      </c>
      <c r="C1059" s="2" t="s">
        <v>623</v>
      </c>
      <c r="D1059" s="2"/>
      <c r="E1059" s="2" t="s">
        <v>686</v>
      </c>
      <c r="F1059" s="2">
        <v>1662373.0</v>
      </c>
      <c r="G1059" s="2">
        <v>614835.0</v>
      </c>
      <c r="H1059" s="2">
        <v>2277208.0</v>
      </c>
      <c r="I1059" s="2">
        <v>592990.0</v>
      </c>
      <c r="J1059" s="2">
        <v>1684218.0</v>
      </c>
    </row>
    <row r="1060">
      <c r="A1060" s="2">
        <v>2025.0</v>
      </c>
      <c r="B1060" s="1" t="s">
        <v>745</v>
      </c>
      <c r="C1060" s="2" t="s">
        <v>623</v>
      </c>
      <c r="D1060" s="2"/>
      <c r="E1060" s="2" t="s">
        <v>32</v>
      </c>
      <c r="F1060" s="2">
        <v>0.0</v>
      </c>
      <c r="G1060" s="2">
        <v>97736.0</v>
      </c>
      <c r="H1060" s="2">
        <v>97736.0</v>
      </c>
      <c r="I1060" s="2">
        <v>0.0</v>
      </c>
      <c r="J1060" s="2">
        <v>97736.0</v>
      </c>
    </row>
    <row r="1061">
      <c r="A1061" s="2">
        <v>2025.0</v>
      </c>
      <c r="B1061" s="1" t="s">
        <v>745</v>
      </c>
      <c r="C1061" s="2" t="s">
        <v>623</v>
      </c>
      <c r="D1061" s="2" t="s">
        <v>818</v>
      </c>
      <c r="E1061" s="2" t="s">
        <v>686</v>
      </c>
      <c r="F1061" s="2">
        <v>2000877.0</v>
      </c>
      <c r="G1061" s="2">
        <v>773755.0</v>
      </c>
      <c r="H1061" s="2">
        <v>2774632.0</v>
      </c>
      <c r="I1061" s="2">
        <v>952568.0</v>
      </c>
      <c r="J1061" s="2">
        <v>1822064.0</v>
      </c>
    </row>
    <row r="1062">
      <c r="A1062" s="2">
        <v>2025.0</v>
      </c>
      <c r="B1062" s="1" t="s">
        <v>745</v>
      </c>
      <c r="C1062" s="2" t="s">
        <v>623</v>
      </c>
      <c r="D1062" s="2"/>
      <c r="E1062" s="2" t="s">
        <v>749</v>
      </c>
      <c r="F1062" s="2">
        <v>3514929.0</v>
      </c>
      <c r="G1062" s="2">
        <v>3788069.0</v>
      </c>
      <c r="H1062" s="2">
        <v>7302998.0</v>
      </c>
      <c r="I1062" s="2">
        <v>3568400.0</v>
      </c>
      <c r="J1062" s="2">
        <v>3734598.0</v>
      </c>
    </row>
    <row r="1063">
      <c r="A1063" s="2">
        <v>2025.0</v>
      </c>
      <c r="B1063" s="1" t="s">
        <v>745</v>
      </c>
      <c r="C1063" s="2" t="s">
        <v>623</v>
      </c>
      <c r="D1063" s="2"/>
      <c r="E1063" s="2" t="s">
        <v>32</v>
      </c>
      <c r="F1063" s="2">
        <v>59468.0</v>
      </c>
      <c r="G1063" s="2">
        <v>151908.0</v>
      </c>
      <c r="H1063" s="2">
        <v>211376.0</v>
      </c>
      <c r="I1063" s="2">
        <v>145043.0</v>
      </c>
      <c r="J1063" s="2">
        <v>66333.0</v>
      </c>
    </row>
    <row r="1064">
      <c r="A1064" s="2">
        <v>2025.0</v>
      </c>
      <c r="B1064" s="1" t="s">
        <v>745</v>
      </c>
      <c r="C1064" s="2" t="s">
        <v>623</v>
      </c>
      <c r="D1064" s="2" t="s">
        <v>955</v>
      </c>
      <c r="E1064" s="2" t="s">
        <v>686</v>
      </c>
      <c r="F1064" s="2">
        <v>1849312.0</v>
      </c>
      <c r="G1064" s="2">
        <v>476153.0</v>
      </c>
      <c r="H1064" s="2">
        <v>2325465.0</v>
      </c>
      <c r="I1064" s="2">
        <v>1195137.0</v>
      </c>
      <c r="J1064" s="2">
        <v>1130328.0</v>
      </c>
    </row>
    <row r="1065">
      <c r="A1065" s="2">
        <v>2025.0</v>
      </c>
      <c r="B1065" s="1" t="s">
        <v>745</v>
      </c>
      <c r="C1065" s="2" t="s">
        <v>623</v>
      </c>
      <c r="D1065" s="2"/>
      <c r="E1065" s="2" t="s">
        <v>749</v>
      </c>
      <c r="F1065" s="2">
        <v>1032266.0</v>
      </c>
      <c r="G1065" s="2">
        <v>2525789.0</v>
      </c>
      <c r="H1065" s="2">
        <v>3558055.0</v>
      </c>
      <c r="I1065" s="2">
        <v>2735834.0</v>
      </c>
      <c r="J1065" s="2">
        <v>822221.0</v>
      </c>
    </row>
    <row r="1066">
      <c r="A1066" s="2">
        <v>2025.0</v>
      </c>
      <c r="B1066" s="1" t="s">
        <v>745</v>
      </c>
      <c r="C1066" s="2" t="s">
        <v>623</v>
      </c>
      <c r="D1066" s="2"/>
      <c r="E1066" s="2" t="s">
        <v>32</v>
      </c>
      <c r="F1066" s="2">
        <v>44093.0</v>
      </c>
      <c r="G1066" s="2">
        <v>115458.0</v>
      </c>
      <c r="H1066" s="2">
        <v>159551.0</v>
      </c>
      <c r="I1066" s="2">
        <v>82559.0</v>
      </c>
      <c r="J1066" s="2">
        <v>76992.0</v>
      </c>
    </row>
    <row r="1067">
      <c r="A1067" s="2">
        <v>2025.0</v>
      </c>
      <c r="B1067" s="1" t="s">
        <v>745</v>
      </c>
      <c r="C1067" s="2" t="s">
        <v>623</v>
      </c>
      <c r="D1067" s="2" t="s">
        <v>956</v>
      </c>
      <c r="E1067" s="2" t="s">
        <v>957</v>
      </c>
      <c r="F1067" s="2">
        <v>38020.0</v>
      </c>
      <c r="G1067" s="2">
        <v>1643240.0</v>
      </c>
      <c r="H1067" s="2">
        <v>1681260.0</v>
      </c>
      <c r="I1067" s="2">
        <v>1031800.0</v>
      </c>
      <c r="J1067" s="2">
        <v>649460.0</v>
      </c>
    </row>
    <row r="1068">
      <c r="A1068" s="2">
        <v>2025.0</v>
      </c>
      <c r="B1068" s="1" t="s">
        <v>745</v>
      </c>
      <c r="C1068" s="2" t="s">
        <v>623</v>
      </c>
      <c r="D1068" s="2"/>
      <c r="E1068" s="2" t="s">
        <v>686</v>
      </c>
      <c r="F1068" s="2">
        <v>0.0</v>
      </c>
      <c r="G1068" s="2">
        <v>338256.0</v>
      </c>
      <c r="H1068" s="2">
        <v>338256.0</v>
      </c>
      <c r="I1068" s="2">
        <v>0.0</v>
      </c>
      <c r="J1068" s="2">
        <v>338256.0</v>
      </c>
    </row>
    <row r="1069">
      <c r="A1069" s="2">
        <v>2025.0</v>
      </c>
      <c r="B1069" s="1" t="s">
        <v>745</v>
      </c>
      <c r="C1069" s="2" t="s">
        <v>623</v>
      </c>
      <c r="D1069" s="2" t="s">
        <v>958</v>
      </c>
      <c r="E1069" s="2" t="s">
        <v>959</v>
      </c>
      <c r="F1069" s="2">
        <v>706297.0</v>
      </c>
      <c r="G1069" s="2">
        <v>362226.0</v>
      </c>
      <c r="H1069" s="2">
        <v>1068523.0</v>
      </c>
      <c r="I1069" s="2">
        <v>0.0</v>
      </c>
      <c r="J1069" s="2">
        <v>1068523.0</v>
      </c>
    </row>
    <row r="1070">
      <c r="A1070" s="2">
        <v>2025.0</v>
      </c>
      <c r="B1070" s="1" t="s">
        <v>745</v>
      </c>
      <c r="C1070" s="2" t="s">
        <v>623</v>
      </c>
      <c r="D1070" s="2"/>
      <c r="E1070" s="2" t="s">
        <v>56</v>
      </c>
      <c r="F1070" s="2">
        <v>968714.0</v>
      </c>
      <c r="G1070" s="2">
        <v>1250000.0</v>
      </c>
      <c r="H1070" s="2">
        <v>2218714.0</v>
      </c>
      <c r="I1070" s="2">
        <v>799347.0</v>
      </c>
      <c r="J1070" s="2">
        <v>1419367.0</v>
      </c>
    </row>
    <row r="1071">
      <c r="A1071" s="2">
        <v>2025.0</v>
      </c>
      <c r="B1071" s="1" t="s">
        <v>745</v>
      </c>
      <c r="C1071" s="2" t="s">
        <v>623</v>
      </c>
      <c r="D1071" s="2"/>
      <c r="E1071" s="2" t="s">
        <v>32</v>
      </c>
      <c r="G1071" s="2">
        <v>76000.0</v>
      </c>
      <c r="H1071" s="2">
        <v>76000.0</v>
      </c>
      <c r="I1071" s="2">
        <v>18836.0</v>
      </c>
      <c r="J1071" s="2">
        <v>57164.0</v>
      </c>
    </row>
    <row r="1072">
      <c r="A1072" s="2">
        <v>2025.0</v>
      </c>
      <c r="B1072" s="1" t="s">
        <v>745</v>
      </c>
      <c r="C1072" s="2" t="s">
        <v>623</v>
      </c>
      <c r="D1072" s="2" t="s">
        <v>623</v>
      </c>
      <c r="E1072" s="2" t="s">
        <v>959</v>
      </c>
      <c r="F1072" s="2">
        <v>1448560.0</v>
      </c>
      <c r="G1072" s="2">
        <v>621566.0</v>
      </c>
      <c r="H1072" s="2">
        <v>2070126.0</v>
      </c>
      <c r="I1072" s="2">
        <v>1418573.0</v>
      </c>
      <c r="J1072" s="2">
        <v>651553.0</v>
      </c>
    </row>
    <row r="1073">
      <c r="A1073" s="2">
        <v>2025.0</v>
      </c>
      <c r="B1073" s="1" t="s">
        <v>745</v>
      </c>
      <c r="C1073" s="2" t="s">
        <v>623</v>
      </c>
      <c r="D1073" s="2"/>
      <c r="E1073" s="2" t="s">
        <v>394</v>
      </c>
      <c r="F1073" s="2">
        <v>429864.0</v>
      </c>
      <c r="G1073" s="2">
        <v>1097955.0</v>
      </c>
      <c r="H1073" s="2">
        <v>1527819.0</v>
      </c>
      <c r="I1073" s="2">
        <v>846664.0</v>
      </c>
      <c r="J1073" s="2">
        <v>681155.0</v>
      </c>
    </row>
    <row r="1074">
      <c r="A1074" s="2">
        <v>2025.0</v>
      </c>
      <c r="B1074" s="1" t="s">
        <v>745</v>
      </c>
      <c r="C1074" s="2" t="s">
        <v>623</v>
      </c>
      <c r="D1074" s="2"/>
      <c r="E1074" s="2" t="s">
        <v>32</v>
      </c>
      <c r="F1074" s="2">
        <v>1850.0</v>
      </c>
      <c r="G1074" s="2">
        <v>78705.0</v>
      </c>
      <c r="H1074" s="2">
        <v>80555.0</v>
      </c>
      <c r="I1074" s="2">
        <v>77337.0</v>
      </c>
      <c r="J1074" s="2">
        <v>3218.0</v>
      </c>
    </row>
    <row r="1075">
      <c r="A1075" s="2">
        <v>2025.0</v>
      </c>
      <c r="B1075" s="1" t="s">
        <v>745</v>
      </c>
      <c r="C1075" s="2" t="s">
        <v>176</v>
      </c>
      <c r="D1075" s="2" t="s">
        <v>176</v>
      </c>
      <c r="E1075" s="2" t="s">
        <v>25</v>
      </c>
      <c r="F1075" s="2">
        <v>2175133.0</v>
      </c>
      <c r="G1075" s="2">
        <v>612278.0</v>
      </c>
      <c r="H1075" s="2">
        <v>2787411.0</v>
      </c>
      <c r="I1075" s="2">
        <v>86660.0</v>
      </c>
      <c r="J1075" s="2">
        <v>2700751.0</v>
      </c>
    </row>
    <row r="1076">
      <c r="A1076" s="2">
        <v>2025.0</v>
      </c>
      <c r="B1076" s="1" t="s">
        <v>745</v>
      </c>
      <c r="C1076" s="2" t="s">
        <v>176</v>
      </c>
      <c r="D1076" s="2"/>
      <c r="E1076" s="2" t="s">
        <v>900</v>
      </c>
      <c r="F1076" s="2">
        <v>3651822.0</v>
      </c>
      <c r="G1076" s="2">
        <v>3815141.0</v>
      </c>
      <c r="H1076" s="2">
        <v>7466963.0</v>
      </c>
      <c r="I1076" s="2">
        <v>2073580.0</v>
      </c>
      <c r="J1076" s="2">
        <v>5393383.0</v>
      </c>
    </row>
    <row r="1077">
      <c r="A1077" s="2">
        <v>2025.0</v>
      </c>
      <c r="B1077" s="1" t="s">
        <v>745</v>
      </c>
      <c r="C1077" s="2" t="s">
        <v>176</v>
      </c>
      <c r="D1077" s="2"/>
      <c r="E1077" s="2" t="s">
        <v>32</v>
      </c>
      <c r="F1077" s="2">
        <v>1.0</v>
      </c>
      <c r="G1077" s="2">
        <v>279980.0</v>
      </c>
      <c r="H1077" s="2">
        <v>279981.0</v>
      </c>
      <c r="I1077" s="2">
        <v>0.0</v>
      </c>
      <c r="J1077" s="2">
        <v>279981.0</v>
      </c>
    </row>
    <row r="1078">
      <c r="A1078" s="2">
        <v>2025.0</v>
      </c>
      <c r="B1078" s="1" t="s">
        <v>745</v>
      </c>
      <c r="C1078" s="2" t="s">
        <v>176</v>
      </c>
      <c r="D1078" s="2"/>
      <c r="E1078" s="2" t="s">
        <v>960</v>
      </c>
      <c r="F1078" s="2">
        <v>2500.0</v>
      </c>
      <c r="G1078" s="2">
        <v>239192.0</v>
      </c>
      <c r="H1078" s="2">
        <v>241692.0</v>
      </c>
      <c r="I1078" s="2">
        <v>0.0</v>
      </c>
      <c r="J1078" s="2">
        <v>241692.0</v>
      </c>
    </row>
    <row r="1079">
      <c r="A1079" s="2">
        <v>2025.0</v>
      </c>
      <c r="B1079" s="1" t="s">
        <v>745</v>
      </c>
      <c r="C1079" s="2" t="s">
        <v>176</v>
      </c>
      <c r="D1079" s="2"/>
      <c r="E1079" s="2" t="s">
        <v>32</v>
      </c>
      <c r="F1079" s="2">
        <v>216303.0</v>
      </c>
      <c r="G1079" s="2">
        <v>119623.0</v>
      </c>
      <c r="H1079" s="2">
        <v>335926.0</v>
      </c>
      <c r="I1079" s="2">
        <v>133387.0</v>
      </c>
      <c r="J1079" s="2">
        <v>202539.0</v>
      </c>
    </row>
    <row r="1080">
      <c r="A1080" s="2">
        <v>2025.0</v>
      </c>
      <c r="B1080" s="1" t="s">
        <v>745</v>
      </c>
      <c r="C1080" s="2" t="s">
        <v>176</v>
      </c>
      <c r="D1080" s="2" t="s">
        <v>961</v>
      </c>
      <c r="E1080" s="2" t="s">
        <v>25</v>
      </c>
      <c r="F1080" s="2">
        <v>1101354.0</v>
      </c>
      <c r="G1080" s="2">
        <v>309000.0</v>
      </c>
      <c r="H1080" s="2">
        <v>1410354.0</v>
      </c>
      <c r="I1080" s="2">
        <v>256067.0</v>
      </c>
      <c r="J1080" s="2">
        <v>1154287.0</v>
      </c>
    </row>
    <row r="1081">
      <c r="A1081" s="2">
        <v>2025.0</v>
      </c>
      <c r="B1081" s="1" t="s">
        <v>745</v>
      </c>
      <c r="C1081" s="2" t="s">
        <v>176</v>
      </c>
      <c r="D1081" s="2"/>
      <c r="E1081" s="2" t="s">
        <v>32</v>
      </c>
      <c r="F1081" s="2">
        <v>18707.0</v>
      </c>
      <c r="G1081" s="2">
        <v>119787.0</v>
      </c>
      <c r="H1081" s="2">
        <v>138494.0</v>
      </c>
      <c r="I1081" s="2">
        <v>41287.0</v>
      </c>
      <c r="J1081" s="2">
        <v>97207.0</v>
      </c>
    </row>
    <row r="1082">
      <c r="A1082" s="2">
        <v>2025.0</v>
      </c>
      <c r="B1082" s="1" t="s">
        <v>745</v>
      </c>
      <c r="C1082" s="2" t="s">
        <v>176</v>
      </c>
      <c r="D1082" s="2"/>
      <c r="E1082" s="2" t="s">
        <v>279</v>
      </c>
      <c r="F1082" s="2">
        <v>978010.0</v>
      </c>
      <c r="G1082" s="2">
        <v>2911292.0</v>
      </c>
      <c r="H1082" s="2">
        <v>3889302.0</v>
      </c>
      <c r="I1082" s="2">
        <v>2163952.0</v>
      </c>
      <c r="J1082" s="2">
        <v>1725350.0</v>
      </c>
    </row>
    <row r="1083">
      <c r="A1083" s="2">
        <v>2025.0</v>
      </c>
      <c r="B1083" s="1" t="s">
        <v>745</v>
      </c>
      <c r="C1083" s="2" t="s">
        <v>176</v>
      </c>
      <c r="D1083" s="2" t="s">
        <v>962</v>
      </c>
      <c r="E1083" s="2" t="s">
        <v>25</v>
      </c>
      <c r="F1083" s="2">
        <v>967814.0</v>
      </c>
      <c r="G1083" s="2">
        <v>508775.0</v>
      </c>
      <c r="H1083" s="2">
        <v>1476589.0</v>
      </c>
      <c r="I1083" s="2">
        <v>931282.0</v>
      </c>
      <c r="J1083" s="2">
        <v>545307.0</v>
      </c>
    </row>
    <row r="1084">
      <c r="A1084" s="2">
        <v>2025.0</v>
      </c>
      <c r="B1084" s="1" t="s">
        <v>745</v>
      </c>
      <c r="C1084" s="2" t="s">
        <v>176</v>
      </c>
      <c r="D1084" s="2"/>
      <c r="E1084" s="2" t="s">
        <v>56</v>
      </c>
      <c r="F1084" s="2">
        <v>2280376.0</v>
      </c>
      <c r="G1084" s="2">
        <v>1994451.0</v>
      </c>
      <c r="H1084" s="2">
        <v>4274827.0</v>
      </c>
      <c r="I1084" s="2">
        <v>2680119.0</v>
      </c>
      <c r="J1084" s="2">
        <v>1594708.0</v>
      </c>
    </row>
    <row r="1085">
      <c r="A1085" s="2">
        <v>2025.0</v>
      </c>
      <c r="B1085" s="1" t="s">
        <v>745</v>
      </c>
      <c r="C1085" s="2" t="s">
        <v>176</v>
      </c>
      <c r="D1085" s="2"/>
      <c r="E1085" s="2" t="s">
        <v>32</v>
      </c>
      <c r="F1085" s="2">
        <v>58745.0</v>
      </c>
      <c r="G1085" s="2">
        <v>3069.0</v>
      </c>
      <c r="H1085" s="2">
        <v>61814.0</v>
      </c>
      <c r="I1085" s="2">
        <v>60000.0</v>
      </c>
      <c r="J1085" s="2">
        <v>1814.0</v>
      </c>
    </row>
    <row r="1086">
      <c r="A1086" s="2">
        <v>2025.0</v>
      </c>
      <c r="B1086" s="1" t="s">
        <v>745</v>
      </c>
      <c r="C1086" s="2" t="s">
        <v>176</v>
      </c>
      <c r="D1086" s="2" t="s">
        <v>177</v>
      </c>
      <c r="E1086" s="2" t="s">
        <v>25</v>
      </c>
      <c r="F1086" s="2">
        <v>2014267.0</v>
      </c>
      <c r="G1086" s="2">
        <v>627769.0</v>
      </c>
      <c r="H1086" s="2">
        <v>2642036.0</v>
      </c>
      <c r="I1086" s="2">
        <v>307731.0</v>
      </c>
      <c r="J1086" s="2">
        <v>2334305.0</v>
      </c>
    </row>
    <row r="1087">
      <c r="A1087" s="2">
        <v>2025.0</v>
      </c>
      <c r="B1087" s="1" t="s">
        <v>745</v>
      </c>
      <c r="C1087" s="2" t="s">
        <v>176</v>
      </c>
      <c r="D1087" s="2"/>
      <c r="E1087" s="2" t="s">
        <v>963</v>
      </c>
      <c r="F1087" s="2">
        <v>3701944.0</v>
      </c>
      <c r="G1087" s="2">
        <v>3854781.0</v>
      </c>
      <c r="H1087" s="2">
        <v>7556725.0</v>
      </c>
      <c r="I1087" s="2">
        <v>2605437.0</v>
      </c>
      <c r="J1087" s="2">
        <v>4951288.0</v>
      </c>
    </row>
    <row r="1088">
      <c r="A1088" s="2">
        <v>2025.0</v>
      </c>
      <c r="B1088" s="1" t="s">
        <v>745</v>
      </c>
      <c r="C1088" s="2" t="s">
        <v>176</v>
      </c>
      <c r="D1088" s="2"/>
      <c r="E1088" s="2" t="s">
        <v>964</v>
      </c>
      <c r="F1088" s="2">
        <v>233991.0</v>
      </c>
      <c r="G1088" s="2">
        <v>122963.0</v>
      </c>
      <c r="H1088" s="2">
        <v>356954.0</v>
      </c>
      <c r="I1088" s="2">
        <v>356954.0</v>
      </c>
      <c r="J1088" s="2">
        <v>0.0</v>
      </c>
    </row>
    <row r="1089">
      <c r="A1089" s="2">
        <v>2025.0</v>
      </c>
      <c r="B1089" s="1" t="s">
        <v>745</v>
      </c>
      <c r="C1089" s="2" t="s">
        <v>176</v>
      </c>
      <c r="D1089" s="2"/>
      <c r="E1089" s="2" t="s">
        <v>965</v>
      </c>
      <c r="F1089" s="2">
        <v>0.0</v>
      </c>
      <c r="G1089" s="2">
        <v>315031.0</v>
      </c>
      <c r="H1089" s="2">
        <v>315031.0</v>
      </c>
      <c r="I1089" s="2">
        <v>25000.0</v>
      </c>
      <c r="J1089" s="2">
        <v>290031.0</v>
      </c>
    </row>
    <row r="1090">
      <c r="A1090" s="2">
        <v>2025.0</v>
      </c>
      <c r="B1090" s="1" t="s">
        <v>745</v>
      </c>
      <c r="C1090" s="2" t="s">
        <v>966</v>
      </c>
      <c r="D1090" s="2" t="s">
        <v>967</v>
      </c>
      <c r="E1090" s="2" t="s">
        <v>25</v>
      </c>
      <c r="F1090" s="2">
        <v>3142241.0</v>
      </c>
      <c r="G1090" s="2">
        <v>561129.0</v>
      </c>
      <c r="H1090" s="2">
        <v>3703370.0</v>
      </c>
      <c r="I1090" s="2">
        <v>1592822.0</v>
      </c>
      <c r="J1090" s="2">
        <v>2110548.0</v>
      </c>
    </row>
    <row r="1091">
      <c r="A1091" s="2">
        <v>2025.0</v>
      </c>
      <c r="B1091" s="1" t="s">
        <v>745</v>
      </c>
      <c r="C1091" s="2" t="s">
        <v>966</v>
      </c>
      <c r="D1091" s="2"/>
      <c r="E1091" s="2" t="s">
        <v>968</v>
      </c>
      <c r="F1091" s="2">
        <v>2386028.0</v>
      </c>
      <c r="G1091" s="2">
        <v>1020402.0</v>
      </c>
      <c r="H1091" s="2">
        <v>3406430.0</v>
      </c>
      <c r="I1091" s="2">
        <v>1645862.0</v>
      </c>
      <c r="J1091" s="2">
        <v>1760568.0</v>
      </c>
    </row>
    <row r="1092">
      <c r="A1092" s="2">
        <v>2025.0</v>
      </c>
      <c r="B1092" s="1" t="s">
        <v>745</v>
      </c>
      <c r="C1092" s="2" t="s">
        <v>966</v>
      </c>
      <c r="D1092" s="2"/>
      <c r="E1092" s="2" t="s">
        <v>27</v>
      </c>
      <c r="F1092" s="2">
        <v>31385.0</v>
      </c>
      <c r="G1092" s="2">
        <v>1458072.0</v>
      </c>
      <c r="H1092" s="2">
        <v>1489457.0</v>
      </c>
      <c r="I1092" s="2">
        <v>1190739.0</v>
      </c>
      <c r="J1092" s="2">
        <v>298718.0</v>
      </c>
    </row>
    <row r="1093">
      <c r="A1093" s="2">
        <v>2025.0</v>
      </c>
      <c r="B1093" s="1" t="s">
        <v>745</v>
      </c>
      <c r="C1093" s="2" t="s">
        <v>966</v>
      </c>
      <c r="D1093" s="2" t="s">
        <v>969</v>
      </c>
      <c r="E1093" s="2" t="s">
        <v>25</v>
      </c>
      <c r="F1093" s="2">
        <v>1170863.0</v>
      </c>
      <c r="G1093" s="2">
        <v>904060.0</v>
      </c>
      <c r="H1093" s="2">
        <v>2074923.0</v>
      </c>
      <c r="I1093" s="2">
        <v>525034.0</v>
      </c>
      <c r="J1093" s="2">
        <v>1549889.0</v>
      </c>
    </row>
    <row r="1094">
      <c r="A1094" s="2">
        <v>2025.0</v>
      </c>
      <c r="B1094" s="1" t="s">
        <v>745</v>
      </c>
      <c r="C1094" s="2" t="s">
        <v>966</v>
      </c>
      <c r="D1094" s="2"/>
      <c r="E1094" s="2" t="s">
        <v>968</v>
      </c>
      <c r="F1094" s="2">
        <v>2234287.0</v>
      </c>
      <c r="G1094" s="2">
        <v>1881273.0</v>
      </c>
      <c r="H1094" s="2">
        <v>4115560.0</v>
      </c>
      <c r="I1094" s="2">
        <v>1563373.0</v>
      </c>
      <c r="J1094" s="2">
        <v>2552187.0</v>
      </c>
    </row>
    <row r="1095">
      <c r="A1095" s="2">
        <v>2025.0</v>
      </c>
      <c r="B1095" s="1" t="s">
        <v>745</v>
      </c>
      <c r="C1095" s="2" t="s">
        <v>966</v>
      </c>
      <c r="D1095" s="2" t="s">
        <v>970</v>
      </c>
      <c r="E1095" s="2" t="s">
        <v>25</v>
      </c>
      <c r="F1095" s="2">
        <v>3521148.0</v>
      </c>
      <c r="G1095" s="2">
        <v>1923460.0</v>
      </c>
      <c r="H1095" s="2">
        <v>5444608.0</v>
      </c>
      <c r="I1095" s="2">
        <v>1564498.0</v>
      </c>
      <c r="J1095" s="2">
        <v>3880110.0</v>
      </c>
    </row>
    <row r="1096">
      <c r="A1096" s="2">
        <v>2025.0</v>
      </c>
      <c r="B1096" s="1" t="s">
        <v>745</v>
      </c>
      <c r="C1096" s="2" t="s">
        <v>966</v>
      </c>
      <c r="D1096" s="2"/>
      <c r="E1096" s="2" t="s">
        <v>32</v>
      </c>
      <c r="F1096" s="2">
        <v>332960.0</v>
      </c>
      <c r="G1096" s="2">
        <v>304954.0</v>
      </c>
      <c r="H1096" s="2">
        <v>637914.0</v>
      </c>
      <c r="I1096" s="2">
        <v>288102.0</v>
      </c>
      <c r="J1096" s="2">
        <v>349812.0</v>
      </c>
    </row>
    <row r="1097">
      <c r="A1097" s="2">
        <v>2025.0</v>
      </c>
      <c r="B1097" s="1" t="s">
        <v>745</v>
      </c>
      <c r="C1097" s="2" t="s">
        <v>966</v>
      </c>
      <c r="D1097" s="2"/>
      <c r="E1097" s="2" t="s">
        <v>27</v>
      </c>
      <c r="F1097" s="2">
        <v>124744.0</v>
      </c>
      <c r="G1097" s="2">
        <v>1858090.0</v>
      </c>
      <c r="H1097" s="2">
        <v>1982834.0</v>
      </c>
      <c r="I1097" s="2">
        <v>1678077.0</v>
      </c>
      <c r="J1097" s="2">
        <v>304757.0</v>
      </c>
    </row>
    <row r="1098">
      <c r="A1098" s="2">
        <v>2025.0</v>
      </c>
      <c r="B1098" s="1" t="s">
        <v>745</v>
      </c>
      <c r="C1098" s="2" t="s">
        <v>966</v>
      </c>
      <c r="D1098" s="2"/>
      <c r="E1098" s="2" t="s">
        <v>56</v>
      </c>
      <c r="F1098" s="2">
        <v>4433348.0</v>
      </c>
      <c r="G1098" s="2">
        <v>1841219.0</v>
      </c>
      <c r="H1098" s="2">
        <v>6274567.0</v>
      </c>
      <c r="I1098" s="2">
        <v>1683596.0</v>
      </c>
      <c r="J1098" s="2">
        <v>4590971.0</v>
      </c>
    </row>
    <row r="1099">
      <c r="A1099" s="2">
        <v>2025.0</v>
      </c>
      <c r="B1099" s="1" t="s">
        <v>745</v>
      </c>
      <c r="C1099" s="2" t="s">
        <v>966</v>
      </c>
      <c r="D1099" s="2" t="s">
        <v>971</v>
      </c>
      <c r="E1099" s="2" t="s">
        <v>25</v>
      </c>
      <c r="F1099" s="2">
        <v>2137360.0</v>
      </c>
      <c r="G1099" s="2">
        <v>573989.0</v>
      </c>
      <c r="H1099" s="2">
        <v>2711349.0</v>
      </c>
      <c r="I1099" s="2">
        <v>587838.0</v>
      </c>
      <c r="J1099" s="2">
        <v>2123511.0</v>
      </c>
    </row>
    <row r="1100">
      <c r="A1100" s="2">
        <v>2025.0</v>
      </c>
      <c r="B1100" s="1" t="s">
        <v>745</v>
      </c>
      <c r="C1100" s="2" t="s">
        <v>966</v>
      </c>
      <c r="D1100" s="2"/>
      <c r="E1100" s="2" t="s">
        <v>972</v>
      </c>
      <c r="F1100" s="2">
        <v>3535953.0</v>
      </c>
      <c r="G1100" s="2">
        <v>3589570.0</v>
      </c>
      <c r="H1100" s="2">
        <v>7125523.0</v>
      </c>
      <c r="I1100" s="2">
        <v>2533278.0</v>
      </c>
      <c r="J1100" s="2">
        <v>4592245.0</v>
      </c>
    </row>
    <row r="1101">
      <c r="A1101" s="2">
        <v>2025.0</v>
      </c>
      <c r="B1101" s="1" t="s">
        <v>745</v>
      </c>
      <c r="C1101" s="2" t="s">
        <v>966</v>
      </c>
      <c r="D1101" s="2" t="s">
        <v>973</v>
      </c>
      <c r="E1101" s="2" t="s">
        <v>25</v>
      </c>
      <c r="F1101" s="2">
        <v>4463356.3</v>
      </c>
      <c r="G1101" s="2">
        <v>881914.0</v>
      </c>
      <c r="H1101" s="2">
        <v>5345270.3</v>
      </c>
      <c r="I1101" s="2">
        <v>1237382.0</v>
      </c>
      <c r="J1101" s="2">
        <v>4107888.3</v>
      </c>
    </row>
    <row r="1102">
      <c r="A1102" s="2">
        <v>2025.0</v>
      </c>
      <c r="B1102" s="1" t="s">
        <v>745</v>
      </c>
      <c r="C1102" s="2" t="s">
        <v>966</v>
      </c>
      <c r="D1102" s="2"/>
      <c r="E1102" s="2" t="s">
        <v>974</v>
      </c>
      <c r="F1102" s="2">
        <v>46357.0</v>
      </c>
      <c r="G1102" s="2">
        <v>1756824.0</v>
      </c>
      <c r="H1102" s="2">
        <v>1803181.0</v>
      </c>
      <c r="I1102" s="2">
        <v>1566031.0</v>
      </c>
      <c r="J1102" s="2">
        <v>237150.0</v>
      </c>
    </row>
    <row r="1103">
      <c r="A1103" s="2">
        <v>2025.0</v>
      </c>
      <c r="B1103" s="1" t="s">
        <v>745</v>
      </c>
      <c r="C1103" s="2" t="s">
        <v>966</v>
      </c>
      <c r="D1103" s="2"/>
      <c r="E1103" s="2" t="s">
        <v>972</v>
      </c>
      <c r="F1103" s="2">
        <v>4470796.0</v>
      </c>
      <c r="G1103" s="2">
        <v>1713245.0</v>
      </c>
      <c r="H1103" s="2">
        <v>6184041.0</v>
      </c>
      <c r="I1103" s="2">
        <v>468164.0</v>
      </c>
      <c r="J1103" s="2">
        <v>5715877.0</v>
      </c>
    </row>
    <row r="1104">
      <c r="A1104" s="2">
        <v>2025.0</v>
      </c>
      <c r="B1104" s="1" t="s">
        <v>745</v>
      </c>
      <c r="C1104" s="2" t="s">
        <v>966</v>
      </c>
      <c r="D1104" s="2" t="s">
        <v>975</v>
      </c>
      <c r="E1104" s="2" t="s">
        <v>25</v>
      </c>
      <c r="F1104" s="2">
        <v>2452860.0</v>
      </c>
      <c r="G1104" s="2">
        <v>617397.0</v>
      </c>
      <c r="H1104" s="2">
        <v>3070257.0</v>
      </c>
      <c r="I1104" s="2">
        <v>1292502.0</v>
      </c>
      <c r="J1104" s="2">
        <v>1777755.0</v>
      </c>
    </row>
    <row r="1105">
      <c r="A1105" s="2">
        <v>2025.0</v>
      </c>
      <c r="B1105" s="1" t="s">
        <v>745</v>
      </c>
      <c r="C1105" s="2" t="s">
        <v>966</v>
      </c>
      <c r="D1105" s="2"/>
      <c r="E1105" s="2" t="s">
        <v>56</v>
      </c>
      <c r="F1105" s="2">
        <v>2571165.0</v>
      </c>
      <c r="G1105" s="2">
        <v>2116048.0</v>
      </c>
      <c r="H1105" s="2">
        <v>4687213.0</v>
      </c>
      <c r="I1105" s="2">
        <v>2475133.0</v>
      </c>
      <c r="J1105" s="2">
        <v>2212080.0</v>
      </c>
    </row>
    <row r="1106">
      <c r="A1106" s="2">
        <v>2025.0</v>
      </c>
      <c r="B1106" s="1" t="s">
        <v>745</v>
      </c>
      <c r="C1106" s="2" t="s">
        <v>966</v>
      </c>
      <c r="D1106" s="2"/>
      <c r="E1106" s="2" t="s">
        <v>32</v>
      </c>
      <c r="F1106" s="2">
        <v>115416.0</v>
      </c>
      <c r="G1106" s="2">
        <v>138469.0</v>
      </c>
      <c r="H1106" s="2">
        <v>253885.0</v>
      </c>
      <c r="I1106" s="2">
        <v>141474.0</v>
      </c>
      <c r="J1106" s="2">
        <v>112411.0</v>
      </c>
    </row>
    <row r="1107">
      <c r="A1107" s="2">
        <v>2025.0</v>
      </c>
      <c r="B1107" s="1" t="s">
        <v>745</v>
      </c>
      <c r="C1107" s="2" t="s">
        <v>966</v>
      </c>
      <c r="D1107" s="2"/>
      <c r="E1107" s="2" t="s">
        <v>27</v>
      </c>
      <c r="F1107" s="2">
        <v>2146.0</v>
      </c>
      <c r="G1107" s="2">
        <v>1584072.0</v>
      </c>
      <c r="H1107" s="2">
        <v>1586218.0</v>
      </c>
      <c r="I1107" s="2">
        <v>1364551.0</v>
      </c>
      <c r="J1107" s="2">
        <v>221667.0</v>
      </c>
    </row>
    <row r="1108">
      <c r="A1108" s="2">
        <v>2025.0</v>
      </c>
      <c r="B1108" s="1" t="s">
        <v>745</v>
      </c>
      <c r="C1108" s="2" t="s">
        <v>966</v>
      </c>
      <c r="D1108" s="2" t="s">
        <v>976</v>
      </c>
      <c r="E1108" s="2" t="s">
        <v>25</v>
      </c>
      <c r="F1108" s="2">
        <v>1831098.0</v>
      </c>
      <c r="G1108" s="2">
        <v>717039.0</v>
      </c>
      <c r="H1108" s="2">
        <v>2548137.0</v>
      </c>
      <c r="I1108" s="2">
        <v>0.0</v>
      </c>
      <c r="J1108" s="2">
        <v>2548137.0</v>
      </c>
    </row>
    <row r="1109">
      <c r="A1109" s="2">
        <v>2025.0</v>
      </c>
      <c r="B1109" s="1" t="s">
        <v>745</v>
      </c>
      <c r="C1109" s="2" t="s">
        <v>966</v>
      </c>
      <c r="D1109" s="2"/>
      <c r="E1109" s="2" t="s">
        <v>32</v>
      </c>
      <c r="F1109" s="2">
        <v>0.0</v>
      </c>
      <c r="G1109" s="2">
        <v>435558.0</v>
      </c>
      <c r="H1109" s="2">
        <v>435558.0</v>
      </c>
      <c r="I1109" s="2">
        <v>36188.0</v>
      </c>
      <c r="J1109" s="2">
        <v>399370.0</v>
      </c>
    </row>
    <row r="1110">
      <c r="A1110" s="2">
        <v>2025.0</v>
      </c>
      <c r="B1110" s="1" t="s">
        <v>745</v>
      </c>
      <c r="C1110" s="2" t="s">
        <v>966</v>
      </c>
      <c r="D1110" s="2"/>
      <c r="E1110" s="2" t="s">
        <v>56</v>
      </c>
      <c r="F1110" s="2">
        <v>2904284.0</v>
      </c>
      <c r="G1110" s="2">
        <v>2689625.0</v>
      </c>
      <c r="H1110" s="2">
        <v>5593909.0</v>
      </c>
      <c r="I1110" s="2">
        <v>1769540.0</v>
      </c>
      <c r="J1110" s="2">
        <v>3824369.0</v>
      </c>
    </row>
    <row r="1111">
      <c r="A1111" s="2">
        <v>2025.0</v>
      </c>
      <c r="B1111" s="1" t="s">
        <v>745</v>
      </c>
      <c r="C1111" s="2" t="s">
        <v>966</v>
      </c>
      <c r="D1111" s="2"/>
      <c r="E1111" s="2" t="s">
        <v>27</v>
      </c>
      <c r="F1111" s="2">
        <v>354384.0</v>
      </c>
      <c r="G1111" s="2">
        <v>1437810.0</v>
      </c>
      <c r="H1111" s="2">
        <v>1792194.0</v>
      </c>
      <c r="I1111" s="2">
        <v>1577435.0</v>
      </c>
      <c r="J1111" s="2">
        <v>214759.0</v>
      </c>
    </row>
    <row r="1112">
      <c r="A1112" s="2">
        <v>2025.0</v>
      </c>
      <c r="B1112" s="1" t="s">
        <v>745</v>
      </c>
      <c r="C1112" s="2" t="s">
        <v>966</v>
      </c>
      <c r="D1112" s="2" t="s">
        <v>977</v>
      </c>
      <c r="E1112" s="2" t="s">
        <v>25</v>
      </c>
      <c r="F1112" s="2">
        <v>2168411.0</v>
      </c>
      <c r="G1112" s="2">
        <v>1268088.0</v>
      </c>
      <c r="H1112" s="2">
        <v>3436499.0</v>
      </c>
      <c r="I1112" s="2">
        <v>1225488.0</v>
      </c>
      <c r="J1112" s="2">
        <v>2211011.0</v>
      </c>
    </row>
    <row r="1113">
      <c r="A1113" s="2">
        <v>2025.0</v>
      </c>
      <c r="B1113" s="1" t="s">
        <v>745</v>
      </c>
      <c r="C1113" s="2" t="s">
        <v>966</v>
      </c>
      <c r="D1113" s="2"/>
      <c r="E1113" s="2" t="s">
        <v>27</v>
      </c>
      <c r="F1113" s="2">
        <v>219269.0</v>
      </c>
      <c r="G1113" s="2">
        <v>2246367.0</v>
      </c>
      <c r="H1113" s="2">
        <v>2465636.0</v>
      </c>
      <c r="I1113" s="2">
        <v>2279648.0</v>
      </c>
      <c r="J1113" s="2">
        <v>185988.0</v>
      </c>
    </row>
    <row r="1114">
      <c r="A1114" s="2">
        <v>2025.0</v>
      </c>
      <c r="B1114" s="1" t="s">
        <v>745</v>
      </c>
      <c r="C1114" s="2" t="s">
        <v>966</v>
      </c>
      <c r="D1114" s="2"/>
      <c r="E1114" s="2" t="s">
        <v>978</v>
      </c>
      <c r="F1114" s="2">
        <v>3458092.0</v>
      </c>
      <c r="G1114" s="2">
        <v>2421459.0</v>
      </c>
      <c r="H1114" s="2">
        <v>5879551.0</v>
      </c>
      <c r="I1114" s="2">
        <v>1205114.0</v>
      </c>
      <c r="J1114" s="2">
        <v>4674437.0</v>
      </c>
    </row>
    <row r="1115">
      <c r="A1115" s="2">
        <v>2025.0</v>
      </c>
      <c r="B1115" s="1" t="s">
        <v>745</v>
      </c>
      <c r="C1115" s="2" t="s">
        <v>966</v>
      </c>
      <c r="D1115" s="2" t="s">
        <v>979</v>
      </c>
      <c r="E1115" s="2" t="s">
        <v>25</v>
      </c>
      <c r="F1115" s="2">
        <v>1165249.0</v>
      </c>
      <c r="G1115" s="2">
        <v>443873.0</v>
      </c>
      <c r="H1115" s="2">
        <v>1609122.0</v>
      </c>
      <c r="I1115" s="2">
        <v>4639.0</v>
      </c>
      <c r="J1115" s="2">
        <v>1604483.0</v>
      </c>
    </row>
    <row r="1116">
      <c r="A1116" s="2">
        <v>2025.0</v>
      </c>
      <c r="B1116" s="1" t="s">
        <v>745</v>
      </c>
      <c r="C1116" s="2" t="s">
        <v>966</v>
      </c>
      <c r="D1116" s="2"/>
      <c r="E1116" s="2" t="s">
        <v>32</v>
      </c>
      <c r="F1116" s="2">
        <v>2700.0</v>
      </c>
      <c r="G1116" s="2">
        <v>170484.0</v>
      </c>
      <c r="H1116" s="2">
        <v>173184.0</v>
      </c>
      <c r="I1116" s="2">
        <v>83472.0</v>
      </c>
      <c r="J1116" s="2">
        <v>89712.0</v>
      </c>
    </row>
    <row r="1117">
      <c r="A1117" s="2">
        <v>2025.0</v>
      </c>
      <c r="B1117" s="1" t="s">
        <v>745</v>
      </c>
      <c r="C1117" s="2" t="s">
        <v>966</v>
      </c>
      <c r="D1117" s="2"/>
      <c r="E1117" s="2" t="s">
        <v>279</v>
      </c>
      <c r="F1117" s="2">
        <v>1936434.0</v>
      </c>
      <c r="G1117" s="2">
        <v>2549485.0</v>
      </c>
      <c r="H1117" s="2">
        <v>4485919.0</v>
      </c>
      <c r="I1117" s="2">
        <v>1533627.0</v>
      </c>
      <c r="J1117" s="2">
        <v>2952292.0</v>
      </c>
    </row>
    <row r="1118">
      <c r="A1118" s="2">
        <v>2025.0</v>
      </c>
      <c r="B1118" s="1" t="s">
        <v>745</v>
      </c>
      <c r="C1118" s="2" t="s">
        <v>966</v>
      </c>
      <c r="D1118" s="2" t="s">
        <v>980</v>
      </c>
      <c r="E1118" s="2" t="s">
        <v>27</v>
      </c>
      <c r="F1118" s="2">
        <v>78429.0</v>
      </c>
      <c r="G1118" s="2">
        <v>805519.0</v>
      </c>
      <c r="H1118" s="2">
        <v>883948.0</v>
      </c>
      <c r="I1118" s="2">
        <v>462500.0</v>
      </c>
      <c r="J1118" s="2">
        <v>421448.0</v>
      </c>
    </row>
    <row r="1119">
      <c r="A1119" s="2">
        <v>2025.0</v>
      </c>
      <c r="B1119" s="1" t="s">
        <v>745</v>
      </c>
      <c r="C1119" s="2" t="s">
        <v>966</v>
      </c>
      <c r="D1119" s="2"/>
      <c r="E1119" s="2" t="s">
        <v>686</v>
      </c>
      <c r="F1119" s="2">
        <v>246480.0</v>
      </c>
      <c r="G1119" s="2">
        <v>501677.0</v>
      </c>
      <c r="H1119" s="2">
        <v>748157.0</v>
      </c>
      <c r="I1119" s="2">
        <v>72601.0</v>
      </c>
      <c r="J1119" s="2">
        <v>675556.0</v>
      </c>
    </row>
    <row r="1120">
      <c r="A1120" s="2">
        <v>2025.0</v>
      </c>
      <c r="B1120" s="1" t="s">
        <v>745</v>
      </c>
      <c r="C1120" s="2" t="s">
        <v>753</v>
      </c>
      <c r="D1120" s="2" t="s">
        <v>758</v>
      </c>
      <c r="E1120" s="2" t="s">
        <v>25</v>
      </c>
      <c r="F1120" s="2">
        <v>2011512.0</v>
      </c>
      <c r="G1120" s="2">
        <v>878755.0</v>
      </c>
      <c r="H1120" s="2">
        <v>2890267.0</v>
      </c>
      <c r="I1120" s="2">
        <v>1206112.0</v>
      </c>
      <c r="J1120" s="2">
        <v>1684155.0</v>
      </c>
    </row>
    <row r="1121">
      <c r="A1121" s="2">
        <v>2025.0</v>
      </c>
      <c r="B1121" s="1" t="s">
        <v>745</v>
      </c>
      <c r="C1121" s="2" t="s">
        <v>753</v>
      </c>
      <c r="D1121" s="2"/>
      <c r="E1121" s="2" t="s">
        <v>78</v>
      </c>
      <c r="F1121" s="2">
        <v>1158134.0</v>
      </c>
      <c r="G1121" s="2">
        <v>1639000.0</v>
      </c>
      <c r="H1121" s="2">
        <v>2797134.0</v>
      </c>
      <c r="I1121" s="2">
        <v>1834543.0</v>
      </c>
      <c r="J1121" s="2">
        <v>962591.0</v>
      </c>
    </row>
    <row r="1122">
      <c r="A1122" s="2">
        <v>2025.0</v>
      </c>
      <c r="B1122" s="1" t="s">
        <v>745</v>
      </c>
      <c r="C1122" s="2" t="s">
        <v>753</v>
      </c>
      <c r="D1122" s="2"/>
      <c r="E1122" s="2" t="s">
        <v>981</v>
      </c>
      <c r="F1122" s="2">
        <v>61260.0</v>
      </c>
      <c r="G1122" s="2">
        <v>375983.0</v>
      </c>
      <c r="H1122" s="2">
        <v>437243.0</v>
      </c>
      <c r="I1122" s="2">
        <v>417455.0</v>
      </c>
      <c r="J1122" s="2">
        <v>19788.0</v>
      </c>
    </row>
    <row r="1123">
      <c r="A1123" s="2">
        <v>2025.0</v>
      </c>
      <c r="B1123" s="1" t="s">
        <v>745</v>
      </c>
      <c r="C1123" s="2" t="s">
        <v>753</v>
      </c>
      <c r="D1123" s="2"/>
      <c r="E1123" s="2" t="s">
        <v>982</v>
      </c>
      <c r="F1123" s="2">
        <v>3000.0</v>
      </c>
      <c r="G1123" s="2">
        <v>413231.0</v>
      </c>
      <c r="H1123" s="2">
        <v>416231.0</v>
      </c>
      <c r="I1123" s="2">
        <v>383951.0</v>
      </c>
      <c r="J1123" s="2">
        <v>32280.0</v>
      </c>
    </row>
    <row r="1124">
      <c r="A1124" s="2">
        <v>2025.0</v>
      </c>
      <c r="B1124" s="1" t="s">
        <v>745</v>
      </c>
      <c r="C1124" s="2" t="s">
        <v>753</v>
      </c>
      <c r="D1124" s="2"/>
      <c r="E1124" s="2" t="s">
        <v>27</v>
      </c>
      <c r="F1124" s="2">
        <v>4090.0</v>
      </c>
      <c r="G1124" s="2">
        <v>1016810.0</v>
      </c>
      <c r="H1124" s="2">
        <v>1020900.0</v>
      </c>
      <c r="I1124" s="2">
        <v>918425.0</v>
      </c>
      <c r="J1124" s="2">
        <v>102475.0</v>
      </c>
    </row>
    <row r="1125">
      <c r="A1125" s="2">
        <v>2025.0</v>
      </c>
      <c r="B1125" s="1" t="s">
        <v>745</v>
      </c>
      <c r="C1125" s="2" t="s">
        <v>753</v>
      </c>
      <c r="D1125" s="2" t="s">
        <v>983</v>
      </c>
      <c r="E1125" s="2" t="s">
        <v>25</v>
      </c>
      <c r="F1125" s="2">
        <v>1483462.0</v>
      </c>
      <c r="G1125" s="2">
        <v>823298.0</v>
      </c>
      <c r="H1125" s="2">
        <v>2306760.0</v>
      </c>
      <c r="I1125" s="2">
        <v>1349464.0</v>
      </c>
      <c r="J1125" s="2">
        <v>957296.0</v>
      </c>
    </row>
    <row r="1126">
      <c r="A1126" s="2">
        <v>2025.0</v>
      </c>
      <c r="B1126" s="1" t="s">
        <v>745</v>
      </c>
      <c r="C1126" s="2" t="s">
        <v>753</v>
      </c>
      <c r="D1126" s="2"/>
      <c r="E1126" s="2" t="s">
        <v>78</v>
      </c>
      <c r="F1126" s="2">
        <v>793180.0</v>
      </c>
      <c r="G1126" s="2">
        <v>1646221.0</v>
      </c>
      <c r="H1126" s="2">
        <v>2439401.0</v>
      </c>
      <c r="I1126" s="2">
        <v>1361161.0</v>
      </c>
      <c r="J1126" s="2">
        <v>1078240.0</v>
      </c>
    </row>
    <row r="1127">
      <c r="A1127" s="2">
        <v>2025.0</v>
      </c>
      <c r="B1127" s="1" t="s">
        <v>745</v>
      </c>
      <c r="C1127" s="2" t="s">
        <v>753</v>
      </c>
      <c r="D1127" s="2"/>
      <c r="E1127" s="2" t="s">
        <v>981</v>
      </c>
      <c r="F1127" s="2">
        <v>43781.0</v>
      </c>
      <c r="G1127" s="2">
        <v>544436.0</v>
      </c>
      <c r="H1127" s="2">
        <v>588217.0</v>
      </c>
      <c r="I1127" s="2">
        <v>537882.0</v>
      </c>
      <c r="J1127" s="2">
        <v>50335.0</v>
      </c>
    </row>
    <row r="1128">
      <c r="A1128" s="2">
        <v>2025.0</v>
      </c>
      <c r="B1128" s="1" t="s">
        <v>745</v>
      </c>
      <c r="C1128" s="2" t="s">
        <v>753</v>
      </c>
      <c r="D1128" s="2"/>
      <c r="E1128" s="2" t="s">
        <v>982</v>
      </c>
      <c r="F1128" s="2">
        <v>3000.0</v>
      </c>
      <c r="G1128" s="2">
        <v>317477.0</v>
      </c>
      <c r="H1128" s="2">
        <v>320477.0</v>
      </c>
      <c r="I1128" s="2">
        <v>241220.0</v>
      </c>
      <c r="J1128" s="2">
        <v>79257.0</v>
      </c>
    </row>
    <row r="1129">
      <c r="A1129" s="2">
        <v>2025.0</v>
      </c>
      <c r="B1129" s="1" t="s">
        <v>745</v>
      </c>
      <c r="C1129" s="2" t="s">
        <v>753</v>
      </c>
      <c r="D1129" s="2"/>
      <c r="E1129" s="2" t="s">
        <v>27</v>
      </c>
      <c r="F1129" s="2">
        <v>98142.0</v>
      </c>
      <c r="G1129" s="2">
        <v>1518790.0</v>
      </c>
      <c r="H1129" s="2">
        <v>1616932.0</v>
      </c>
      <c r="I1129" s="2">
        <v>1579318.0</v>
      </c>
      <c r="J1129" s="2">
        <v>37614.0</v>
      </c>
    </row>
    <row r="1130">
      <c r="A1130" s="2">
        <v>2025.0</v>
      </c>
      <c r="B1130" s="1" t="s">
        <v>745</v>
      </c>
      <c r="C1130" s="2" t="s">
        <v>753</v>
      </c>
      <c r="D1130" s="2" t="s">
        <v>984</v>
      </c>
      <c r="E1130" s="2" t="s">
        <v>25</v>
      </c>
      <c r="F1130" s="2">
        <v>2017540.0</v>
      </c>
      <c r="G1130" s="2">
        <v>1090257.0</v>
      </c>
      <c r="H1130" s="2">
        <v>3107797.0</v>
      </c>
      <c r="I1130" s="2">
        <v>1623947.0</v>
      </c>
      <c r="J1130" s="2">
        <v>1483850.0</v>
      </c>
    </row>
    <row r="1131">
      <c r="A1131" s="2">
        <v>2025.0</v>
      </c>
      <c r="B1131" s="1" t="s">
        <v>745</v>
      </c>
      <c r="C1131" s="2" t="s">
        <v>753</v>
      </c>
      <c r="D1131" s="2"/>
      <c r="E1131" s="2" t="s">
        <v>56</v>
      </c>
      <c r="F1131" s="2">
        <v>1552078.0</v>
      </c>
      <c r="G1131" s="2">
        <v>1989237.0</v>
      </c>
      <c r="H1131" s="2">
        <v>3541315.0</v>
      </c>
      <c r="I1131" s="2">
        <v>2286066.0</v>
      </c>
      <c r="J1131" s="2">
        <v>1255249.0</v>
      </c>
    </row>
    <row r="1132">
      <c r="A1132" s="2">
        <v>2025.0</v>
      </c>
      <c r="B1132" s="1" t="s">
        <v>745</v>
      </c>
      <c r="C1132" s="2" t="s">
        <v>753</v>
      </c>
      <c r="D1132" s="2"/>
      <c r="E1132" s="2" t="s">
        <v>985</v>
      </c>
      <c r="F1132" s="2">
        <v>88866.0</v>
      </c>
      <c r="G1132" s="2">
        <v>1743514.0</v>
      </c>
      <c r="H1132" s="2">
        <v>1832380.0</v>
      </c>
      <c r="I1132" s="2">
        <v>1666121.0</v>
      </c>
      <c r="J1132" s="2">
        <v>166259.0</v>
      </c>
    </row>
    <row r="1133">
      <c r="A1133" s="2">
        <v>2025.0</v>
      </c>
      <c r="B1133" s="1" t="s">
        <v>745</v>
      </c>
      <c r="C1133" s="2" t="s">
        <v>753</v>
      </c>
      <c r="D1133" s="2" t="s">
        <v>756</v>
      </c>
      <c r="E1133" s="2" t="s">
        <v>25</v>
      </c>
      <c r="F1133" s="2">
        <v>3775490.0</v>
      </c>
      <c r="G1133" s="2">
        <v>1453666.0</v>
      </c>
      <c r="H1133" s="2">
        <v>5229156.0</v>
      </c>
      <c r="I1133" s="2">
        <v>2600430.0</v>
      </c>
      <c r="J1133" s="2">
        <v>2628726.0</v>
      </c>
    </row>
    <row r="1134">
      <c r="A1134" s="2">
        <v>2025.0</v>
      </c>
      <c r="B1134" s="1" t="s">
        <v>745</v>
      </c>
      <c r="C1134" s="2" t="s">
        <v>753</v>
      </c>
      <c r="D1134" s="2"/>
      <c r="E1134" s="2" t="s">
        <v>78</v>
      </c>
      <c r="F1134" s="2">
        <v>2455207.0</v>
      </c>
      <c r="G1134" s="2">
        <v>2578078.0</v>
      </c>
      <c r="H1134" s="2">
        <v>5033285.0</v>
      </c>
      <c r="I1134" s="2">
        <v>1909787.0</v>
      </c>
      <c r="J1134" s="2">
        <v>3123498.0</v>
      </c>
    </row>
    <row r="1135">
      <c r="A1135" s="2">
        <v>2025.0</v>
      </c>
      <c r="B1135" s="1" t="s">
        <v>745</v>
      </c>
      <c r="C1135" s="2" t="s">
        <v>753</v>
      </c>
      <c r="D1135" s="2"/>
      <c r="E1135" s="2" t="s">
        <v>27</v>
      </c>
      <c r="F1135" s="2">
        <v>20054.0</v>
      </c>
      <c r="G1135" s="2">
        <v>487477.0</v>
      </c>
      <c r="H1135" s="2">
        <v>507531.0</v>
      </c>
      <c r="I1135" s="2">
        <v>399930.0</v>
      </c>
      <c r="J1135" s="2">
        <v>107601.0</v>
      </c>
    </row>
    <row r="1136">
      <c r="A1136" s="2">
        <v>2025.0</v>
      </c>
      <c r="B1136" s="1" t="s">
        <v>745</v>
      </c>
      <c r="C1136" s="2" t="s">
        <v>753</v>
      </c>
      <c r="D1136" s="2"/>
      <c r="E1136" s="2" t="s">
        <v>32</v>
      </c>
      <c r="F1136" s="2">
        <v>313242.0</v>
      </c>
      <c r="G1136" s="2">
        <v>1662427.0</v>
      </c>
      <c r="H1136" s="2">
        <v>1975669.0</v>
      </c>
      <c r="I1136" s="2">
        <v>1508756.0</v>
      </c>
      <c r="J1136" s="2">
        <v>466913.0</v>
      </c>
    </row>
    <row r="1137">
      <c r="A1137" s="2">
        <v>2025.0</v>
      </c>
      <c r="B1137" s="1" t="s">
        <v>745</v>
      </c>
      <c r="C1137" s="2" t="s">
        <v>120</v>
      </c>
      <c r="D1137" s="2" t="s">
        <v>125</v>
      </c>
      <c r="E1137" s="2" t="s">
        <v>27</v>
      </c>
      <c r="F1137" s="2">
        <v>0.0</v>
      </c>
      <c r="G1137" s="2">
        <v>417099.0</v>
      </c>
      <c r="H1137" s="2">
        <v>417099.0</v>
      </c>
      <c r="I1137" s="2">
        <v>295076.0</v>
      </c>
      <c r="J1137" s="2">
        <v>122023.0</v>
      </c>
    </row>
    <row r="1138">
      <c r="A1138" s="2">
        <v>2025.0</v>
      </c>
      <c r="B1138" s="1" t="s">
        <v>745</v>
      </c>
      <c r="C1138" s="2" t="s">
        <v>120</v>
      </c>
      <c r="D1138" s="2"/>
      <c r="E1138" s="2" t="s">
        <v>986</v>
      </c>
      <c r="F1138" s="2">
        <v>3393103.0</v>
      </c>
      <c r="G1138" s="2">
        <v>436306.0</v>
      </c>
      <c r="H1138" s="2">
        <v>3829409.0</v>
      </c>
      <c r="I1138" s="2">
        <v>2370768.0</v>
      </c>
      <c r="J1138" s="2">
        <v>1458641.0</v>
      </c>
    </row>
    <row r="1139">
      <c r="A1139" s="2">
        <v>2025.0</v>
      </c>
      <c r="B1139" s="1" t="s">
        <v>745</v>
      </c>
      <c r="C1139" s="2" t="s">
        <v>120</v>
      </c>
      <c r="D1139" s="2"/>
      <c r="E1139" s="2" t="s">
        <v>32</v>
      </c>
      <c r="F1139" s="2">
        <v>81637.0</v>
      </c>
      <c r="G1139" s="2">
        <v>83049.0</v>
      </c>
      <c r="H1139" s="2">
        <v>164686.0</v>
      </c>
      <c r="I1139" s="2">
        <v>85000.0</v>
      </c>
      <c r="J1139" s="2">
        <v>79686.0</v>
      </c>
    </row>
    <row r="1140">
      <c r="A1140" s="2">
        <v>2025.0</v>
      </c>
      <c r="B1140" s="1" t="s">
        <v>745</v>
      </c>
      <c r="C1140" s="2" t="s">
        <v>120</v>
      </c>
      <c r="D1140" s="2"/>
      <c r="E1140" s="2" t="s">
        <v>56</v>
      </c>
      <c r="F1140" s="2">
        <v>1819395.0</v>
      </c>
      <c r="G1140" s="2">
        <v>3115052.0</v>
      </c>
      <c r="H1140" s="2">
        <v>4934447.0</v>
      </c>
      <c r="I1140" s="2">
        <v>3446456.0</v>
      </c>
      <c r="J1140" s="2">
        <v>1487991.0</v>
      </c>
    </row>
    <row r="1141">
      <c r="A1141" s="2">
        <v>2025.0</v>
      </c>
      <c r="B1141" s="1" t="s">
        <v>745</v>
      </c>
      <c r="C1141" s="2" t="s">
        <v>120</v>
      </c>
      <c r="D1141" s="2" t="s">
        <v>987</v>
      </c>
      <c r="E1141" s="2" t="s">
        <v>986</v>
      </c>
      <c r="F1141" s="2">
        <v>4113303.0</v>
      </c>
      <c r="G1141" s="2">
        <v>1368535.0</v>
      </c>
      <c r="H1141" s="2">
        <v>5481838.0</v>
      </c>
      <c r="I1141" s="2">
        <v>2688594.0</v>
      </c>
      <c r="J1141" s="2">
        <v>2793244.0</v>
      </c>
    </row>
    <row r="1142">
      <c r="A1142" s="2">
        <v>2025.0</v>
      </c>
      <c r="B1142" s="1" t="s">
        <v>745</v>
      </c>
      <c r="C1142" s="2" t="s">
        <v>120</v>
      </c>
      <c r="D1142" s="2"/>
      <c r="E1142" s="2" t="s">
        <v>56</v>
      </c>
      <c r="F1142" s="2">
        <v>1445712.0</v>
      </c>
      <c r="G1142" s="2">
        <v>2372899.0</v>
      </c>
      <c r="H1142" s="2">
        <v>3818611.0</v>
      </c>
      <c r="I1142" s="2">
        <v>1889744.0</v>
      </c>
      <c r="J1142" s="2">
        <v>1928867.0</v>
      </c>
    </row>
    <row r="1143">
      <c r="A1143" s="2">
        <v>2025.0</v>
      </c>
      <c r="B1143" s="1" t="s">
        <v>745</v>
      </c>
      <c r="C1143" s="2" t="s">
        <v>120</v>
      </c>
      <c r="D1143" s="2"/>
      <c r="E1143" s="2" t="s">
        <v>27</v>
      </c>
      <c r="F1143" s="2">
        <v>100742.0</v>
      </c>
      <c r="G1143" s="2">
        <v>2743904.0</v>
      </c>
      <c r="H1143" s="2">
        <v>2844646.0</v>
      </c>
      <c r="I1143" s="2">
        <v>2789457.0</v>
      </c>
      <c r="J1143" s="2">
        <v>55189.0</v>
      </c>
    </row>
    <row r="1144">
      <c r="A1144" s="2">
        <v>2025.0</v>
      </c>
      <c r="B1144" s="1" t="s">
        <v>745</v>
      </c>
      <c r="C1144" s="2" t="s">
        <v>120</v>
      </c>
      <c r="D1144" s="2"/>
      <c r="E1144" s="2" t="s">
        <v>988</v>
      </c>
      <c r="F1144" s="2">
        <v>65727.0</v>
      </c>
      <c r="G1144" s="2">
        <v>205833.0</v>
      </c>
      <c r="H1144" s="2">
        <v>271560.0</v>
      </c>
      <c r="I1144" s="2">
        <v>271560.0</v>
      </c>
      <c r="J1144" s="2">
        <v>0.0</v>
      </c>
    </row>
    <row r="1145">
      <c r="A1145" s="2">
        <v>2025.0</v>
      </c>
      <c r="B1145" s="1" t="s">
        <v>745</v>
      </c>
      <c r="C1145" s="2" t="s">
        <v>120</v>
      </c>
      <c r="D1145" s="2"/>
      <c r="E1145" s="2" t="s">
        <v>989</v>
      </c>
      <c r="F1145" s="2">
        <v>0.0</v>
      </c>
      <c r="G1145" s="2">
        <v>441711.0</v>
      </c>
      <c r="H1145" s="2">
        <v>441711.0</v>
      </c>
      <c r="I1145" s="2">
        <v>21608.0</v>
      </c>
      <c r="J1145" s="2">
        <v>420103.0</v>
      </c>
    </row>
    <row r="1146">
      <c r="A1146" s="2">
        <v>2025.0</v>
      </c>
      <c r="B1146" s="1" t="s">
        <v>745</v>
      </c>
      <c r="C1146" s="2" t="s">
        <v>120</v>
      </c>
      <c r="D1146" s="2" t="s">
        <v>990</v>
      </c>
      <c r="E1146" s="2" t="s">
        <v>986</v>
      </c>
      <c r="F1146" s="2">
        <v>2856557.0</v>
      </c>
      <c r="G1146" s="2">
        <v>1532664.0</v>
      </c>
      <c r="H1146" s="2">
        <v>4389221.0</v>
      </c>
      <c r="I1146" s="2">
        <v>2895835.0</v>
      </c>
      <c r="J1146" s="2">
        <v>1493386.0</v>
      </c>
    </row>
    <row r="1147">
      <c r="A1147" s="2">
        <v>2025.0</v>
      </c>
      <c r="B1147" s="1" t="s">
        <v>745</v>
      </c>
      <c r="C1147" s="2" t="s">
        <v>120</v>
      </c>
      <c r="D1147" s="2"/>
      <c r="E1147" s="2" t="s">
        <v>394</v>
      </c>
      <c r="F1147" s="2">
        <v>2619529.0</v>
      </c>
      <c r="G1147" s="2">
        <v>1602551.0</v>
      </c>
      <c r="H1147" s="2">
        <v>4222080.0</v>
      </c>
      <c r="I1147" s="2">
        <v>2524316.0</v>
      </c>
      <c r="J1147" s="2">
        <v>1697764.0</v>
      </c>
    </row>
    <row r="1148">
      <c r="A1148" s="2">
        <v>2025.0</v>
      </c>
      <c r="B1148" s="1" t="s">
        <v>745</v>
      </c>
      <c r="C1148" s="2" t="s">
        <v>120</v>
      </c>
      <c r="D1148" s="2"/>
      <c r="E1148" s="2" t="s">
        <v>27</v>
      </c>
      <c r="F1148" s="2">
        <v>0.0</v>
      </c>
      <c r="G1148" s="2">
        <v>1732606.0</v>
      </c>
      <c r="H1148" s="2">
        <v>1732606.0</v>
      </c>
      <c r="I1148" s="2">
        <v>1237369.0</v>
      </c>
      <c r="J1148" s="2">
        <v>495237.0</v>
      </c>
    </row>
    <row r="1149">
      <c r="A1149" s="2">
        <v>2025.0</v>
      </c>
      <c r="B1149" s="1" t="s">
        <v>745</v>
      </c>
      <c r="C1149" s="2" t="s">
        <v>120</v>
      </c>
      <c r="D1149" s="2" t="s">
        <v>991</v>
      </c>
      <c r="E1149" s="2" t="s">
        <v>986</v>
      </c>
      <c r="F1149" s="2">
        <v>2145219.0</v>
      </c>
      <c r="G1149" s="2">
        <v>1324430.0</v>
      </c>
      <c r="H1149" s="2">
        <v>3469649.0</v>
      </c>
      <c r="I1149" s="2">
        <v>1183878.0</v>
      </c>
      <c r="J1149" s="2">
        <v>2285771.0</v>
      </c>
    </row>
    <row r="1150">
      <c r="A1150" s="2">
        <v>2025.0</v>
      </c>
      <c r="B1150" s="1" t="s">
        <v>745</v>
      </c>
      <c r="C1150" s="2" t="s">
        <v>120</v>
      </c>
      <c r="D1150" s="2"/>
      <c r="E1150" s="2" t="s">
        <v>968</v>
      </c>
      <c r="F1150" s="2">
        <v>1696312.0</v>
      </c>
      <c r="G1150" s="2">
        <v>4627968.0</v>
      </c>
      <c r="H1150" s="2">
        <v>6324280.0</v>
      </c>
      <c r="I1150" s="2">
        <v>3323840.0</v>
      </c>
      <c r="J1150" s="2">
        <v>3000440.0</v>
      </c>
    </row>
    <row r="1151">
      <c r="A1151" s="2">
        <v>2025.0</v>
      </c>
      <c r="B1151" s="1" t="s">
        <v>745</v>
      </c>
      <c r="C1151" s="2" t="s">
        <v>28</v>
      </c>
      <c r="D1151" s="2" t="s">
        <v>993</v>
      </c>
      <c r="E1151" s="2" t="s">
        <v>986</v>
      </c>
      <c r="F1151" s="2">
        <v>2973565.0</v>
      </c>
      <c r="G1151" s="2">
        <v>894702.0</v>
      </c>
      <c r="H1151" s="2">
        <v>3868267.0</v>
      </c>
      <c r="I1151" s="2">
        <v>2047290.0</v>
      </c>
      <c r="J1151" s="2">
        <v>1820977.0</v>
      </c>
    </row>
    <row r="1152">
      <c r="A1152" s="2">
        <v>2025.0</v>
      </c>
      <c r="B1152" s="1" t="s">
        <v>745</v>
      </c>
      <c r="C1152" s="2" t="s">
        <v>28</v>
      </c>
      <c r="D1152" s="2"/>
      <c r="E1152" s="2" t="s">
        <v>988</v>
      </c>
      <c r="F1152" s="2">
        <v>517447.0</v>
      </c>
      <c r="G1152" s="2">
        <v>60251.0</v>
      </c>
      <c r="H1152" s="2">
        <v>577698.0</v>
      </c>
      <c r="I1152" s="2">
        <v>569597.0</v>
      </c>
      <c r="J1152" s="2">
        <v>8101.0</v>
      </c>
    </row>
    <row r="1153">
      <c r="A1153" s="2">
        <v>2025.0</v>
      </c>
      <c r="B1153" s="1" t="s">
        <v>745</v>
      </c>
      <c r="C1153" s="2" t="s">
        <v>28</v>
      </c>
      <c r="D1153" s="2"/>
      <c r="E1153" s="2" t="s">
        <v>989</v>
      </c>
      <c r="F1153" s="2">
        <v>0.0</v>
      </c>
      <c r="G1153" s="2">
        <v>717812.0</v>
      </c>
      <c r="H1153" s="2">
        <v>717812.0</v>
      </c>
      <c r="I1153" s="2">
        <v>145482.0</v>
      </c>
      <c r="J1153" s="2">
        <v>572330.0</v>
      </c>
    </row>
    <row r="1154">
      <c r="A1154" s="2">
        <v>2025.0</v>
      </c>
      <c r="B1154" s="1" t="s">
        <v>745</v>
      </c>
      <c r="C1154" s="2" t="s">
        <v>28</v>
      </c>
      <c r="D1154" s="2"/>
      <c r="E1154" s="2" t="s">
        <v>27</v>
      </c>
      <c r="F1154" s="2">
        <v>1729.0</v>
      </c>
      <c r="G1154" s="2">
        <v>1111982.0</v>
      </c>
      <c r="H1154" s="2">
        <v>1113711.0</v>
      </c>
      <c r="I1154" s="2">
        <v>956740.0</v>
      </c>
      <c r="J1154" s="2">
        <v>156971.0</v>
      </c>
    </row>
    <row r="1155">
      <c r="A1155" s="2">
        <v>2025.0</v>
      </c>
      <c r="B1155" s="1" t="s">
        <v>745</v>
      </c>
      <c r="C1155" s="2" t="s">
        <v>28</v>
      </c>
      <c r="D1155" s="2"/>
      <c r="E1155" s="2" t="s">
        <v>56</v>
      </c>
      <c r="F1155" s="2">
        <v>2081545.0</v>
      </c>
      <c r="G1155" s="2">
        <v>1648141.0</v>
      </c>
      <c r="H1155" s="2">
        <v>3729686.0</v>
      </c>
      <c r="I1155" s="2">
        <v>816382.0</v>
      </c>
      <c r="J1155" s="2">
        <v>2913304.0</v>
      </c>
    </row>
    <row r="1156">
      <c r="A1156" s="2">
        <v>2025.0</v>
      </c>
      <c r="B1156" s="1" t="s">
        <v>745</v>
      </c>
      <c r="C1156" s="2" t="s">
        <v>28</v>
      </c>
      <c r="D1156" s="2" t="s">
        <v>48</v>
      </c>
      <c r="E1156" s="2" t="s">
        <v>986</v>
      </c>
      <c r="F1156" s="2">
        <v>913087.0</v>
      </c>
      <c r="G1156" s="2">
        <v>478457.0</v>
      </c>
      <c r="H1156" s="2">
        <v>1391544.0</v>
      </c>
      <c r="I1156" s="2">
        <v>0.0</v>
      </c>
      <c r="J1156" s="2">
        <v>1391544.0</v>
      </c>
    </row>
    <row r="1157">
      <c r="A1157" s="2">
        <v>2025.0</v>
      </c>
      <c r="B1157" s="1" t="s">
        <v>745</v>
      </c>
      <c r="C1157" s="2" t="s">
        <v>28</v>
      </c>
      <c r="D1157" s="2"/>
      <c r="E1157" s="2" t="s">
        <v>394</v>
      </c>
      <c r="F1157" s="2">
        <v>711787.0</v>
      </c>
      <c r="G1157" s="2">
        <v>1130328.0</v>
      </c>
      <c r="H1157" s="2">
        <v>1842115.0</v>
      </c>
      <c r="I1157" s="2">
        <v>1309703.0</v>
      </c>
      <c r="J1157" s="2">
        <v>532412.0</v>
      </c>
    </row>
    <row r="1158">
      <c r="A1158" s="2">
        <v>2025.0</v>
      </c>
      <c r="B1158" s="1" t="s">
        <v>745</v>
      </c>
      <c r="C1158" s="2" t="s">
        <v>28</v>
      </c>
      <c r="D1158" s="2"/>
      <c r="E1158" s="2" t="s">
        <v>56</v>
      </c>
      <c r="F1158" s="2">
        <v>0.0</v>
      </c>
      <c r="G1158" s="2">
        <v>1424048.0</v>
      </c>
      <c r="H1158" s="2">
        <v>1424048.0</v>
      </c>
      <c r="I1158" s="2">
        <v>0.0</v>
      </c>
      <c r="J1158" s="2">
        <v>1424048.0</v>
      </c>
    </row>
    <row r="1159">
      <c r="A1159" s="2">
        <v>2025.0</v>
      </c>
      <c r="B1159" s="1" t="s">
        <v>745</v>
      </c>
      <c r="C1159" s="2" t="s">
        <v>28</v>
      </c>
      <c r="D1159" s="2"/>
      <c r="E1159" s="2" t="s">
        <v>32</v>
      </c>
      <c r="F1159" s="2">
        <v>0.0</v>
      </c>
      <c r="G1159" s="2">
        <v>139531.0</v>
      </c>
      <c r="H1159" s="2">
        <v>139531.0</v>
      </c>
      <c r="I1159" s="2">
        <v>472.0</v>
      </c>
      <c r="J1159" s="2">
        <v>139059.0</v>
      </c>
    </row>
    <row r="1160">
      <c r="A1160" s="2">
        <v>2025.0</v>
      </c>
      <c r="B1160" s="1" t="s">
        <v>745</v>
      </c>
      <c r="C1160" s="2" t="s">
        <v>28</v>
      </c>
      <c r="D1160" s="2" t="s">
        <v>998</v>
      </c>
      <c r="E1160" s="2" t="s">
        <v>27</v>
      </c>
      <c r="F1160" s="2">
        <v>0.0</v>
      </c>
      <c r="G1160" s="2">
        <v>1579310.0</v>
      </c>
      <c r="H1160" s="2">
        <v>1579310.0</v>
      </c>
      <c r="I1160" s="2">
        <v>1413685.0</v>
      </c>
      <c r="J1160" s="2">
        <v>165625.0</v>
      </c>
    </row>
    <row r="1161">
      <c r="A1161" s="2">
        <v>2025.0</v>
      </c>
      <c r="B1161" s="1" t="s">
        <v>745</v>
      </c>
      <c r="C1161" s="2" t="s">
        <v>28</v>
      </c>
      <c r="D1161" s="2"/>
      <c r="E1161" s="2" t="s">
        <v>56</v>
      </c>
      <c r="F1161" s="2">
        <v>729370.0</v>
      </c>
      <c r="G1161" s="2">
        <v>1778027.0</v>
      </c>
      <c r="H1161" s="2">
        <v>2507397.0</v>
      </c>
      <c r="I1161" s="2">
        <v>893939.0</v>
      </c>
      <c r="J1161" s="2">
        <v>1613458.0</v>
      </c>
    </row>
    <row r="1162">
      <c r="A1162" s="2">
        <v>2025.0</v>
      </c>
      <c r="B1162" s="1" t="s">
        <v>745</v>
      </c>
      <c r="C1162" s="2" t="s">
        <v>28</v>
      </c>
      <c r="D1162" s="2"/>
      <c r="E1162" s="2" t="s">
        <v>32</v>
      </c>
      <c r="F1162" s="2">
        <v>59615.0</v>
      </c>
      <c r="G1162" s="2">
        <v>143527.0</v>
      </c>
      <c r="H1162" s="2">
        <v>203142.0</v>
      </c>
      <c r="I1162" s="2">
        <v>130099.0</v>
      </c>
      <c r="J1162" s="2">
        <v>73043.0</v>
      </c>
    </row>
    <row r="1163">
      <c r="A1163" s="2">
        <v>2025.0</v>
      </c>
      <c r="B1163" s="1" t="s">
        <v>745</v>
      </c>
      <c r="C1163" s="2" t="s">
        <v>28</v>
      </c>
      <c r="D1163" s="2"/>
      <c r="E1163" s="2" t="s">
        <v>986</v>
      </c>
      <c r="F1163" s="2">
        <v>2301162.0</v>
      </c>
      <c r="G1163" s="2">
        <v>904015.0</v>
      </c>
      <c r="H1163" s="2">
        <v>3205177.0</v>
      </c>
      <c r="I1163" s="2">
        <v>943262.0</v>
      </c>
      <c r="J1163" s="2">
        <v>2261915.0</v>
      </c>
    </row>
    <row r="1164">
      <c r="A1164" s="2">
        <v>2025.0</v>
      </c>
      <c r="B1164" s="1" t="s">
        <v>745</v>
      </c>
      <c r="C1164" s="2" t="s">
        <v>28</v>
      </c>
      <c r="D1164" s="2" t="s">
        <v>28</v>
      </c>
      <c r="E1164" s="2" t="s">
        <v>986</v>
      </c>
      <c r="F1164" s="2">
        <v>4310567.0</v>
      </c>
      <c r="G1164" s="2">
        <v>992930.0</v>
      </c>
      <c r="H1164" s="2">
        <v>5303497.0</v>
      </c>
      <c r="I1164" s="2">
        <v>1038564.0</v>
      </c>
      <c r="J1164" s="2">
        <v>4264933.0</v>
      </c>
    </row>
    <row r="1165">
      <c r="A1165" s="2">
        <v>2025.0</v>
      </c>
      <c r="B1165" s="1" t="s">
        <v>745</v>
      </c>
      <c r="C1165" s="2" t="s">
        <v>28</v>
      </c>
      <c r="D1165" s="2"/>
      <c r="E1165" s="2" t="s">
        <v>27</v>
      </c>
      <c r="F1165" s="2">
        <v>79489.0</v>
      </c>
      <c r="G1165" s="2">
        <v>2522375.0</v>
      </c>
      <c r="H1165" s="2">
        <v>2601864.0</v>
      </c>
      <c r="I1165" s="2">
        <v>2327938.0</v>
      </c>
      <c r="J1165" s="2">
        <v>273926.0</v>
      </c>
    </row>
    <row r="1166">
      <c r="A1166" s="2">
        <v>2025.0</v>
      </c>
      <c r="B1166" s="1" t="s">
        <v>745</v>
      </c>
      <c r="C1166" s="2" t="s">
        <v>28</v>
      </c>
      <c r="D1166" s="2"/>
      <c r="E1166" s="2" t="s">
        <v>938</v>
      </c>
      <c r="F1166" s="2">
        <v>187062.0</v>
      </c>
      <c r="G1166" s="2">
        <v>27437.0</v>
      </c>
      <c r="H1166" s="2">
        <v>214499.0</v>
      </c>
      <c r="I1166" s="2">
        <v>99806.0</v>
      </c>
      <c r="J1166" s="2">
        <v>114693.0</v>
      </c>
    </row>
    <row r="1167">
      <c r="A1167" s="2">
        <v>2025.0</v>
      </c>
      <c r="B1167" s="1" t="s">
        <v>745</v>
      </c>
      <c r="C1167" s="2" t="s">
        <v>28</v>
      </c>
      <c r="D1167" s="2"/>
      <c r="E1167" s="2" t="s">
        <v>56</v>
      </c>
      <c r="F1167" s="2">
        <v>2859642.0</v>
      </c>
      <c r="G1167" s="2">
        <v>1723999.0</v>
      </c>
      <c r="H1167" s="2">
        <v>4583641.0</v>
      </c>
      <c r="I1167" s="2">
        <v>2007244.0</v>
      </c>
      <c r="J1167" s="2">
        <v>2576397.0</v>
      </c>
    </row>
    <row r="1168">
      <c r="A1168" s="2">
        <v>2025.0</v>
      </c>
      <c r="B1168" s="1" t="s">
        <v>745</v>
      </c>
      <c r="C1168" s="2" t="s">
        <v>28</v>
      </c>
      <c r="D1168" s="2"/>
      <c r="E1168" s="2" t="s">
        <v>32</v>
      </c>
      <c r="F1168" s="2">
        <v>724082.0</v>
      </c>
      <c r="G1168" s="2">
        <v>232705.0</v>
      </c>
      <c r="H1168" s="2">
        <v>956787.0</v>
      </c>
      <c r="I1168" s="2">
        <v>430854.0</v>
      </c>
      <c r="J1168" s="2">
        <v>525933.0</v>
      </c>
    </row>
    <row r="1169">
      <c r="A1169" s="2">
        <v>2025.0</v>
      </c>
      <c r="B1169" s="1" t="s">
        <v>745</v>
      </c>
      <c r="C1169" s="2" t="s">
        <v>28</v>
      </c>
      <c r="D1169" s="2" t="s">
        <v>999</v>
      </c>
      <c r="E1169" s="2" t="s">
        <v>988</v>
      </c>
      <c r="F1169" s="2">
        <v>50249.0</v>
      </c>
      <c r="G1169" s="2">
        <v>176411.0</v>
      </c>
      <c r="H1169" s="2">
        <v>226660.0</v>
      </c>
      <c r="I1169" s="2">
        <v>55071.0</v>
      </c>
      <c r="J1169" s="2">
        <v>171589.0</v>
      </c>
    </row>
    <row r="1170">
      <c r="A1170" s="2">
        <v>2025.0</v>
      </c>
      <c r="B1170" s="1" t="s">
        <v>745</v>
      </c>
      <c r="C1170" s="2" t="s">
        <v>28</v>
      </c>
      <c r="D1170" s="2"/>
      <c r="E1170" s="2" t="s">
        <v>56</v>
      </c>
      <c r="F1170" s="2">
        <v>517380.0</v>
      </c>
      <c r="G1170" s="2">
        <v>1260322.0</v>
      </c>
      <c r="H1170" s="2">
        <v>1777702.0</v>
      </c>
      <c r="I1170" s="2">
        <v>129670.0</v>
      </c>
      <c r="J1170" s="2">
        <v>1648032.0</v>
      </c>
    </row>
    <row r="1171">
      <c r="A1171" s="2">
        <v>2025.0</v>
      </c>
      <c r="B1171" s="1" t="s">
        <v>745</v>
      </c>
      <c r="C1171" s="2" t="s">
        <v>28</v>
      </c>
      <c r="D1171" s="2"/>
      <c r="E1171" s="2" t="s">
        <v>989</v>
      </c>
      <c r="F1171" s="2">
        <v>10250.0</v>
      </c>
      <c r="G1171" s="2">
        <v>45466.0</v>
      </c>
      <c r="H1171" s="2">
        <v>55716.0</v>
      </c>
      <c r="I1171" s="2">
        <v>508.0</v>
      </c>
      <c r="J1171" s="2">
        <v>55208.0</v>
      </c>
    </row>
    <row r="1172">
      <c r="A1172" s="2">
        <v>2025.0</v>
      </c>
      <c r="B1172" s="1" t="s">
        <v>745</v>
      </c>
      <c r="C1172" s="2" t="s">
        <v>28</v>
      </c>
      <c r="D1172" s="2"/>
      <c r="E1172" s="2" t="s">
        <v>27</v>
      </c>
      <c r="F1172" s="2">
        <v>303815.0</v>
      </c>
      <c r="G1172" s="2">
        <v>2340679.0</v>
      </c>
      <c r="H1172" s="2">
        <v>2644494.0</v>
      </c>
      <c r="I1172" s="2">
        <v>2390474.0</v>
      </c>
      <c r="J1172" s="2">
        <v>254020.0</v>
      </c>
    </row>
    <row r="1173">
      <c r="A1173" s="2">
        <v>2025.0</v>
      </c>
      <c r="B1173" s="1" t="s">
        <v>745</v>
      </c>
      <c r="C1173" s="2" t="s">
        <v>28</v>
      </c>
      <c r="D1173" s="2"/>
      <c r="E1173" s="2" t="s">
        <v>986</v>
      </c>
      <c r="F1173" s="2">
        <v>3170444.0</v>
      </c>
      <c r="G1173" s="2">
        <v>761095.0</v>
      </c>
      <c r="H1173" s="2">
        <v>3931539.0</v>
      </c>
      <c r="I1173" s="2">
        <v>459895.0</v>
      </c>
      <c r="J1173" s="2">
        <v>3471644.0</v>
      </c>
    </row>
    <row r="1174">
      <c r="A1174" s="2">
        <v>2025.0</v>
      </c>
      <c r="B1174" s="1" t="s">
        <v>745</v>
      </c>
      <c r="C1174" s="2" t="s">
        <v>63</v>
      </c>
      <c r="D1174" s="2" t="s">
        <v>73</v>
      </c>
      <c r="E1174" s="2" t="s">
        <v>986</v>
      </c>
      <c r="F1174" s="2">
        <v>1.0237575E7</v>
      </c>
      <c r="G1174" s="2">
        <v>2917145.0</v>
      </c>
      <c r="H1174" s="2">
        <v>1.315472E7</v>
      </c>
      <c r="I1174" s="2">
        <v>4668970.0</v>
      </c>
      <c r="J1174" s="2">
        <v>8485750.0</v>
      </c>
    </row>
    <row r="1175">
      <c r="A1175" s="2">
        <v>2025.0</v>
      </c>
      <c r="B1175" s="1" t="s">
        <v>745</v>
      </c>
      <c r="C1175" s="2" t="s">
        <v>63</v>
      </c>
      <c r="D1175" s="2"/>
      <c r="E1175" s="2" t="s">
        <v>32</v>
      </c>
      <c r="F1175" s="2">
        <v>14834.0</v>
      </c>
      <c r="G1175" s="2">
        <v>301546.0</v>
      </c>
      <c r="H1175" s="2">
        <v>316380.0</v>
      </c>
      <c r="I1175" s="2">
        <v>90921.0</v>
      </c>
      <c r="J1175" s="2">
        <v>225459.0</v>
      </c>
    </row>
    <row r="1176">
      <c r="A1176" s="2">
        <v>2025.0</v>
      </c>
      <c r="B1176" s="1" t="s">
        <v>745</v>
      </c>
      <c r="C1176" s="2" t="s">
        <v>63</v>
      </c>
      <c r="D1176" s="2"/>
      <c r="E1176" s="2" t="s">
        <v>56</v>
      </c>
      <c r="F1176" s="2">
        <v>3456915.0</v>
      </c>
      <c r="G1176" s="2">
        <v>6266728.0</v>
      </c>
      <c r="H1176" s="2">
        <v>9723643.0</v>
      </c>
      <c r="I1176" s="2">
        <v>6187398.0</v>
      </c>
      <c r="J1176" s="2">
        <v>3536245.0</v>
      </c>
    </row>
    <row r="1177">
      <c r="A1177" s="2">
        <v>2025.0</v>
      </c>
      <c r="B1177" s="1" t="s">
        <v>745</v>
      </c>
      <c r="C1177" s="2" t="s">
        <v>63</v>
      </c>
      <c r="D1177" s="2" t="s">
        <v>1000</v>
      </c>
      <c r="E1177" s="2" t="s">
        <v>986</v>
      </c>
      <c r="F1177" s="2">
        <v>3588179.0</v>
      </c>
      <c r="G1177" s="2">
        <v>1331607.0</v>
      </c>
      <c r="H1177" s="2">
        <v>4919786.0</v>
      </c>
      <c r="I1177" s="2">
        <v>2054685.0</v>
      </c>
      <c r="J1177" s="2">
        <v>2865101.0</v>
      </c>
    </row>
    <row r="1178">
      <c r="A1178" s="2">
        <v>2025.0</v>
      </c>
      <c r="B1178" s="1" t="s">
        <v>745</v>
      </c>
      <c r="C1178" s="2" t="s">
        <v>63</v>
      </c>
      <c r="D1178" s="2"/>
      <c r="E1178" s="2" t="s">
        <v>32</v>
      </c>
      <c r="F1178" s="2">
        <v>87752.0</v>
      </c>
      <c r="G1178" s="2">
        <v>1534486.0</v>
      </c>
      <c r="H1178" s="2">
        <v>1622238.0</v>
      </c>
      <c r="I1178" s="2">
        <v>1438926.0</v>
      </c>
      <c r="J1178" s="2">
        <v>183312.0</v>
      </c>
    </row>
    <row r="1179">
      <c r="A1179" s="2">
        <v>2025.0</v>
      </c>
      <c r="B1179" s="1" t="s">
        <v>745</v>
      </c>
      <c r="C1179" s="2" t="s">
        <v>63</v>
      </c>
      <c r="D1179" s="2"/>
      <c r="E1179" s="2" t="s">
        <v>56</v>
      </c>
      <c r="F1179" s="2">
        <v>1524651.0</v>
      </c>
      <c r="G1179" s="2">
        <v>4418229.0</v>
      </c>
      <c r="H1179" s="2">
        <v>5942880.0</v>
      </c>
      <c r="I1179" s="2">
        <v>4859892.0</v>
      </c>
      <c r="J1179" s="2">
        <v>1082988.0</v>
      </c>
    </row>
    <row r="1180">
      <c r="A1180" s="2">
        <v>2025.0</v>
      </c>
      <c r="B1180" s="1" t="s">
        <v>745</v>
      </c>
      <c r="C1180" s="2" t="s">
        <v>63</v>
      </c>
      <c r="D1180" s="2" t="s">
        <v>1001</v>
      </c>
      <c r="E1180" s="2" t="s">
        <v>32</v>
      </c>
      <c r="F1180" s="2">
        <v>13702.0</v>
      </c>
      <c r="G1180" s="2">
        <v>148321.0</v>
      </c>
      <c r="H1180" s="2">
        <v>162023.0</v>
      </c>
      <c r="I1180" s="2">
        <v>99402.0</v>
      </c>
      <c r="J1180" s="2">
        <v>62621.0</v>
      </c>
    </row>
    <row r="1181">
      <c r="A1181" s="2">
        <v>2025.0</v>
      </c>
      <c r="B1181" s="1" t="s">
        <v>745</v>
      </c>
      <c r="C1181" s="2" t="s">
        <v>63</v>
      </c>
      <c r="D1181" s="2"/>
      <c r="E1181" s="2" t="s">
        <v>56</v>
      </c>
      <c r="F1181" s="2">
        <v>2053344.0</v>
      </c>
      <c r="G1181" s="2">
        <v>3097647.0</v>
      </c>
      <c r="H1181" s="2">
        <v>5150991.0</v>
      </c>
      <c r="I1181" s="2">
        <v>3586403.0</v>
      </c>
      <c r="J1181" s="2">
        <v>1564588.0</v>
      </c>
    </row>
    <row r="1182">
      <c r="A1182" s="2">
        <v>2025.0</v>
      </c>
      <c r="B1182" s="1" t="s">
        <v>745</v>
      </c>
      <c r="C1182" s="2" t="s">
        <v>63</v>
      </c>
      <c r="D1182" s="2"/>
      <c r="E1182" s="2" t="s">
        <v>986</v>
      </c>
      <c r="F1182" s="2">
        <v>575995.0</v>
      </c>
      <c r="G1182" s="2">
        <v>1277027.0</v>
      </c>
      <c r="H1182" s="2">
        <v>1853022.0</v>
      </c>
      <c r="I1182" s="2">
        <v>1689457.0</v>
      </c>
      <c r="J1182" s="2">
        <v>163565.0</v>
      </c>
    </row>
    <row r="1183">
      <c r="A1183" s="2">
        <v>2025.0</v>
      </c>
      <c r="B1183" s="1" t="s">
        <v>745</v>
      </c>
      <c r="C1183" s="2" t="s">
        <v>63</v>
      </c>
      <c r="D1183" s="2" t="s">
        <v>1002</v>
      </c>
      <c r="E1183" s="2" t="s">
        <v>986</v>
      </c>
      <c r="F1183" s="2">
        <v>862898.0</v>
      </c>
      <c r="G1183" s="2">
        <v>2206258.0</v>
      </c>
      <c r="H1183" s="2">
        <v>3069156.0</v>
      </c>
      <c r="I1183" s="2">
        <v>772000.0</v>
      </c>
      <c r="J1183" s="2">
        <v>2297156.0</v>
      </c>
    </row>
    <row r="1184">
      <c r="A1184" s="2">
        <v>2025.0</v>
      </c>
      <c r="B1184" s="1" t="s">
        <v>745</v>
      </c>
      <c r="C1184" s="2" t="s">
        <v>63</v>
      </c>
      <c r="D1184" s="2"/>
      <c r="E1184" s="2" t="s">
        <v>56</v>
      </c>
      <c r="F1184" s="2">
        <v>452065.0</v>
      </c>
      <c r="G1184" s="2">
        <v>5109755.0</v>
      </c>
      <c r="H1184" s="2">
        <v>5561820.0</v>
      </c>
      <c r="I1184" s="2">
        <v>4681782.0</v>
      </c>
      <c r="J1184" s="2">
        <v>880038.0</v>
      </c>
    </row>
    <row r="1185">
      <c r="A1185" s="2">
        <v>2025.0</v>
      </c>
      <c r="B1185" s="1" t="s">
        <v>745</v>
      </c>
      <c r="C1185" s="2" t="s">
        <v>63</v>
      </c>
      <c r="D1185" s="2"/>
      <c r="E1185" s="2" t="s">
        <v>988</v>
      </c>
      <c r="F1185" s="2">
        <v>9564.0</v>
      </c>
      <c r="G1185" s="2">
        <v>127390.0</v>
      </c>
      <c r="H1185" s="2">
        <v>136954.0</v>
      </c>
      <c r="I1185" s="2">
        <v>125100.0</v>
      </c>
      <c r="J1185" s="2">
        <v>11854.0</v>
      </c>
    </row>
    <row r="1186">
      <c r="A1186" s="2">
        <v>2025.0</v>
      </c>
      <c r="B1186" s="1" t="s">
        <v>745</v>
      </c>
      <c r="C1186" s="2" t="s">
        <v>63</v>
      </c>
      <c r="D1186" s="2"/>
      <c r="E1186" s="2" t="s">
        <v>989</v>
      </c>
      <c r="F1186" s="2">
        <v>0.0</v>
      </c>
      <c r="G1186" s="2">
        <v>461489.0</v>
      </c>
      <c r="H1186" s="2">
        <v>461489.0</v>
      </c>
      <c r="I1186" s="2">
        <v>316448.0</v>
      </c>
      <c r="J1186" s="2">
        <v>145041.0</v>
      </c>
    </row>
    <row r="1187">
      <c r="A1187" s="2">
        <v>2025.0</v>
      </c>
      <c r="B1187" s="1" t="s">
        <v>745</v>
      </c>
      <c r="C1187" s="2" t="s">
        <v>63</v>
      </c>
      <c r="D1187" s="2" t="s">
        <v>1000</v>
      </c>
      <c r="E1187" s="2" t="s">
        <v>686</v>
      </c>
      <c r="F1187" s="2">
        <v>3588179.0</v>
      </c>
      <c r="G1187" s="2">
        <v>1331607.0</v>
      </c>
      <c r="H1187" s="2">
        <v>4919786.0</v>
      </c>
      <c r="I1187" s="2">
        <v>2054685.0</v>
      </c>
      <c r="J1187" s="2">
        <v>2865101.0</v>
      </c>
    </row>
    <row r="1188">
      <c r="A1188" s="2">
        <v>2025.0</v>
      </c>
      <c r="B1188" s="1" t="s">
        <v>745</v>
      </c>
      <c r="C1188" s="2" t="s">
        <v>63</v>
      </c>
      <c r="D1188" s="2"/>
      <c r="E1188" s="2" t="s">
        <v>56</v>
      </c>
      <c r="F1188" s="2">
        <v>1524651.0</v>
      </c>
      <c r="G1188" s="2">
        <v>4418229.0</v>
      </c>
      <c r="H1188" s="2">
        <v>5942880.0</v>
      </c>
      <c r="I1188" s="2">
        <v>4859892.0</v>
      </c>
      <c r="J1188" s="2">
        <v>1082988.0</v>
      </c>
    </row>
    <row r="1189">
      <c r="A1189" s="2">
        <v>2025.0</v>
      </c>
      <c r="B1189" s="1" t="s">
        <v>745</v>
      </c>
      <c r="C1189" s="2" t="s">
        <v>63</v>
      </c>
      <c r="D1189" s="2"/>
      <c r="E1189" s="2" t="s">
        <v>32</v>
      </c>
      <c r="F1189" s="2">
        <v>87752.0</v>
      </c>
      <c r="G1189" s="2">
        <v>1534486.0</v>
      </c>
      <c r="H1189" s="2">
        <v>1622238.0</v>
      </c>
      <c r="I1189" s="2">
        <v>1438926.0</v>
      </c>
      <c r="J1189" s="2">
        <v>183312.0</v>
      </c>
    </row>
    <row r="1190">
      <c r="A1190" s="2">
        <v>2025.0</v>
      </c>
      <c r="B1190" s="1" t="s">
        <v>745</v>
      </c>
      <c r="C1190" s="2" t="s">
        <v>1003</v>
      </c>
      <c r="D1190" s="2" t="s">
        <v>1004</v>
      </c>
      <c r="E1190" s="2" t="s">
        <v>988</v>
      </c>
      <c r="F1190" s="2">
        <v>205379.0</v>
      </c>
      <c r="G1190" s="2">
        <v>75370.0</v>
      </c>
      <c r="H1190" s="2">
        <v>280749.0</v>
      </c>
      <c r="I1190" s="2">
        <v>1520.0</v>
      </c>
      <c r="J1190" s="2">
        <v>279229.0</v>
      </c>
    </row>
    <row r="1191">
      <c r="A1191" s="2">
        <v>2025.0</v>
      </c>
      <c r="B1191" s="1" t="s">
        <v>745</v>
      </c>
      <c r="C1191" s="2" t="s">
        <v>1003</v>
      </c>
      <c r="D1191" s="2"/>
      <c r="E1191" s="2" t="s">
        <v>989</v>
      </c>
      <c r="F1191" s="2">
        <v>0.0</v>
      </c>
      <c r="G1191" s="2">
        <v>8520.0</v>
      </c>
      <c r="H1191" s="2">
        <v>8520.0</v>
      </c>
      <c r="I1191" s="2">
        <v>62.0</v>
      </c>
      <c r="J1191" s="2">
        <v>8458.0</v>
      </c>
    </row>
    <row r="1192">
      <c r="A1192" s="2">
        <v>2025.0</v>
      </c>
      <c r="B1192" s="1" t="s">
        <v>745</v>
      </c>
      <c r="C1192" s="2" t="s">
        <v>1003</v>
      </c>
      <c r="D1192" s="2"/>
      <c r="E1192" s="2" t="s">
        <v>986</v>
      </c>
      <c r="F1192" s="2">
        <v>2053776.0</v>
      </c>
      <c r="G1192" s="2">
        <v>737705.0</v>
      </c>
      <c r="H1192" s="2">
        <v>2791481.0</v>
      </c>
      <c r="I1192" s="2">
        <v>1440838.0</v>
      </c>
      <c r="J1192" s="2">
        <v>1350643.0</v>
      </c>
    </row>
    <row r="1193">
      <c r="A1193" s="2">
        <v>2025.0</v>
      </c>
      <c r="B1193" s="1" t="s">
        <v>745</v>
      </c>
      <c r="C1193" s="2" t="s">
        <v>1003</v>
      </c>
      <c r="D1193" s="2"/>
      <c r="E1193" s="2" t="s">
        <v>56</v>
      </c>
      <c r="F1193" s="2">
        <v>1615576.0</v>
      </c>
      <c r="G1193" s="2">
        <v>2770177.0</v>
      </c>
      <c r="H1193" s="2">
        <v>4385753.0</v>
      </c>
      <c r="I1193" s="2">
        <v>2202251.0</v>
      </c>
      <c r="J1193" s="2">
        <v>2183502.0</v>
      </c>
    </row>
    <row r="1194">
      <c r="A1194" s="2">
        <v>2025.0</v>
      </c>
      <c r="B1194" s="1" t="s">
        <v>745</v>
      </c>
      <c r="C1194" s="2" t="s">
        <v>1003</v>
      </c>
      <c r="D1194" s="2" t="s">
        <v>269</v>
      </c>
      <c r="E1194" s="2" t="s">
        <v>986</v>
      </c>
      <c r="F1194" s="2">
        <v>481261.0</v>
      </c>
      <c r="G1194" s="2">
        <v>490844.0</v>
      </c>
      <c r="H1194" s="2">
        <v>972105.0</v>
      </c>
      <c r="I1194" s="2">
        <v>283166.0</v>
      </c>
      <c r="J1194" s="2">
        <v>688939.0</v>
      </c>
    </row>
    <row r="1195">
      <c r="A1195" s="2">
        <v>2025.0</v>
      </c>
      <c r="B1195" s="1" t="s">
        <v>745</v>
      </c>
      <c r="C1195" s="2" t="s">
        <v>1003</v>
      </c>
      <c r="D1195" s="2"/>
      <c r="E1195" s="2" t="s">
        <v>32</v>
      </c>
      <c r="F1195" s="2">
        <v>266691.0</v>
      </c>
      <c r="G1195" s="2">
        <v>22719.0</v>
      </c>
      <c r="H1195" s="2">
        <v>289410.0</v>
      </c>
      <c r="I1195" s="2">
        <v>75550.0</v>
      </c>
      <c r="J1195" s="2">
        <v>213860.0</v>
      </c>
    </row>
    <row r="1196">
      <c r="A1196" s="2">
        <v>2025.0</v>
      </c>
      <c r="B1196" s="1" t="s">
        <v>745</v>
      </c>
      <c r="C1196" s="2" t="s">
        <v>1003</v>
      </c>
      <c r="D1196" s="2"/>
      <c r="E1196" s="2" t="s">
        <v>56</v>
      </c>
      <c r="F1196" s="2">
        <v>766636.0</v>
      </c>
      <c r="G1196" s="2">
        <v>2286415.0</v>
      </c>
      <c r="H1196" s="2">
        <v>3053051.0</v>
      </c>
      <c r="I1196" s="2">
        <v>2031734.0</v>
      </c>
      <c r="J1196" s="2">
        <v>1021317.0</v>
      </c>
    </row>
    <row r="1197">
      <c r="A1197" s="2">
        <v>2025.0</v>
      </c>
      <c r="B1197" s="1" t="s">
        <v>745</v>
      </c>
      <c r="C1197" s="2" t="s">
        <v>1003</v>
      </c>
      <c r="D1197" s="2" t="s">
        <v>1005</v>
      </c>
      <c r="E1197" s="2" t="s">
        <v>986</v>
      </c>
      <c r="F1197" s="2">
        <v>1324284.0</v>
      </c>
      <c r="G1197" s="2">
        <v>463087.0</v>
      </c>
      <c r="H1197" s="2">
        <v>1787371.0</v>
      </c>
      <c r="I1197" s="2">
        <v>951162.0</v>
      </c>
      <c r="J1197" s="2">
        <v>836209.0</v>
      </c>
    </row>
    <row r="1198">
      <c r="A1198" s="2">
        <v>2025.0</v>
      </c>
      <c r="B1198" s="1" t="s">
        <v>745</v>
      </c>
      <c r="C1198" s="2" t="s">
        <v>1003</v>
      </c>
      <c r="D1198" s="2"/>
      <c r="E1198" s="2" t="s">
        <v>56</v>
      </c>
      <c r="F1198" s="2">
        <v>963545.0</v>
      </c>
      <c r="G1198" s="2">
        <v>1926510.0</v>
      </c>
      <c r="H1198" s="2">
        <v>2890055.0</v>
      </c>
      <c r="I1198" s="2">
        <v>1807769.0</v>
      </c>
      <c r="J1198" s="2">
        <v>1082286.0</v>
      </c>
    </row>
    <row r="1199">
      <c r="A1199" s="2">
        <v>2025.0</v>
      </c>
      <c r="B1199" s="1" t="s">
        <v>745</v>
      </c>
      <c r="C1199" s="2" t="s">
        <v>1003</v>
      </c>
      <c r="D1199" s="2"/>
      <c r="E1199" s="2" t="s">
        <v>32</v>
      </c>
      <c r="F1199" s="2">
        <v>222457.0</v>
      </c>
      <c r="G1199" s="2">
        <v>47103.0</v>
      </c>
      <c r="H1199" s="2">
        <v>269560.0</v>
      </c>
      <c r="I1199" s="2">
        <v>56410.0</v>
      </c>
      <c r="J1199" s="2">
        <v>213150.0</v>
      </c>
    </row>
    <row r="1200">
      <c r="A1200" s="2">
        <v>2025.0</v>
      </c>
      <c r="B1200" s="1" t="s">
        <v>745</v>
      </c>
      <c r="C1200" s="2" t="s">
        <v>1006</v>
      </c>
      <c r="D1200" s="2" t="s">
        <v>1006</v>
      </c>
      <c r="E1200" s="2" t="s">
        <v>986</v>
      </c>
      <c r="F1200" s="2">
        <v>2629560.0</v>
      </c>
      <c r="G1200" s="2">
        <v>673159.0</v>
      </c>
      <c r="H1200" s="2">
        <v>3302719.0</v>
      </c>
      <c r="I1200" s="2">
        <v>1579258.0</v>
      </c>
      <c r="J1200" s="2">
        <v>1723461.0</v>
      </c>
    </row>
    <row r="1201">
      <c r="A1201" s="2">
        <v>2025.0</v>
      </c>
      <c r="B1201" s="1" t="s">
        <v>745</v>
      </c>
      <c r="C1201" s="2" t="s">
        <v>1006</v>
      </c>
      <c r="D1201" s="2"/>
      <c r="E1201" s="2" t="s">
        <v>32</v>
      </c>
      <c r="F1201" s="2">
        <v>0.0</v>
      </c>
      <c r="G1201" s="2">
        <v>115696.0</v>
      </c>
      <c r="H1201" s="2">
        <v>115696.0</v>
      </c>
      <c r="I1201" s="2">
        <v>8.0</v>
      </c>
      <c r="J1201" s="2">
        <v>115688.0</v>
      </c>
    </row>
    <row r="1202">
      <c r="A1202" s="2">
        <v>2025.0</v>
      </c>
      <c r="B1202" s="1" t="s">
        <v>745</v>
      </c>
      <c r="C1202" s="2" t="s">
        <v>1006</v>
      </c>
      <c r="D1202" s="2"/>
      <c r="E1202" s="2" t="s">
        <v>27</v>
      </c>
      <c r="F1202" s="2">
        <v>198211.0</v>
      </c>
      <c r="G1202" s="2">
        <v>1456723.0</v>
      </c>
      <c r="H1202" s="2">
        <v>1654934.0</v>
      </c>
      <c r="I1202" s="2">
        <v>1592215.0</v>
      </c>
      <c r="J1202" s="2">
        <v>62719.0</v>
      </c>
    </row>
    <row r="1203">
      <c r="A1203" s="2">
        <v>2025.0</v>
      </c>
      <c r="B1203" s="1" t="s">
        <v>745</v>
      </c>
      <c r="C1203" s="2" t="s">
        <v>1006</v>
      </c>
      <c r="D1203" s="2"/>
      <c r="E1203" s="2" t="s">
        <v>394</v>
      </c>
      <c r="F1203" s="2">
        <v>1640822.0</v>
      </c>
      <c r="G1203" s="2">
        <v>1388879.0</v>
      </c>
      <c r="H1203" s="2">
        <v>3029701.0</v>
      </c>
      <c r="I1203" s="2">
        <v>2020025.0</v>
      </c>
      <c r="J1203" s="2">
        <v>1009676.0</v>
      </c>
    </row>
    <row r="1204">
      <c r="A1204" s="2">
        <v>2025.0</v>
      </c>
      <c r="B1204" s="1" t="s">
        <v>745</v>
      </c>
      <c r="C1204" s="2" t="s">
        <v>1006</v>
      </c>
      <c r="D1204" s="2" t="s">
        <v>1007</v>
      </c>
      <c r="E1204" s="2" t="s">
        <v>56</v>
      </c>
      <c r="F1204" s="2">
        <v>990055.0</v>
      </c>
      <c r="G1204" s="2">
        <v>1268018.0</v>
      </c>
      <c r="H1204" s="2">
        <v>2258073.0</v>
      </c>
      <c r="I1204" s="2">
        <v>1396653.0</v>
      </c>
      <c r="J1204" s="2">
        <v>861420.0</v>
      </c>
    </row>
    <row r="1205">
      <c r="A1205" s="2">
        <v>2025.0</v>
      </c>
      <c r="B1205" s="1" t="s">
        <v>745</v>
      </c>
      <c r="C1205" s="2" t="s">
        <v>1006</v>
      </c>
      <c r="D1205" s="2"/>
      <c r="E1205" s="2" t="s">
        <v>32</v>
      </c>
      <c r="F1205" s="2">
        <v>107870.0</v>
      </c>
      <c r="G1205" s="2">
        <v>66423.0</v>
      </c>
      <c r="H1205" s="2">
        <v>174293.0</v>
      </c>
      <c r="I1205" s="2">
        <v>161341.0</v>
      </c>
      <c r="J1205" s="2">
        <v>12952.0</v>
      </c>
    </row>
    <row r="1206">
      <c r="A1206" s="2">
        <v>2025.0</v>
      </c>
      <c r="B1206" s="1" t="s">
        <v>745</v>
      </c>
      <c r="C1206" s="2" t="s">
        <v>1006</v>
      </c>
      <c r="D1206" s="2"/>
      <c r="E1206" s="2" t="s">
        <v>986</v>
      </c>
      <c r="F1206" s="2">
        <v>2097299.0</v>
      </c>
      <c r="G1206" s="2">
        <v>725103.0</v>
      </c>
      <c r="H1206" s="2">
        <v>2822402.0</v>
      </c>
      <c r="I1206" s="2">
        <v>1745817.0</v>
      </c>
      <c r="J1206" s="2">
        <v>1076585.0</v>
      </c>
    </row>
    <row r="1207">
      <c r="A1207" s="2">
        <v>2025.0</v>
      </c>
      <c r="B1207" s="1" t="s">
        <v>745</v>
      </c>
      <c r="C1207" s="2" t="s">
        <v>1006</v>
      </c>
      <c r="D1207" s="2"/>
      <c r="E1207" s="2" t="s">
        <v>27</v>
      </c>
      <c r="F1207" s="2">
        <v>90796.0</v>
      </c>
      <c r="G1207" s="2">
        <v>1389600.0</v>
      </c>
      <c r="H1207" s="2">
        <v>1480396.0</v>
      </c>
      <c r="I1207" s="2">
        <v>1065767.0</v>
      </c>
      <c r="J1207" s="2">
        <v>414629.0</v>
      </c>
    </row>
    <row r="1208">
      <c r="A1208" s="2">
        <v>2025.0</v>
      </c>
      <c r="B1208" s="1" t="s">
        <v>745</v>
      </c>
      <c r="C1208" s="2" t="s">
        <v>1006</v>
      </c>
      <c r="D1208" s="2" t="s">
        <v>1008</v>
      </c>
      <c r="E1208" s="2" t="s">
        <v>56</v>
      </c>
      <c r="F1208" s="2">
        <v>1312565.0</v>
      </c>
      <c r="G1208" s="2">
        <v>3377907.0</v>
      </c>
      <c r="H1208" s="2">
        <v>4690472.0</v>
      </c>
      <c r="I1208" s="2">
        <v>2264659.0</v>
      </c>
      <c r="J1208" s="2">
        <v>2425813.0</v>
      </c>
    </row>
    <row r="1209">
      <c r="A1209" s="2">
        <v>2025.0</v>
      </c>
      <c r="B1209" s="1" t="s">
        <v>745</v>
      </c>
      <c r="C1209" s="2" t="s">
        <v>1006</v>
      </c>
      <c r="D1209" s="2"/>
      <c r="E1209" s="2" t="s">
        <v>986</v>
      </c>
      <c r="F1209" s="2">
        <v>4782478.0</v>
      </c>
      <c r="G1209" s="2">
        <v>1568044.0</v>
      </c>
      <c r="H1209" s="2">
        <v>6350522.0</v>
      </c>
      <c r="I1209" s="2">
        <v>2324203.0</v>
      </c>
      <c r="J1209" s="2">
        <v>4026319.0</v>
      </c>
    </row>
    <row r="1210">
      <c r="A1210" s="2">
        <v>2025.0</v>
      </c>
      <c r="B1210" s="1" t="s">
        <v>745</v>
      </c>
      <c r="C1210" s="2" t="s">
        <v>1006</v>
      </c>
      <c r="D1210" s="2"/>
      <c r="E1210" s="2" t="s">
        <v>27</v>
      </c>
      <c r="F1210" s="2">
        <v>303517.0</v>
      </c>
      <c r="G1210" s="2">
        <v>1383870.0</v>
      </c>
      <c r="H1210" s="2">
        <v>1687387.0</v>
      </c>
      <c r="I1210" s="2">
        <v>1103050.0</v>
      </c>
      <c r="J1210" s="2">
        <v>584337.0</v>
      </c>
    </row>
    <row r="1211">
      <c r="A1211" s="2">
        <v>2025.0</v>
      </c>
      <c r="B1211" s="1" t="s">
        <v>745</v>
      </c>
      <c r="C1211" s="2" t="s">
        <v>1006</v>
      </c>
      <c r="D1211" s="2"/>
      <c r="E1211" s="2" t="s">
        <v>32</v>
      </c>
      <c r="F1211" s="2">
        <v>168004.0</v>
      </c>
      <c r="G1211" s="2">
        <v>297174.0</v>
      </c>
      <c r="H1211" s="2">
        <v>465178.0</v>
      </c>
      <c r="I1211" s="2">
        <v>320565.0</v>
      </c>
      <c r="J1211" s="2">
        <v>144613.0</v>
      </c>
    </row>
    <row r="1212">
      <c r="A1212" s="2">
        <v>2025.0</v>
      </c>
      <c r="B1212" s="1" t="s">
        <v>745</v>
      </c>
      <c r="C1212" s="2" t="s">
        <v>1006</v>
      </c>
      <c r="D1212" s="2" t="s">
        <v>1009</v>
      </c>
      <c r="E1212" s="2" t="s">
        <v>56</v>
      </c>
      <c r="F1212" s="2">
        <v>1859105.0</v>
      </c>
      <c r="G1212" s="2">
        <v>2372318.0</v>
      </c>
      <c r="H1212" s="2">
        <v>4231423.0</v>
      </c>
      <c r="I1212" s="2">
        <v>2530889.0</v>
      </c>
      <c r="J1212" s="2">
        <v>1700534.0</v>
      </c>
    </row>
    <row r="1213">
      <c r="A1213" s="2">
        <v>2025.0</v>
      </c>
      <c r="B1213" s="1" t="s">
        <v>745</v>
      </c>
      <c r="C1213" s="2" t="s">
        <v>1006</v>
      </c>
      <c r="D1213" s="2"/>
      <c r="E1213" s="2" t="s">
        <v>32</v>
      </c>
      <c r="F1213" s="2">
        <v>35112.0</v>
      </c>
      <c r="G1213" s="2">
        <v>326440.0</v>
      </c>
      <c r="H1213" s="2">
        <v>361552.0</v>
      </c>
      <c r="I1213" s="2">
        <v>290408.0</v>
      </c>
      <c r="J1213" s="2">
        <v>71144.0</v>
      </c>
    </row>
    <row r="1214">
      <c r="A1214" s="2">
        <v>2025.0</v>
      </c>
      <c r="B1214" s="1" t="s">
        <v>745</v>
      </c>
      <c r="C1214" s="2" t="s">
        <v>1006</v>
      </c>
      <c r="D1214" s="2"/>
      <c r="E1214" s="2" t="s">
        <v>27</v>
      </c>
      <c r="F1214" s="2">
        <v>2830.0</v>
      </c>
      <c r="G1214" s="2">
        <v>1407823.0</v>
      </c>
      <c r="H1214" s="2">
        <v>1410653.0</v>
      </c>
      <c r="I1214" s="2">
        <v>1366582.0</v>
      </c>
      <c r="J1214" s="2">
        <v>44071.0</v>
      </c>
    </row>
    <row r="1215">
      <c r="A1215" s="2">
        <v>2025.0</v>
      </c>
      <c r="B1215" s="1" t="s">
        <v>745</v>
      </c>
      <c r="C1215" s="2" t="s">
        <v>1006</v>
      </c>
      <c r="D1215" s="2"/>
      <c r="E1215" s="2" t="s">
        <v>986</v>
      </c>
      <c r="F1215" s="2">
        <v>1558229.0</v>
      </c>
      <c r="G1215" s="2">
        <v>599222.0</v>
      </c>
      <c r="H1215" s="2">
        <v>2157451.0</v>
      </c>
      <c r="I1215" s="2">
        <v>1615629.0</v>
      </c>
      <c r="J1215" s="2">
        <v>541822.0</v>
      </c>
    </row>
    <row r="1216">
      <c r="A1216" s="2">
        <v>2025.0</v>
      </c>
      <c r="B1216" s="1" t="s">
        <v>745</v>
      </c>
      <c r="C1216" s="2" t="s">
        <v>1006</v>
      </c>
      <c r="D1216" s="2" t="s">
        <v>1010</v>
      </c>
      <c r="E1216" s="2" t="s">
        <v>986</v>
      </c>
      <c r="F1216" s="2">
        <v>943835.0</v>
      </c>
      <c r="G1216" s="2">
        <v>550500.0</v>
      </c>
      <c r="H1216" s="2">
        <v>1494335.0</v>
      </c>
      <c r="I1216" s="2">
        <v>1055024.0</v>
      </c>
      <c r="J1216" s="2">
        <v>439311.0</v>
      </c>
    </row>
    <row r="1217">
      <c r="A1217" s="2">
        <v>2025.0</v>
      </c>
      <c r="B1217" s="1" t="s">
        <v>745</v>
      </c>
      <c r="C1217" s="2" t="s">
        <v>1006</v>
      </c>
      <c r="D1217" s="2"/>
      <c r="E1217" s="2" t="s">
        <v>56</v>
      </c>
      <c r="F1217" s="2">
        <v>1312257.0</v>
      </c>
      <c r="G1217" s="2">
        <v>2386258.0</v>
      </c>
      <c r="H1217" s="2">
        <v>3698515.0</v>
      </c>
      <c r="I1217" s="2">
        <v>2197617.0</v>
      </c>
      <c r="J1217" s="2">
        <v>1500898.0</v>
      </c>
    </row>
    <row r="1218">
      <c r="A1218" s="2">
        <v>2025.0</v>
      </c>
      <c r="B1218" s="1" t="s">
        <v>745</v>
      </c>
      <c r="C1218" s="2" t="s">
        <v>1006</v>
      </c>
      <c r="D1218" s="2"/>
      <c r="E1218" s="2" t="s">
        <v>32</v>
      </c>
      <c r="F1218" s="2">
        <v>39236.0</v>
      </c>
      <c r="G1218" s="2">
        <v>227371.0</v>
      </c>
      <c r="H1218" s="2">
        <v>266607.0</v>
      </c>
      <c r="I1218" s="2">
        <v>233143.0</v>
      </c>
      <c r="J1218" s="2">
        <v>33464.0</v>
      </c>
    </row>
    <row r="1219">
      <c r="A1219" s="2">
        <v>2025.0</v>
      </c>
      <c r="B1219" s="1" t="s">
        <v>745</v>
      </c>
      <c r="C1219" s="2" t="s">
        <v>1006</v>
      </c>
      <c r="D1219" s="2" t="s">
        <v>1011</v>
      </c>
      <c r="E1219" s="2" t="s">
        <v>986</v>
      </c>
      <c r="F1219" s="2">
        <v>1940549.0</v>
      </c>
      <c r="G1219" s="2">
        <v>829685.0</v>
      </c>
      <c r="H1219" s="2">
        <v>2770234.0</v>
      </c>
      <c r="I1219" s="2">
        <v>1106380.0</v>
      </c>
      <c r="J1219" s="2">
        <v>1663854.0</v>
      </c>
    </row>
    <row r="1220">
      <c r="A1220" s="2">
        <v>2025.0</v>
      </c>
      <c r="B1220" s="1" t="s">
        <v>745</v>
      </c>
      <c r="C1220" s="2" t="s">
        <v>1006</v>
      </c>
      <c r="D1220" s="2"/>
      <c r="E1220" s="2" t="s">
        <v>27</v>
      </c>
      <c r="F1220" s="2">
        <v>132757.0</v>
      </c>
      <c r="G1220" s="2">
        <v>1744322.0</v>
      </c>
      <c r="H1220" s="2">
        <v>1877079.0</v>
      </c>
      <c r="I1220" s="2">
        <v>1830795.0</v>
      </c>
      <c r="J1220" s="2">
        <v>46284.0</v>
      </c>
    </row>
    <row r="1221">
      <c r="A1221" s="2">
        <v>2025.0</v>
      </c>
      <c r="B1221" s="1" t="s">
        <v>745</v>
      </c>
      <c r="C1221" s="2" t="s">
        <v>1006</v>
      </c>
      <c r="D1221" s="2"/>
      <c r="E1221" s="2" t="s">
        <v>32</v>
      </c>
      <c r="F1221" s="2">
        <v>0.0</v>
      </c>
      <c r="G1221" s="2">
        <v>139547.0</v>
      </c>
      <c r="H1221" s="2">
        <v>139547.0</v>
      </c>
      <c r="I1221" s="2">
        <v>12673.0</v>
      </c>
      <c r="J1221" s="2">
        <v>126874.0</v>
      </c>
    </row>
    <row r="1222">
      <c r="A1222" s="2">
        <v>2025.0</v>
      </c>
      <c r="B1222" s="1" t="s">
        <v>745</v>
      </c>
      <c r="C1222" s="2" t="s">
        <v>1006</v>
      </c>
      <c r="D1222" s="2"/>
      <c r="E1222" s="2" t="s">
        <v>56</v>
      </c>
      <c r="F1222" s="2">
        <v>1142147.0</v>
      </c>
      <c r="G1222" s="2">
        <v>1463528.0</v>
      </c>
      <c r="H1222" s="2">
        <v>2605675.0</v>
      </c>
      <c r="I1222" s="2">
        <v>1198718.0</v>
      </c>
      <c r="J1222" s="2">
        <v>1406957.0</v>
      </c>
    </row>
    <row r="1223">
      <c r="A1223" s="2">
        <v>2025.0</v>
      </c>
      <c r="B1223" s="1" t="s">
        <v>745</v>
      </c>
      <c r="C1223" s="2" t="s">
        <v>1006</v>
      </c>
      <c r="D1223" s="2" t="s">
        <v>1012</v>
      </c>
      <c r="E1223" s="2" t="s">
        <v>686</v>
      </c>
      <c r="F1223" s="2">
        <v>1830570.0</v>
      </c>
      <c r="G1223" s="2">
        <v>484325.0</v>
      </c>
      <c r="H1223" s="2">
        <v>2314895.0</v>
      </c>
      <c r="I1223" s="2">
        <v>1325282.0</v>
      </c>
      <c r="J1223" s="2">
        <v>989613.0</v>
      </c>
    </row>
    <row r="1224">
      <c r="A1224" s="2">
        <v>2025.0</v>
      </c>
      <c r="B1224" s="1" t="s">
        <v>745</v>
      </c>
      <c r="C1224" s="2" t="s">
        <v>1006</v>
      </c>
      <c r="D1224" s="2"/>
      <c r="E1224" s="2" t="s">
        <v>56</v>
      </c>
      <c r="F1224" s="2">
        <v>2816783.0</v>
      </c>
      <c r="G1224" s="2">
        <v>1680629.0</v>
      </c>
      <c r="H1224" s="2">
        <v>4497412.0</v>
      </c>
      <c r="I1224" s="2">
        <v>1390273.0</v>
      </c>
      <c r="J1224" s="2">
        <v>3107139.0</v>
      </c>
    </row>
    <row r="1225">
      <c r="A1225" s="2">
        <v>2025.0</v>
      </c>
      <c r="B1225" s="1" t="s">
        <v>745</v>
      </c>
      <c r="C1225" s="2" t="s">
        <v>1006</v>
      </c>
      <c r="D1225" s="2"/>
      <c r="E1225" s="2" t="s">
        <v>27</v>
      </c>
      <c r="F1225" s="2">
        <v>277403.0</v>
      </c>
      <c r="G1225" s="2">
        <v>1459724.0</v>
      </c>
      <c r="H1225" s="2">
        <v>1737127.0</v>
      </c>
      <c r="I1225" s="2">
        <v>1539496.0</v>
      </c>
      <c r="J1225" s="2">
        <v>197631.0</v>
      </c>
    </row>
    <row r="1226">
      <c r="A1226" s="2">
        <v>2025.0</v>
      </c>
      <c r="B1226" s="1" t="s">
        <v>745</v>
      </c>
      <c r="C1226" s="2" t="s">
        <v>1006</v>
      </c>
      <c r="D1226" s="2"/>
      <c r="E1226" s="2" t="s">
        <v>32</v>
      </c>
      <c r="F1226" s="2">
        <v>231732.0</v>
      </c>
      <c r="G1226" s="2">
        <v>144961.0</v>
      </c>
      <c r="H1226" s="2">
        <v>376693.0</v>
      </c>
      <c r="I1226" s="2">
        <v>66330.0</v>
      </c>
      <c r="J1226" s="2">
        <v>310363.0</v>
      </c>
    </row>
    <row r="1227">
      <c r="A1227" s="2">
        <v>2025.0</v>
      </c>
      <c r="B1227" s="1" t="s">
        <v>745</v>
      </c>
      <c r="C1227" s="2" t="s">
        <v>641</v>
      </c>
      <c r="D1227" s="2" t="s">
        <v>1013</v>
      </c>
      <c r="E1227" s="2" t="s">
        <v>56</v>
      </c>
      <c r="F1227" s="2">
        <v>3248538.0</v>
      </c>
      <c r="G1227" s="2">
        <v>3242316.0</v>
      </c>
      <c r="H1227" s="2">
        <v>6490854.0</v>
      </c>
      <c r="I1227" s="2">
        <v>3258003.0</v>
      </c>
      <c r="J1227" s="2">
        <v>3232851.0</v>
      </c>
    </row>
    <row r="1228">
      <c r="A1228" s="2">
        <v>2025.0</v>
      </c>
      <c r="B1228" s="1" t="s">
        <v>745</v>
      </c>
      <c r="C1228" s="2" t="s">
        <v>641</v>
      </c>
      <c r="D1228" s="2"/>
      <c r="E1228" s="2" t="s">
        <v>938</v>
      </c>
      <c r="F1228" s="2">
        <v>139565.0</v>
      </c>
      <c r="G1228" s="2">
        <v>173104.0</v>
      </c>
      <c r="H1228" s="2">
        <v>312669.0</v>
      </c>
      <c r="I1228" s="2">
        <v>221808.0</v>
      </c>
      <c r="J1228" s="2">
        <v>90861.0</v>
      </c>
    </row>
    <row r="1229">
      <c r="A1229" s="2">
        <v>2025.0</v>
      </c>
      <c r="B1229" s="1" t="s">
        <v>745</v>
      </c>
      <c r="C1229" s="2" t="s">
        <v>641</v>
      </c>
      <c r="D1229" s="2"/>
      <c r="E1229" s="2" t="s">
        <v>32</v>
      </c>
      <c r="F1229" s="2">
        <v>157929.0</v>
      </c>
      <c r="G1229" s="2">
        <v>213290.0</v>
      </c>
      <c r="H1229" s="2">
        <v>371219.0</v>
      </c>
      <c r="I1229" s="2">
        <v>317302.0</v>
      </c>
      <c r="J1229" s="2">
        <v>53917.0</v>
      </c>
    </row>
    <row r="1230">
      <c r="A1230" s="2">
        <v>2025.0</v>
      </c>
      <c r="B1230" s="1" t="s">
        <v>745</v>
      </c>
      <c r="C1230" s="2" t="s">
        <v>641</v>
      </c>
      <c r="D1230" s="2"/>
      <c r="E1230" s="2" t="s">
        <v>986</v>
      </c>
      <c r="F1230" s="2">
        <v>2941043.0</v>
      </c>
      <c r="G1230" s="2">
        <v>998515.0</v>
      </c>
      <c r="H1230" s="2">
        <v>3939558.0</v>
      </c>
      <c r="I1230" s="2">
        <v>1367745.0</v>
      </c>
      <c r="J1230" s="2">
        <v>2571813.0</v>
      </c>
    </row>
    <row r="1231">
      <c r="A1231" s="2">
        <v>2025.0</v>
      </c>
      <c r="B1231" s="1" t="s">
        <v>745</v>
      </c>
      <c r="C1231" s="2" t="s">
        <v>641</v>
      </c>
      <c r="D1231" s="2" t="s">
        <v>656</v>
      </c>
      <c r="E1231" s="2" t="s">
        <v>32</v>
      </c>
      <c r="F1231" s="2">
        <v>184336.0</v>
      </c>
      <c r="G1231" s="2">
        <v>601107.0</v>
      </c>
      <c r="H1231" s="2">
        <v>785443.0</v>
      </c>
      <c r="I1231" s="2">
        <v>249970.0</v>
      </c>
      <c r="J1231" s="2">
        <v>535473.0</v>
      </c>
    </row>
    <row r="1232">
      <c r="A1232" s="2">
        <v>2025.0</v>
      </c>
      <c r="B1232" s="1" t="s">
        <v>745</v>
      </c>
      <c r="C1232" s="2" t="s">
        <v>641</v>
      </c>
      <c r="D1232" s="2"/>
      <c r="E1232" s="2" t="s">
        <v>56</v>
      </c>
      <c r="F1232" s="2">
        <v>3989422.0</v>
      </c>
      <c r="G1232" s="2">
        <v>2692274.0</v>
      </c>
      <c r="H1232" s="2">
        <v>6681696.0</v>
      </c>
      <c r="I1232" s="2">
        <v>3760548.0</v>
      </c>
      <c r="J1232" s="2">
        <v>2921148.0</v>
      </c>
    </row>
    <row r="1233">
      <c r="A1233" s="2">
        <v>2025.0</v>
      </c>
      <c r="B1233" s="1" t="s">
        <v>745</v>
      </c>
      <c r="C1233" s="2" t="s">
        <v>641</v>
      </c>
      <c r="D1233" s="2"/>
      <c r="E1233" s="2" t="s">
        <v>986</v>
      </c>
      <c r="F1233" s="2">
        <v>2210237.0</v>
      </c>
      <c r="G1233" s="2">
        <v>616410.0</v>
      </c>
      <c r="H1233" s="2">
        <v>2826647.0</v>
      </c>
      <c r="I1233" s="2">
        <v>2007140.0</v>
      </c>
      <c r="J1233" s="2">
        <v>819507.0</v>
      </c>
    </row>
    <row r="1234">
      <c r="A1234" s="2">
        <v>2025.0</v>
      </c>
      <c r="B1234" s="1" t="s">
        <v>745</v>
      </c>
      <c r="C1234" s="2" t="s">
        <v>641</v>
      </c>
      <c r="D1234" s="2" t="s">
        <v>644</v>
      </c>
      <c r="E1234" s="2" t="s">
        <v>986</v>
      </c>
      <c r="F1234" s="2">
        <v>2034455.0</v>
      </c>
      <c r="G1234" s="2">
        <v>706253.0</v>
      </c>
      <c r="H1234" s="2">
        <v>2740708.0</v>
      </c>
      <c r="I1234" s="2">
        <v>1379549.0</v>
      </c>
      <c r="J1234" s="2">
        <v>1361159.0</v>
      </c>
    </row>
    <row r="1235">
      <c r="A1235" s="2">
        <v>2025.0</v>
      </c>
      <c r="B1235" s="1" t="s">
        <v>745</v>
      </c>
      <c r="C1235" s="2" t="s">
        <v>641</v>
      </c>
      <c r="D1235" s="2"/>
      <c r="E1235" s="2" t="s">
        <v>56</v>
      </c>
      <c r="F1235" s="2">
        <v>2262110.0</v>
      </c>
      <c r="G1235" s="2">
        <v>1312071.0</v>
      </c>
      <c r="H1235" s="2">
        <v>3574181.0</v>
      </c>
      <c r="I1235" s="2">
        <v>322153.0</v>
      </c>
      <c r="J1235" s="2">
        <v>3252028.0</v>
      </c>
    </row>
    <row r="1236">
      <c r="A1236" s="2">
        <v>2025.0</v>
      </c>
      <c r="B1236" s="1" t="s">
        <v>745</v>
      </c>
      <c r="C1236" s="2" t="s">
        <v>641</v>
      </c>
      <c r="D1236" s="2"/>
      <c r="E1236" s="2" t="s">
        <v>32</v>
      </c>
      <c r="F1236" s="2">
        <v>1276126.0</v>
      </c>
      <c r="G1236" s="2">
        <v>202898.0</v>
      </c>
      <c r="H1236" s="2">
        <v>1479024.0</v>
      </c>
      <c r="I1236" s="2">
        <v>1322588.0</v>
      </c>
      <c r="J1236" s="2">
        <v>156436.0</v>
      </c>
    </row>
    <row r="1237">
      <c r="A1237" s="2">
        <v>2025.0</v>
      </c>
      <c r="B1237" s="1" t="s">
        <v>745</v>
      </c>
      <c r="C1237" s="2" t="s">
        <v>641</v>
      </c>
      <c r="D1237" s="2"/>
      <c r="E1237" s="2" t="s">
        <v>27</v>
      </c>
      <c r="F1237" s="2">
        <v>543572.0</v>
      </c>
      <c r="G1237" s="2">
        <v>1475038.0</v>
      </c>
      <c r="H1237" s="2">
        <v>2018610.0</v>
      </c>
      <c r="I1237" s="2">
        <v>1556667.0</v>
      </c>
      <c r="J1237" s="2">
        <v>461943.0</v>
      </c>
    </row>
    <row r="1238">
      <c r="A1238" s="2">
        <v>2025.0</v>
      </c>
      <c r="B1238" s="1" t="s">
        <v>745</v>
      </c>
      <c r="C1238" s="2" t="s">
        <v>641</v>
      </c>
      <c r="D1238" s="2" t="s">
        <v>1014</v>
      </c>
      <c r="E1238" s="2" t="s">
        <v>32</v>
      </c>
      <c r="F1238" s="2">
        <v>680284.0</v>
      </c>
      <c r="G1238" s="2">
        <v>118145.0</v>
      </c>
      <c r="H1238" s="2">
        <v>798429.0</v>
      </c>
      <c r="I1238" s="2">
        <v>92209.0</v>
      </c>
      <c r="J1238" s="2">
        <v>706220.0</v>
      </c>
    </row>
    <row r="1239">
      <c r="A1239" s="2">
        <v>2025.0</v>
      </c>
      <c r="B1239" s="1" t="s">
        <v>745</v>
      </c>
      <c r="C1239" s="2" t="s">
        <v>641</v>
      </c>
      <c r="D1239" s="2"/>
      <c r="E1239" s="2" t="s">
        <v>986</v>
      </c>
      <c r="F1239" s="2">
        <v>1961159.0</v>
      </c>
      <c r="G1239" s="2">
        <v>669459.0</v>
      </c>
      <c r="H1239" s="2">
        <v>2630618.0</v>
      </c>
      <c r="I1239" s="2">
        <v>1085138.0</v>
      </c>
      <c r="J1239" s="2">
        <v>1545480.0</v>
      </c>
    </row>
    <row r="1240">
      <c r="A1240" s="2">
        <v>2025.0</v>
      </c>
      <c r="B1240" s="1" t="s">
        <v>745</v>
      </c>
      <c r="C1240" s="2" t="s">
        <v>641</v>
      </c>
      <c r="D1240" s="2"/>
      <c r="E1240" s="2" t="s">
        <v>56</v>
      </c>
      <c r="F1240" s="2">
        <v>3387196.0</v>
      </c>
      <c r="G1240" s="2">
        <v>4315406.0</v>
      </c>
      <c r="H1240" s="2">
        <v>7702602.0</v>
      </c>
      <c r="I1240" s="2">
        <v>3053580.0</v>
      </c>
      <c r="J1240" s="2">
        <v>4649022.0</v>
      </c>
    </row>
    <row r="1241">
      <c r="A1241" s="2">
        <v>2025.0</v>
      </c>
      <c r="B1241" s="1" t="s">
        <v>745</v>
      </c>
      <c r="C1241" s="2" t="s">
        <v>641</v>
      </c>
      <c r="D1241" s="2" t="s">
        <v>1015</v>
      </c>
      <c r="E1241" s="2" t="s">
        <v>986</v>
      </c>
      <c r="F1241" s="2">
        <v>3475975.0</v>
      </c>
      <c r="G1241" s="2">
        <v>1116360.0</v>
      </c>
      <c r="H1241" s="2">
        <v>4592335.0</v>
      </c>
      <c r="I1241" s="2">
        <v>1902987.0</v>
      </c>
      <c r="J1241" s="2">
        <v>2689348.0</v>
      </c>
    </row>
    <row r="1242">
      <c r="A1242" s="2">
        <v>2025.0</v>
      </c>
      <c r="B1242" s="1" t="s">
        <v>745</v>
      </c>
      <c r="C1242" s="2" t="s">
        <v>641</v>
      </c>
      <c r="D1242" s="2"/>
      <c r="E1242" s="2" t="s">
        <v>938</v>
      </c>
      <c r="F1242" s="2">
        <v>28259.0</v>
      </c>
      <c r="G1242" s="2">
        <v>213719.0</v>
      </c>
      <c r="H1242" s="2">
        <v>241978.0</v>
      </c>
      <c r="I1242" s="2">
        <v>58458.0</v>
      </c>
      <c r="J1242" s="2">
        <v>183520.0</v>
      </c>
    </row>
    <row r="1243">
      <c r="A1243" s="2">
        <v>2025.0</v>
      </c>
      <c r="B1243" s="1" t="s">
        <v>745</v>
      </c>
      <c r="C1243" s="2" t="s">
        <v>641</v>
      </c>
      <c r="D1243" s="2"/>
      <c r="E1243" s="2" t="s">
        <v>27</v>
      </c>
      <c r="F1243" s="2">
        <v>769823.0</v>
      </c>
      <c r="G1243" s="2">
        <v>1666895.0</v>
      </c>
      <c r="H1243" s="2">
        <v>2436718.0</v>
      </c>
      <c r="I1243" s="2">
        <v>1806050.0</v>
      </c>
      <c r="J1243" s="2">
        <v>630668.0</v>
      </c>
    </row>
    <row r="1244">
      <c r="A1244" s="2">
        <v>2025.0</v>
      </c>
      <c r="B1244" s="1" t="s">
        <v>745</v>
      </c>
      <c r="C1244" s="2" t="s">
        <v>641</v>
      </c>
      <c r="D1244" s="2"/>
      <c r="E1244" s="2" t="s">
        <v>394</v>
      </c>
      <c r="F1244" s="2">
        <v>5512657.0</v>
      </c>
      <c r="G1244" s="2">
        <v>2906072.0</v>
      </c>
      <c r="H1244" s="2">
        <v>8418729.0</v>
      </c>
      <c r="I1244" s="2">
        <v>4669931.0</v>
      </c>
      <c r="J1244" s="2">
        <v>3748798.0</v>
      </c>
    </row>
    <row r="1245">
      <c r="A1245" s="2">
        <v>2025.0</v>
      </c>
      <c r="B1245" s="1" t="s">
        <v>745</v>
      </c>
      <c r="C1245" s="2" t="s">
        <v>641</v>
      </c>
      <c r="D1245" s="2" t="s">
        <v>652</v>
      </c>
      <c r="E1245" s="2" t="s">
        <v>686</v>
      </c>
      <c r="F1245" s="2">
        <v>2588364.0</v>
      </c>
      <c r="G1245" s="2">
        <v>960790.0</v>
      </c>
      <c r="H1245" s="2">
        <v>3549154.0</v>
      </c>
      <c r="I1245" s="2">
        <v>1463321.0</v>
      </c>
      <c r="J1245" s="2">
        <v>2085833.0</v>
      </c>
    </row>
    <row r="1246">
      <c r="A1246" s="2">
        <v>2025.0</v>
      </c>
      <c r="B1246" s="1" t="s">
        <v>745</v>
      </c>
      <c r="C1246" s="2" t="s">
        <v>641</v>
      </c>
      <c r="D1246" s="2"/>
      <c r="E1246" s="2" t="s">
        <v>968</v>
      </c>
      <c r="F1246" s="2">
        <v>3845230.0</v>
      </c>
      <c r="G1246" s="2">
        <v>4236563.0</v>
      </c>
      <c r="H1246" s="2">
        <v>8081793.0</v>
      </c>
      <c r="I1246" s="2">
        <v>4531467.0</v>
      </c>
      <c r="J1246" s="2">
        <v>3550326.0</v>
      </c>
    </row>
    <row r="1247">
      <c r="A1247" s="2">
        <v>2025.0</v>
      </c>
      <c r="B1247" s="1" t="s">
        <v>745</v>
      </c>
      <c r="C1247" s="2" t="s">
        <v>641</v>
      </c>
      <c r="D1247" s="2" t="s">
        <v>1016</v>
      </c>
      <c r="E1247" s="2" t="s">
        <v>686</v>
      </c>
      <c r="F1247" s="2">
        <v>3682625.0</v>
      </c>
      <c r="G1247" s="2">
        <v>984832.0</v>
      </c>
      <c r="H1247" s="2">
        <v>4667457.0</v>
      </c>
      <c r="I1247" s="2">
        <v>2667304.0</v>
      </c>
      <c r="J1247" s="2">
        <v>2000153.0</v>
      </c>
    </row>
    <row r="1248">
      <c r="A1248" s="2">
        <v>2025.0</v>
      </c>
      <c r="B1248" s="1" t="s">
        <v>745</v>
      </c>
      <c r="C1248" s="2" t="s">
        <v>641</v>
      </c>
      <c r="D1248" s="2"/>
      <c r="E1248" s="2" t="s">
        <v>394</v>
      </c>
      <c r="F1248" s="2">
        <v>1509588.0</v>
      </c>
      <c r="G1248" s="2">
        <v>6670283.0</v>
      </c>
      <c r="H1248" s="2">
        <v>8179871.0</v>
      </c>
      <c r="I1248" s="2">
        <v>5190287.0</v>
      </c>
      <c r="J1248" s="2">
        <v>2989584.0</v>
      </c>
    </row>
    <row r="1249">
      <c r="A1249" s="2">
        <v>2025.0</v>
      </c>
      <c r="B1249" s="1" t="s">
        <v>745</v>
      </c>
      <c r="C1249" s="2" t="s">
        <v>1017</v>
      </c>
      <c r="D1249" s="2" t="s">
        <v>1017</v>
      </c>
      <c r="E1249" s="2" t="s">
        <v>56</v>
      </c>
      <c r="F1249" s="2">
        <v>5350085.0</v>
      </c>
      <c r="G1249" s="2">
        <v>5546339.0</v>
      </c>
      <c r="H1249" s="2">
        <v>1.0896424E7</v>
      </c>
      <c r="I1249" s="2">
        <v>5707713.0</v>
      </c>
      <c r="J1249" s="2">
        <v>5188711.0</v>
      </c>
    </row>
    <row r="1250">
      <c r="A1250" s="2">
        <v>2025.0</v>
      </c>
      <c r="B1250" s="1" t="s">
        <v>745</v>
      </c>
      <c r="C1250" s="2" t="s">
        <v>1017</v>
      </c>
      <c r="D1250" s="2"/>
      <c r="E1250" s="2" t="s">
        <v>986</v>
      </c>
      <c r="F1250" s="2">
        <v>4748903.0</v>
      </c>
      <c r="G1250" s="2">
        <v>1690311.0</v>
      </c>
      <c r="H1250" s="2">
        <v>6439214.0</v>
      </c>
      <c r="I1250" s="2">
        <v>1440296.0</v>
      </c>
      <c r="J1250" s="2">
        <v>4998918.0</v>
      </c>
    </row>
    <row r="1251">
      <c r="A1251" s="2">
        <v>2025.0</v>
      </c>
      <c r="B1251" s="1" t="s">
        <v>745</v>
      </c>
      <c r="C1251" s="2" t="s">
        <v>1017</v>
      </c>
      <c r="D1251" s="2"/>
      <c r="E1251" s="2" t="s">
        <v>988</v>
      </c>
      <c r="F1251" s="2">
        <v>909806.0</v>
      </c>
      <c r="G1251" s="2">
        <v>624368.0</v>
      </c>
      <c r="H1251" s="2">
        <v>1534174.0</v>
      </c>
      <c r="I1251" s="2">
        <v>1513052.0</v>
      </c>
      <c r="J1251" s="2">
        <v>21122.0</v>
      </c>
    </row>
    <row r="1252">
      <c r="A1252" s="2">
        <v>2025.0</v>
      </c>
      <c r="B1252" s="1" t="s">
        <v>745</v>
      </c>
      <c r="C1252" s="2" t="s">
        <v>1017</v>
      </c>
      <c r="D1252" s="2"/>
      <c r="E1252" s="2" t="s">
        <v>989</v>
      </c>
      <c r="F1252" s="2">
        <v>0.0</v>
      </c>
      <c r="G1252" s="2">
        <v>1836787.0</v>
      </c>
      <c r="H1252" s="2">
        <v>1836787.0</v>
      </c>
      <c r="I1252" s="2">
        <v>1347796.0</v>
      </c>
      <c r="J1252" s="2">
        <v>488991.0</v>
      </c>
    </row>
    <row r="1253">
      <c r="A1253" s="2">
        <v>2025.0</v>
      </c>
      <c r="B1253" s="1" t="s">
        <v>745</v>
      </c>
      <c r="C1253" s="2" t="s">
        <v>1017</v>
      </c>
      <c r="D1253" s="2" t="s">
        <v>116</v>
      </c>
      <c r="E1253" s="2" t="s">
        <v>686</v>
      </c>
      <c r="F1253" s="2">
        <v>3371479.0</v>
      </c>
      <c r="G1253" s="2">
        <v>940794.0</v>
      </c>
      <c r="H1253" s="2">
        <v>4312273.0</v>
      </c>
      <c r="I1253" s="2">
        <v>1723317.0</v>
      </c>
      <c r="J1253" s="2">
        <v>2588956.0</v>
      </c>
    </row>
    <row r="1254">
      <c r="A1254" s="2">
        <v>2025.0</v>
      </c>
      <c r="B1254" s="1" t="s">
        <v>745</v>
      </c>
      <c r="C1254" s="2" t="s">
        <v>1017</v>
      </c>
      <c r="D1254" s="2"/>
      <c r="E1254" s="2" t="s">
        <v>56</v>
      </c>
      <c r="F1254" s="2">
        <v>1222680.0</v>
      </c>
      <c r="G1254" s="2">
        <v>2211458.0</v>
      </c>
      <c r="H1254" s="2">
        <v>3434138.0</v>
      </c>
      <c r="I1254" s="2">
        <v>2349792.0</v>
      </c>
      <c r="J1254" s="2">
        <v>1084346.0</v>
      </c>
    </row>
    <row r="1255">
      <c r="A1255" s="2">
        <v>2025.0</v>
      </c>
      <c r="B1255" s="1" t="s">
        <v>745</v>
      </c>
      <c r="C1255" s="2" t="s">
        <v>1017</v>
      </c>
      <c r="D1255" s="2"/>
      <c r="E1255" s="2" t="s">
        <v>32</v>
      </c>
      <c r="F1255" s="2">
        <v>44725.0</v>
      </c>
      <c r="G1255" s="2">
        <v>114550.0</v>
      </c>
      <c r="H1255" s="2">
        <v>159275.0</v>
      </c>
      <c r="I1255" s="2">
        <v>156930.0</v>
      </c>
      <c r="J1255" s="2">
        <v>2345.0</v>
      </c>
    </row>
    <row r="1256">
      <c r="A1256" s="2">
        <v>2025.0</v>
      </c>
      <c r="B1256" s="1" t="s">
        <v>745</v>
      </c>
      <c r="C1256" s="2" t="s">
        <v>1017</v>
      </c>
      <c r="D1256" s="2" t="s">
        <v>64</v>
      </c>
      <c r="E1256" s="2" t="s">
        <v>988</v>
      </c>
      <c r="F1256" s="2">
        <v>128099.0</v>
      </c>
      <c r="G1256" s="2">
        <v>404200.0</v>
      </c>
      <c r="H1256" s="2">
        <v>532299.0</v>
      </c>
      <c r="I1256" s="2">
        <v>236213.0</v>
      </c>
      <c r="J1256" s="2">
        <v>296086.0</v>
      </c>
    </row>
    <row r="1257">
      <c r="A1257" s="2">
        <v>2025.0</v>
      </c>
      <c r="B1257" s="1" t="s">
        <v>745</v>
      </c>
      <c r="C1257" s="2" t="s">
        <v>1017</v>
      </c>
      <c r="D1257" s="2"/>
      <c r="E1257" s="2" t="s">
        <v>56</v>
      </c>
      <c r="F1257" s="2">
        <v>2033426.0</v>
      </c>
      <c r="G1257" s="2">
        <v>2338194.0</v>
      </c>
      <c r="H1257" s="2">
        <v>4371620.0</v>
      </c>
      <c r="I1257" s="2">
        <v>1589477.0</v>
      </c>
      <c r="J1257" s="2">
        <v>2782143.0</v>
      </c>
    </row>
    <row r="1258">
      <c r="A1258" s="2">
        <v>2025.0</v>
      </c>
      <c r="B1258" s="1" t="s">
        <v>745</v>
      </c>
      <c r="C1258" s="2" t="s">
        <v>1017</v>
      </c>
      <c r="D1258" s="2"/>
      <c r="E1258" s="2" t="s">
        <v>986</v>
      </c>
      <c r="F1258" s="2">
        <v>3514306.0</v>
      </c>
      <c r="G1258" s="2">
        <v>1220412.0</v>
      </c>
      <c r="H1258" s="2">
        <v>4734718.0</v>
      </c>
      <c r="I1258" s="2">
        <v>2512840.0</v>
      </c>
      <c r="J1258" s="2">
        <v>2221878.0</v>
      </c>
    </row>
    <row r="1259">
      <c r="A1259" s="2">
        <v>2025.0</v>
      </c>
      <c r="B1259" s="1" t="s">
        <v>745</v>
      </c>
      <c r="C1259" s="2" t="s">
        <v>1017</v>
      </c>
      <c r="D1259" s="2"/>
      <c r="E1259" s="2" t="s">
        <v>989</v>
      </c>
      <c r="F1259" s="2">
        <v>126064.0</v>
      </c>
      <c r="G1259" s="2">
        <v>481432.0</v>
      </c>
      <c r="H1259" s="2">
        <v>607496.0</v>
      </c>
      <c r="I1259" s="2">
        <v>606316.0</v>
      </c>
      <c r="J1259" s="2">
        <v>1180.0</v>
      </c>
    </row>
    <row r="1260">
      <c r="A1260" s="2">
        <v>2025.0</v>
      </c>
      <c r="B1260" s="1" t="s">
        <v>745</v>
      </c>
      <c r="C1260" s="2" t="s">
        <v>1017</v>
      </c>
      <c r="D1260" s="2"/>
      <c r="E1260" s="2" t="s">
        <v>27</v>
      </c>
      <c r="F1260" s="2">
        <v>477440.0</v>
      </c>
      <c r="G1260" s="2">
        <v>1507613.0</v>
      </c>
      <c r="H1260" s="2">
        <v>1985053.0</v>
      </c>
      <c r="I1260" s="2">
        <v>1785418.0</v>
      </c>
      <c r="J1260" s="2">
        <v>199635.0</v>
      </c>
    </row>
    <row r="1261">
      <c r="A1261" s="2">
        <v>2025.0</v>
      </c>
      <c r="B1261" s="1" t="s">
        <v>745</v>
      </c>
      <c r="C1261" s="2" t="s">
        <v>1017</v>
      </c>
      <c r="D1261" s="2" t="s">
        <v>1023</v>
      </c>
      <c r="E1261" s="2" t="s">
        <v>32</v>
      </c>
      <c r="F1261" s="2">
        <v>1794163.0</v>
      </c>
      <c r="G1261" s="2">
        <v>986820.0</v>
      </c>
      <c r="H1261" s="2">
        <v>2780983.0</v>
      </c>
      <c r="I1261" s="2">
        <v>1187933.0</v>
      </c>
      <c r="J1261" s="2">
        <v>1593050.0</v>
      </c>
    </row>
    <row r="1262">
      <c r="A1262" s="2">
        <v>2025.0</v>
      </c>
      <c r="B1262" s="1" t="s">
        <v>745</v>
      </c>
      <c r="C1262" s="2" t="s">
        <v>1017</v>
      </c>
      <c r="D1262" s="2"/>
      <c r="E1262" s="2" t="s">
        <v>56</v>
      </c>
      <c r="F1262" s="2">
        <v>3670787.0</v>
      </c>
      <c r="G1262" s="2">
        <v>2581008.0</v>
      </c>
      <c r="H1262" s="2">
        <v>6251795.0</v>
      </c>
      <c r="I1262" s="2">
        <v>2472774.0</v>
      </c>
      <c r="J1262" s="2">
        <v>3779021.0</v>
      </c>
    </row>
    <row r="1263">
      <c r="A1263" s="2">
        <v>2025.0</v>
      </c>
      <c r="B1263" s="1" t="s">
        <v>745</v>
      </c>
      <c r="C1263" s="2" t="s">
        <v>1017</v>
      </c>
      <c r="D1263" s="2"/>
      <c r="E1263" s="2" t="s">
        <v>686</v>
      </c>
      <c r="F1263" s="2">
        <v>3353330.0</v>
      </c>
      <c r="G1263" s="2">
        <v>1347450.0</v>
      </c>
      <c r="H1263" s="2">
        <v>4700780.0</v>
      </c>
      <c r="I1263" s="2">
        <v>2156085.0</v>
      </c>
      <c r="J1263" s="2">
        <v>2544695.0</v>
      </c>
    </row>
    <row r="1264">
      <c r="A1264" s="2">
        <v>2025.0</v>
      </c>
      <c r="B1264" s="1" t="s">
        <v>745</v>
      </c>
      <c r="C1264" s="2" t="s">
        <v>618</v>
      </c>
      <c r="D1264" s="2" t="s">
        <v>619</v>
      </c>
      <c r="E1264" s="2" t="s">
        <v>686</v>
      </c>
      <c r="F1264" s="2">
        <v>1880149.0</v>
      </c>
      <c r="G1264" s="2">
        <v>588826.0</v>
      </c>
      <c r="H1264" s="2">
        <v>2468975.0</v>
      </c>
      <c r="I1264" s="2">
        <v>906625.0</v>
      </c>
      <c r="J1264" s="2">
        <v>1562350.0</v>
      </c>
    </row>
    <row r="1265">
      <c r="A1265" s="2">
        <v>2025.0</v>
      </c>
      <c r="B1265" s="1" t="s">
        <v>745</v>
      </c>
      <c r="C1265" s="2" t="s">
        <v>618</v>
      </c>
      <c r="D1265" s="2"/>
      <c r="E1265" s="2" t="s">
        <v>56</v>
      </c>
      <c r="F1265" s="2">
        <v>2449114.0</v>
      </c>
      <c r="G1265" s="2">
        <v>2085429.0</v>
      </c>
      <c r="H1265" s="2">
        <v>4534543.0</v>
      </c>
      <c r="I1265" s="2">
        <v>1736022.0</v>
      </c>
      <c r="J1265" s="2">
        <v>2798521.0</v>
      </c>
    </row>
    <row r="1266">
      <c r="A1266" s="2">
        <v>2025.0</v>
      </c>
      <c r="B1266" s="1" t="s">
        <v>745</v>
      </c>
      <c r="C1266" s="2" t="s">
        <v>618</v>
      </c>
      <c r="D1266" s="2"/>
      <c r="E1266" s="2" t="s">
        <v>32</v>
      </c>
      <c r="F1266" s="2">
        <v>776077.0</v>
      </c>
      <c r="G1266" s="2">
        <v>626368.0</v>
      </c>
      <c r="H1266" s="2">
        <v>1402445.0</v>
      </c>
      <c r="I1266" s="2">
        <v>284345.0</v>
      </c>
      <c r="J1266" s="2">
        <v>1118100.0</v>
      </c>
    </row>
    <row r="1267">
      <c r="A1267" s="2">
        <v>2025.0</v>
      </c>
      <c r="B1267" s="1" t="s">
        <v>745</v>
      </c>
      <c r="C1267" s="2" t="s">
        <v>618</v>
      </c>
      <c r="D1267" s="2"/>
      <c r="E1267" s="2" t="s">
        <v>27</v>
      </c>
      <c r="F1267" s="2">
        <v>168043.0</v>
      </c>
      <c r="G1267" s="2">
        <v>2108312.0</v>
      </c>
      <c r="H1267" s="2">
        <v>2276355.0</v>
      </c>
      <c r="I1267" s="2">
        <v>1896593.0</v>
      </c>
      <c r="J1267" s="2">
        <v>379762.0</v>
      </c>
    </row>
    <row r="1268">
      <c r="A1268" s="2">
        <v>2025.0</v>
      </c>
      <c r="B1268" s="1" t="s">
        <v>745</v>
      </c>
      <c r="C1268" s="2" t="s">
        <v>618</v>
      </c>
      <c r="D1268" s="2"/>
      <c r="E1268" s="2" t="s">
        <v>1027</v>
      </c>
      <c r="F1268" s="2">
        <v>115694.0</v>
      </c>
      <c r="G1268" s="2">
        <v>54565.0</v>
      </c>
      <c r="H1268" s="2">
        <v>170259.0</v>
      </c>
      <c r="I1268" s="2">
        <v>0.0</v>
      </c>
      <c r="J1268" s="2">
        <v>170259.0</v>
      </c>
    </row>
    <row r="1269">
      <c r="A1269" s="2">
        <v>2025.0</v>
      </c>
      <c r="B1269" s="1" t="s">
        <v>745</v>
      </c>
      <c r="C1269" s="2" t="s">
        <v>618</v>
      </c>
      <c r="D1269" s="2"/>
      <c r="E1269" s="2" t="s">
        <v>779</v>
      </c>
      <c r="F1269" s="2">
        <v>27643.0</v>
      </c>
      <c r="G1269" s="2">
        <v>807.0</v>
      </c>
      <c r="H1269" s="2">
        <v>28450.0</v>
      </c>
      <c r="I1269" s="2">
        <v>0.0</v>
      </c>
      <c r="J1269" s="2">
        <v>28450.0</v>
      </c>
    </row>
    <row r="1270">
      <c r="A1270" s="2">
        <v>2025.0</v>
      </c>
      <c r="B1270" s="1" t="s">
        <v>745</v>
      </c>
      <c r="C1270" s="2" t="s">
        <v>618</v>
      </c>
      <c r="D1270" s="2" t="s">
        <v>618</v>
      </c>
      <c r="E1270" s="2" t="s">
        <v>686</v>
      </c>
      <c r="F1270" s="2">
        <v>7096208.0</v>
      </c>
      <c r="G1270" s="2">
        <v>1961013.0</v>
      </c>
      <c r="H1270" s="2">
        <v>9057221.0</v>
      </c>
      <c r="I1270" s="2">
        <v>3702920.0</v>
      </c>
      <c r="J1270" s="2">
        <v>5354301.0</v>
      </c>
    </row>
    <row r="1271">
      <c r="A1271" s="2">
        <v>2025.0</v>
      </c>
      <c r="B1271" s="1" t="s">
        <v>745</v>
      </c>
      <c r="C1271" s="2" t="s">
        <v>618</v>
      </c>
      <c r="D1271" s="2"/>
      <c r="E1271" s="2" t="s">
        <v>56</v>
      </c>
      <c r="F1271" s="2">
        <v>7377701.0</v>
      </c>
      <c r="G1271" s="2">
        <v>5518644.0</v>
      </c>
      <c r="H1271" s="2">
        <v>1.2896345E7</v>
      </c>
      <c r="I1271" s="2">
        <v>3059089.0</v>
      </c>
      <c r="J1271" s="2">
        <v>9837256.0</v>
      </c>
    </row>
    <row r="1272">
      <c r="A1272" s="2">
        <v>2025.0</v>
      </c>
      <c r="B1272" s="1" t="s">
        <v>745</v>
      </c>
      <c r="C1272" s="2" t="s">
        <v>618</v>
      </c>
      <c r="D1272" s="2"/>
      <c r="E1272" s="2" t="s">
        <v>32</v>
      </c>
      <c r="F1272" s="2">
        <v>183850.0</v>
      </c>
      <c r="G1272" s="2">
        <v>918382.0</v>
      </c>
      <c r="H1272" s="2">
        <v>1102232.0</v>
      </c>
      <c r="I1272" s="2">
        <v>544724.0</v>
      </c>
      <c r="J1272" s="2">
        <v>557508.0</v>
      </c>
    </row>
    <row r="1273">
      <c r="A1273" s="2">
        <v>2025.0</v>
      </c>
      <c r="B1273" s="1" t="s">
        <v>745</v>
      </c>
      <c r="C1273" s="2" t="s">
        <v>618</v>
      </c>
      <c r="D1273" s="2" t="s">
        <v>621</v>
      </c>
      <c r="E1273" s="2" t="s">
        <v>32</v>
      </c>
      <c r="F1273" s="2">
        <v>340775.0</v>
      </c>
      <c r="G1273" s="2">
        <v>576387.0</v>
      </c>
      <c r="H1273" s="2">
        <v>917162.0</v>
      </c>
      <c r="I1273" s="2">
        <v>413055.0</v>
      </c>
      <c r="J1273" s="2">
        <v>504107.0</v>
      </c>
    </row>
    <row r="1274">
      <c r="A1274" s="2">
        <v>2025.0</v>
      </c>
      <c r="B1274" s="1" t="s">
        <v>745</v>
      </c>
      <c r="C1274" s="2" t="s">
        <v>618</v>
      </c>
      <c r="D1274" s="2"/>
      <c r="E1274" s="2" t="s">
        <v>56</v>
      </c>
      <c r="F1274" s="2">
        <v>6634650.0</v>
      </c>
      <c r="G1274" s="2">
        <v>2277827.0</v>
      </c>
      <c r="H1274" s="2">
        <v>8912477.0</v>
      </c>
      <c r="I1274" s="2">
        <v>4592949.0</v>
      </c>
      <c r="J1274" s="2">
        <v>4319528.0</v>
      </c>
    </row>
    <row r="1275">
      <c r="A1275" s="2">
        <v>2025.0</v>
      </c>
      <c r="B1275" s="1" t="s">
        <v>745</v>
      </c>
      <c r="C1275" s="2" t="s">
        <v>618</v>
      </c>
      <c r="D1275" s="2"/>
      <c r="E1275" s="2" t="s">
        <v>779</v>
      </c>
      <c r="F1275" s="2">
        <v>84658.0</v>
      </c>
      <c r="G1275" s="2">
        <v>12116.0</v>
      </c>
      <c r="H1275" s="2">
        <v>96774.0</v>
      </c>
      <c r="I1275" s="2">
        <v>38965.0</v>
      </c>
      <c r="J1275" s="2">
        <v>57809.0</v>
      </c>
    </row>
    <row r="1276">
      <c r="A1276" s="2">
        <v>2025.0</v>
      </c>
      <c r="B1276" s="1" t="s">
        <v>745</v>
      </c>
      <c r="C1276" s="2" t="s">
        <v>618</v>
      </c>
      <c r="D1276" s="2"/>
      <c r="E1276" s="2" t="s">
        <v>686</v>
      </c>
      <c r="F1276" s="2">
        <v>2317767.0</v>
      </c>
      <c r="G1276" s="2">
        <v>624526.0</v>
      </c>
      <c r="H1276" s="2">
        <v>2942293.0</v>
      </c>
      <c r="I1276" s="2">
        <v>582131.0</v>
      </c>
      <c r="J1276" s="2">
        <v>2360162.0</v>
      </c>
    </row>
    <row r="1277">
      <c r="A1277" s="2">
        <v>2025.0</v>
      </c>
      <c r="B1277" s="1" t="s">
        <v>745</v>
      </c>
      <c r="C1277" s="2" t="s">
        <v>618</v>
      </c>
      <c r="D1277" s="2" t="s">
        <v>1029</v>
      </c>
      <c r="E1277" s="2" t="s">
        <v>56</v>
      </c>
      <c r="F1277" s="2">
        <v>3483418.0</v>
      </c>
      <c r="G1277" s="2">
        <v>1887646.0</v>
      </c>
      <c r="H1277" s="2">
        <v>5371064.0</v>
      </c>
      <c r="I1277" s="2">
        <v>1407560.0</v>
      </c>
      <c r="J1277" s="2">
        <v>3963504.0</v>
      </c>
    </row>
    <row r="1278">
      <c r="A1278" s="2">
        <v>2025.0</v>
      </c>
      <c r="B1278" s="1" t="s">
        <v>745</v>
      </c>
      <c r="C1278" s="2" t="s">
        <v>618</v>
      </c>
      <c r="D1278" s="2"/>
      <c r="E1278" s="2" t="s">
        <v>686</v>
      </c>
      <c r="F1278" s="2">
        <v>2769298.0</v>
      </c>
      <c r="G1278" s="2">
        <v>1030348.0</v>
      </c>
      <c r="H1278" s="2">
        <v>3799646.0</v>
      </c>
      <c r="I1278" s="2">
        <v>1282914.0</v>
      </c>
      <c r="J1278" s="2">
        <v>2516732.0</v>
      </c>
    </row>
    <row r="1279">
      <c r="A1279" s="2">
        <v>2025.0</v>
      </c>
      <c r="B1279" s="1" t="s">
        <v>745</v>
      </c>
      <c r="C1279" s="2" t="s">
        <v>618</v>
      </c>
      <c r="D1279" s="2"/>
      <c r="E1279" s="2" t="s">
        <v>32</v>
      </c>
      <c r="F1279" s="2">
        <v>1258281.0</v>
      </c>
      <c r="G1279" s="2">
        <v>124020.0</v>
      </c>
      <c r="H1279" s="2">
        <v>1382301.0</v>
      </c>
      <c r="I1279" s="2">
        <v>355427.0</v>
      </c>
      <c r="J1279" s="2">
        <v>1026874.0</v>
      </c>
    </row>
    <row r="1280">
      <c r="A1280" s="2">
        <v>2025.0</v>
      </c>
      <c r="B1280" s="1" t="s">
        <v>745</v>
      </c>
      <c r="C1280" s="2" t="s">
        <v>618</v>
      </c>
      <c r="D1280" s="2"/>
      <c r="E1280" s="2" t="s">
        <v>27</v>
      </c>
      <c r="F1280" s="2">
        <v>237793.0</v>
      </c>
      <c r="G1280" s="2">
        <v>2197547.0</v>
      </c>
      <c r="H1280" s="2">
        <v>2435340.0</v>
      </c>
      <c r="I1280" s="2">
        <v>2246785.0</v>
      </c>
      <c r="J1280" s="2">
        <v>188555.0</v>
      </c>
    </row>
    <row r="1281">
      <c r="A1281" s="2">
        <v>2025.0</v>
      </c>
      <c r="B1281" s="1" t="s">
        <v>745</v>
      </c>
      <c r="D1281" s="2" t="s">
        <v>1030</v>
      </c>
      <c r="E1281" s="2" t="s">
        <v>1031</v>
      </c>
      <c r="F1281" s="2">
        <v>0.0</v>
      </c>
      <c r="G1281" s="2">
        <v>3366186.0</v>
      </c>
      <c r="H1281" s="2">
        <v>3366186.0</v>
      </c>
      <c r="I1281" s="2">
        <v>0.0</v>
      </c>
      <c r="J1281" s="2">
        <v>3366186.0</v>
      </c>
    </row>
    <row r="1282">
      <c r="A1282" s="2">
        <v>2025.0</v>
      </c>
      <c r="B1282" s="1" t="s">
        <v>745</v>
      </c>
      <c r="D1282" s="2" t="s">
        <v>1030</v>
      </c>
      <c r="E1282" s="2" t="s">
        <v>1032</v>
      </c>
      <c r="F1282" s="2">
        <v>1.2654763E7</v>
      </c>
      <c r="G1282" s="2">
        <v>2.0559804E7</v>
      </c>
      <c r="H1282" s="2">
        <v>3.3214567E7</v>
      </c>
      <c r="I1282" s="2">
        <v>2.2310188E7</v>
      </c>
      <c r="J1282" s="2">
        <v>1.0904379E7</v>
      </c>
    </row>
    <row r="1283">
      <c r="A1283" s="2">
        <v>2025.0</v>
      </c>
      <c r="B1283" s="1" t="s">
        <v>745</v>
      </c>
      <c r="D1283" s="2" t="s">
        <v>1030</v>
      </c>
      <c r="E1283" s="2" t="s">
        <v>1033</v>
      </c>
      <c r="F1283" s="2">
        <v>407168.0</v>
      </c>
      <c r="G1283" s="2">
        <v>1.1433991E7</v>
      </c>
      <c r="H1283" s="2">
        <v>1.1841159E7</v>
      </c>
      <c r="I1283" s="2">
        <v>1.0991683E7</v>
      </c>
      <c r="J1283" s="2">
        <v>849476.0</v>
      </c>
    </row>
    <row r="1284">
      <c r="A1284" s="2">
        <v>2025.0</v>
      </c>
      <c r="B1284" s="1" t="s">
        <v>745</v>
      </c>
      <c r="D1284" s="2" t="s">
        <v>1030</v>
      </c>
      <c r="E1284" s="2" t="s">
        <v>1034</v>
      </c>
      <c r="F1284" s="2">
        <v>0.0</v>
      </c>
      <c r="G1284" s="2">
        <v>42602.0</v>
      </c>
      <c r="H1284" s="2">
        <v>42602.0</v>
      </c>
      <c r="I1284" s="2">
        <v>0.0</v>
      </c>
      <c r="J1284" s="2">
        <v>42602.0</v>
      </c>
    </row>
    <row r="1285">
      <c r="A1285" s="2">
        <v>2025.0</v>
      </c>
      <c r="B1285" s="1" t="s">
        <v>745</v>
      </c>
      <c r="D1285" s="2" t="s">
        <v>1030</v>
      </c>
      <c r="E1285" s="2" t="s">
        <v>1035</v>
      </c>
      <c r="F1285" s="2">
        <v>6592681.0</v>
      </c>
      <c r="G1285" s="2">
        <v>128659.0</v>
      </c>
      <c r="H1285" s="2">
        <v>6721340.0</v>
      </c>
      <c r="I1285" s="2">
        <v>6654558.0</v>
      </c>
      <c r="J1285" s="2">
        <v>66782.0</v>
      </c>
    </row>
    <row r="1286">
      <c r="A1286" s="2">
        <v>2025.0</v>
      </c>
      <c r="B1286" s="1" t="s">
        <v>745</v>
      </c>
      <c r="D1286" s="2" t="s">
        <v>1030</v>
      </c>
      <c r="E1286" s="2" t="s">
        <v>936</v>
      </c>
      <c r="F1286" s="2">
        <v>0.0</v>
      </c>
      <c r="G1286" s="2">
        <v>1.28030491E8</v>
      </c>
      <c r="H1286" s="2">
        <v>1.28030491E8</v>
      </c>
      <c r="I1286" s="2">
        <v>1.28030491E8</v>
      </c>
      <c r="J1286" s="2">
        <v>0.0</v>
      </c>
    </row>
    <row r="1287">
      <c r="A1287" s="2">
        <v>2025.0</v>
      </c>
      <c r="B1287" s="1" t="s">
        <v>745</v>
      </c>
      <c r="D1287" s="2" t="s">
        <v>1036</v>
      </c>
      <c r="E1287" s="2" t="s">
        <v>1038</v>
      </c>
      <c r="F1287" s="2">
        <v>1.0701604E7</v>
      </c>
      <c r="G1287" s="2">
        <v>2.6293984E7</v>
      </c>
      <c r="H1287" s="2">
        <v>3.6995588E7</v>
      </c>
      <c r="I1287" s="2">
        <v>3.6059479E7</v>
      </c>
      <c r="J1287" s="2">
        <v>936109.0</v>
      </c>
    </row>
    <row r="1288">
      <c r="A1288" s="2">
        <v>2025.0</v>
      </c>
      <c r="B1288" s="1" t="s">
        <v>745</v>
      </c>
      <c r="D1288" s="2" t="s">
        <v>1036</v>
      </c>
      <c r="E1288" s="2" t="s">
        <v>78</v>
      </c>
      <c r="F1288" s="2">
        <v>1.9719907E7</v>
      </c>
      <c r="G1288" s="2">
        <v>2.9065632E7</v>
      </c>
      <c r="H1288" s="2">
        <v>4.8785539E7</v>
      </c>
      <c r="I1288" s="2">
        <v>3.2470214E7</v>
      </c>
      <c r="J1288" s="2">
        <v>1.6315325E7</v>
      </c>
    </row>
    <row r="1289">
      <c r="A1289" s="2">
        <v>2025.0</v>
      </c>
      <c r="B1289" s="1" t="s">
        <v>745</v>
      </c>
      <c r="D1289" s="2" t="s">
        <v>1036</v>
      </c>
      <c r="E1289" s="2" t="s">
        <v>25</v>
      </c>
      <c r="F1289" s="2">
        <v>1.8283742E7</v>
      </c>
      <c r="G1289" s="2">
        <v>7195153.0</v>
      </c>
      <c r="H1289" s="2">
        <v>2.5478895E7</v>
      </c>
      <c r="I1289" s="2">
        <v>1.350887E7</v>
      </c>
      <c r="J1289" s="2">
        <v>1.1970025E7</v>
      </c>
    </row>
    <row r="1290">
      <c r="A1290" s="2">
        <v>2025.0</v>
      </c>
      <c r="B1290" s="1" t="s">
        <v>745</v>
      </c>
      <c r="D1290" s="2" t="s">
        <v>1036</v>
      </c>
      <c r="E1290" s="2" t="s">
        <v>32</v>
      </c>
      <c r="F1290" s="2">
        <v>367633.0</v>
      </c>
      <c r="G1290" s="2">
        <v>397165.0</v>
      </c>
      <c r="H1290" s="2">
        <v>764798.0</v>
      </c>
      <c r="I1290" s="2">
        <v>247450.0</v>
      </c>
      <c r="J1290" s="2">
        <v>517348.0</v>
      </c>
    </row>
    <row r="1291">
      <c r="A1291" s="2">
        <v>2025.0</v>
      </c>
      <c r="B1291" s="1" t="s">
        <v>745</v>
      </c>
      <c r="D1291" s="2" t="s">
        <v>1039</v>
      </c>
      <c r="E1291" s="2" t="s">
        <v>25</v>
      </c>
      <c r="F1291" s="2">
        <v>1.6126294E7</v>
      </c>
      <c r="G1291" s="2">
        <v>3910634.0</v>
      </c>
      <c r="H1291" s="2">
        <v>2.0036928E7</v>
      </c>
      <c r="I1291" s="2">
        <v>1.3450483E7</v>
      </c>
      <c r="J1291" s="2">
        <v>6586445.0</v>
      </c>
    </row>
    <row r="1292">
      <c r="A1292" s="2">
        <v>2025.0</v>
      </c>
      <c r="B1292" s="1" t="s">
        <v>745</v>
      </c>
      <c r="D1292" s="2" t="s">
        <v>1039</v>
      </c>
      <c r="E1292" s="2" t="s">
        <v>1040</v>
      </c>
      <c r="F1292" s="2">
        <v>2.8102063E7</v>
      </c>
      <c r="G1292" s="2">
        <v>6.9416115E7</v>
      </c>
      <c r="H1292" s="2">
        <v>9.7518178E7</v>
      </c>
      <c r="I1292" s="2">
        <v>6.6760839E7</v>
      </c>
      <c r="J1292" s="2">
        <v>3.0757339E7</v>
      </c>
    </row>
    <row r="1293">
      <c r="A1293" s="2">
        <v>2025.0</v>
      </c>
      <c r="B1293" s="1" t="s">
        <v>745</v>
      </c>
      <c r="D1293" s="2" t="s">
        <v>1039</v>
      </c>
      <c r="E1293" s="2" t="s">
        <v>32</v>
      </c>
      <c r="F1293" s="2">
        <v>799843.0</v>
      </c>
      <c r="G1293" s="2">
        <v>3793479.0</v>
      </c>
      <c r="H1293" s="2">
        <v>4593322.0</v>
      </c>
      <c r="I1293" s="2">
        <v>2722474.0</v>
      </c>
      <c r="J1293" s="2">
        <v>1870848.0</v>
      </c>
    </row>
    <row r="1294">
      <c r="A1294" s="2">
        <v>2025.0</v>
      </c>
      <c r="B1294" s="1" t="s">
        <v>745</v>
      </c>
      <c r="D1294" s="2" t="s">
        <v>1039</v>
      </c>
      <c r="E1294" s="2" t="s">
        <v>124</v>
      </c>
      <c r="F1294" s="2">
        <v>1.6333602E7</v>
      </c>
      <c r="G1294" s="2">
        <v>3.4247223E7</v>
      </c>
      <c r="H1294" s="2">
        <v>5.0580825E7</v>
      </c>
      <c r="I1294" s="2">
        <v>3.010196E7</v>
      </c>
      <c r="J1294" s="2">
        <v>2.0478865E7</v>
      </c>
    </row>
    <row r="1295">
      <c r="A1295" s="2">
        <v>2025.0</v>
      </c>
      <c r="B1295" s="1" t="s">
        <v>745</v>
      </c>
      <c r="D1295" s="2" t="s">
        <v>1039</v>
      </c>
      <c r="E1295" s="2" t="s">
        <v>1041</v>
      </c>
      <c r="F1295" s="2">
        <v>4523269.0</v>
      </c>
      <c r="G1295" s="2">
        <v>339144.0</v>
      </c>
      <c r="H1295" s="2">
        <v>4862413.0</v>
      </c>
      <c r="I1295" s="2">
        <v>427849.0</v>
      </c>
      <c r="J1295" s="2">
        <v>4434564.0</v>
      </c>
    </row>
    <row r="1296">
      <c r="A1296" s="2">
        <v>2025.0</v>
      </c>
      <c r="B1296" s="1" t="s">
        <v>745</v>
      </c>
      <c r="D1296" s="2" t="s">
        <v>1039</v>
      </c>
      <c r="E1296" s="2" t="s">
        <v>1042</v>
      </c>
      <c r="F1296" s="2">
        <v>269358.0</v>
      </c>
      <c r="G1296" s="2">
        <v>8880.0</v>
      </c>
      <c r="H1296" s="2">
        <v>278238.0</v>
      </c>
      <c r="I1296" s="2">
        <v>0.0</v>
      </c>
      <c r="J1296" s="2">
        <v>278238.0</v>
      </c>
    </row>
    <row r="1297">
      <c r="A1297" s="2">
        <v>2025.0</v>
      </c>
      <c r="B1297" s="1" t="s">
        <v>745</v>
      </c>
      <c r="D1297" s="2" t="s">
        <v>1039</v>
      </c>
      <c r="E1297" s="2" t="s">
        <v>1043</v>
      </c>
      <c r="F1297" s="2">
        <v>3724114.0</v>
      </c>
      <c r="G1297" s="2">
        <v>122772.0</v>
      </c>
      <c r="H1297" s="2">
        <v>3846886.0</v>
      </c>
      <c r="I1297" s="2">
        <v>0.0</v>
      </c>
      <c r="J1297" s="2">
        <v>3846886.0</v>
      </c>
    </row>
    <row r="1298">
      <c r="A1298" s="2">
        <v>2025.0</v>
      </c>
      <c r="B1298" s="1" t="s">
        <v>745</v>
      </c>
      <c r="D1298" s="2" t="s">
        <v>1039</v>
      </c>
      <c r="E1298" s="2" t="s">
        <v>114</v>
      </c>
      <c r="F1298" s="2">
        <v>3554334.0</v>
      </c>
      <c r="G1298" s="2">
        <v>117175.0</v>
      </c>
      <c r="H1298" s="2">
        <v>3671509.0</v>
      </c>
      <c r="I1298" s="2">
        <v>0.0</v>
      </c>
      <c r="J1298" s="2">
        <v>3671509.0</v>
      </c>
    </row>
    <row r="1299">
      <c r="A1299" s="2">
        <v>2025.0</v>
      </c>
      <c r="B1299" s="1" t="s">
        <v>745</v>
      </c>
      <c r="D1299" s="2" t="s">
        <v>1039</v>
      </c>
      <c r="E1299" s="2" t="s">
        <v>805</v>
      </c>
      <c r="F1299" s="2">
        <v>2739.0</v>
      </c>
      <c r="G1299" s="2">
        <v>391990.0</v>
      </c>
      <c r="H1299" s="2">
        <v>394729.0</v>
      </c>
      <c r="I1299" s="2">
        <v>341708.0</v>
      </c>
      <c r="J1299" s="2">
        <v>53021.0</v>
      </c>
    </row>
    <row r="1300">
      <c r="A1300" s="2">
        <v>2025.0</v>
      </c>
      <c r="B1300" s="1" t="s">
        <v>745</v>
      </c>
      <c r="D1300" s="2" t="s">
        <v>1044</v>
      </c>
      <c r="E1300" s="2" t="s">
        <v>1045</v>
      </c>
      <c r="F1300" s="2">
        <v>4344027.0</v>
      </c>
      <c r="G1300" s="2">
        <v>2.0813324E7</v>
      </c>
      <c r="H1300" s="2">
        <v>2.5157351E7</v>
      </c>
      <c r="I1300" s="2">
        <v>2.4007531E7</v>
      </c>
      <c r="J1300" s="2">
        <v>1149820.0</v>
      </c>
    </row>
    <row r="1301">
      <c r="A1301" s="2">
        <v>2025.0</v>
      </c>
      <c r="B1301" s="1" t="s">
        <v>745</v>
      </c>
      <c r="D1301" s="2" t="s">
        <v>1044</v>
      </c>
      <c r="E1301" s="2" t="s">
        <v>27</v>
      </c>
      <c r="F1301" s="2">
        <v>5906740.0</v>
      </c>
      <c r="G1301" s="2">
        <v>3.0248202E7</v>
      </c>
      <c r="H1301" s="2">
        <v>3.6154942E7</v>
      </c>
      <c r="I1301" s="2">
        <v>2.8673355E7</v>
      </c>
      <c r="J1301" s="2">
        <v>7481587.0</v>
      </c>
    </row>
    <row r="1302">
      <c r="A1302" s="2">
        <v>2025.0</v>
      </c>
      <c r="B1302" s="1" t="s">
        <v>745</v>
      </c>
      <c r="D1302" s="2" t="s">
        <v>1044</v>
      </c>
      <c r="E1302" s="2" t="s">
        <v>1045</v>
      </c>
      <c r="F1302" s="2">
        <v>8838827.0</v>
      </c>
      <c r="G1302" s="2">
        <v>5.2624553E7</v>
      </c>
      <c r="H1302" s="2">
        <v>6.146338E7</v>
      </c>
      <c r="I1302" s="2">
        <v>4.4655342E7</v>
      </c>
      <c r="J1302" s="2">
        <v>1.6808038E7</v>
      </c>
    </row>
    <row r="1303">
      <c r="A1303" s="2">
        <v>2025.0</v>
      </c>
      <c r="B1303" s="1" t="s">
        <v>745</v>
      </c>
      <c r="D1303" s="2" t="s">
        <v>1044</v>
      </c>
      <c r="E1303" s="2" t="s">
        <v>568</v>
      </c>
      <c r="F1303" s="2">
        <v>504339.0</v>
      </c>
      <c r="G1303" s="2">
        <v>146019.0</v>
      </c>
      <c r="H1303" s="2">
        <v>650358.0</v>
      </c>
      <c r="I1303" s="2">
        <v>0.0</v>
      </c>
      <c r="J1303" s="2">
        <v>650358.0</v>
      </c>
    </row>
    <row r="1304">
      <c r="A1304" s="2">
        <v>2025.0</v>
      </c>
      <c r="B1304" s="1" t="s">
        <v>745</v>
      </c>
      <c r="D1304" s="2" t="s">
        <v>1046</v>
      </c>
      <c r="E1304" s="2" t="s">
        <v>1047</v>
      </c>
      <c r="F1304" s="2">
        <v>0.0</v>
      </c>
      <c r="G1304" s="2">
        <v>1.33955E7</v>
      </c>
      <c r="H1304" s="2">
        <v>1.33955E7</v>
      </c>
      <c r="I1304" s="2">
        <v>7025754.0</v>
      </c>
      <c r="J1304" s="2">
        <v>6369746.0</v>
      </c>
    </row>
    <row r="1305">
      <c r="A1305" s="2">
        <v>2025.0</v>
      </c>
      <c r="B1305" s="1" t="s">
        <v>745</v>
      </c>
      <c r="D1305" s="2" t="s">
        <v>1046</v>
      </c>
      <c r="E1305" s="2" t="s">
        <v>1048</v>
      </c>
      <c r="F1305" s="2">
        <v>0.0</v>
      </c>
      <c r="G1305" s="2">
        <v>1.8949145E7</v>
      </c>
      <c r="H1305" s="2">
        <v>1.8949145E7</v>
      </c>
      <c r="I1305" s="2">
        <v>132400.0</v>
      </c>
      <c r="J1305" s="2">
        <v>1.8816745E7</v>
      </c>
    </row>
    <row r="1306">
      <c r="A1306" s="2">
        <v>2025.0</v>
      </c>
      <c r="B1306" s="1" t="s">
        <v>745</v>
      </c>
      <c r="D1306" s="2" t="s">
        <v>1046</v>
      </c>
      <c r="E1306" s="2" t="s">
        <v>697</v>
      </c>
      <c r="F1306" s="2">
        <v>3.8754164E7</v>
      </c>
      <c r="G1306" s="2">
        <v>7.3404424E7</v>
      </c>
      <c r="H1306" s="2">
        <v>1.12158588E8</v>
      </c>
      <c r="I1306" s="2">
        <v>8.824263E7</v>
      </c>
      <c r="J1306" s="2">
        <v>2.3915958E7</v>
      </c>
    </row>
    <row r="1307">
      <c r="A1307" s="2">
        <v>2025.0</v>
      </c>
      <c r="B1307" s="1" t="s">
        <v>745</v>
      </c>
      <c r="D1307" s="2" t="s">
        <v>1046</v>
      </c>
      <c r="E1307" s="2" t="s">
        <v>1051</v>
      </c>
      <c r="F1307" s="2">
        <v>4846907.0</v>
      </c>
      <c r="G1307" s="2">
        <v>2.890953E7</v>
      </c>
      <c r="H1307" s="2">
        <v>3.3756437E7</v>
      </c>
      <c r="I1307" s="2">
        <v>3.366192E7</v>
      </c>
      <c r="J1307" s="2">
        <v>94517.0</v>
      </c>
    </row>
    <row r="1308">
      <c r="A1308" s="2">
        <v>2025.0</v>
      </c>
      <c r="B1308" s="1" t="s">
        <v>745</v>
      </c>
      <c r="D1308" s="2" t="s">
        <v>1046</v>
      </c>
      <c r="E1308" s="2" t="s">
        <v>686</v>
      </c>
      <c r="F1308" s="2">
        <v>1.6882379E7</v>
      </c>
      <c r="G1308" s="2">
        <v>4451135.0</v>
      </c>
      <c r="H1308" s="2">
        <v>2.1333514E7</v>
      </c>
      <c r="I1308" s="2">
        <v>1.4877435E7</v>
      </c>
      <c r="J1308" s="2">
        <v>6456079.0</v>
      </c>
    </row>
    <row r="1309">
      <c r="A1309" s="2">
        <v>2025.0</v>
      </c>
      <c r="B1309" s="1" t="s">
        <v>745</v>
      </c>
      <c r="D1309" s="2" t="s">
        <v>1046</v>
      </c>
      <c r="E1309" s="2" t="s">
        <v>32</v>
      </c>
      <c r="F1309" s="2">
        <v>566061.0</v>
      </c>
      <c r="G1309" s="2">
        <v>9683040.0</v>
      </c>
      <c r="H1309" s="2">
        <v>1.0249101E7</v>
      </c>
      <c r="I1309" s="2">
        <v>9639819.0</v>
      </c>
      <c r="J1309" s="2">
        <v>609282.0</v>
      </c>
    </row>
    <row r="1310">
      <c r="A1310" s="2">
        <v>2025.0</v>
      </c>
      <c r="B1310" s="1" t="s">
        <v>745</v>
      </c>
      <c r="D1310" s="2" t="s">
        <v>1053</v>
      </c>
      <c r="E1310" s="2" t="s">
        <v>56</v>
      </c>
      <c r="F1310" s="2">
        <v>2.7118381E7</v>
      </c>
      <c r="G1310" s="2">
        <v>5.3009845E7</v>
      </c>
      <c r="H1310" s="2">
        <v>8.0128226E7</v>
      </c>
      <c r="I1310" s="2">
        <v>4.989899E7</v>
      </c>
      <c r="J1310" s="2">
        <v>3.0229236E7</v>
      </c>
    </row>
    <row r="1311">
      <c r="A1311" s="2">
        <v>2025.0</v>
      </c>
      <c r="B1311" s="1" t="s">
        <v>745</v>
      </c>
      <c r="D1311" s="2" t="s">
        <v>1053</v>
      </c>
      <c r="E1311" s="2" t="s">
        <v>27</v>
      </c>
      <c r="F1311" s="2">
        <v>0.0</v>
      </c>
      <c r="G1311" s="2">
        <v>9073747.0</v>
      </c>
      <c r="H1311" s="2">
        <v>9073747.0</v>
      </c>
      <c r="I1311" s="2">
        <v>6310845.0</v>
      </c>
      <c r="J1311" s="2">
        <v>2762902.0</v>
      </c>
    </row>
    <row r="1312">
      <c r="A1312" s="2">
        <v>2025.0</v>
      </c>
      <c r="B1312" s="1" t="s">
        <v>745</v>
      </c>
      <c r="D1312" s="2" t="s">
        <v>1053</v>
      </c>
      <c r="E1312" s="2" t="s">
        <v>686</v>
      </c>
      <c r="F1312" s="2">
        <v>0.0</v>
      </c>
      <c r="G1312" s="2">
        <v>4568650.0</v>
      </c>
      <c r="H1312" s="2">
        <v>4568650.0</v>
      </c>
      <c r="I1312" s="2">
        <v>0.0</v>
      </c>
      <c r="J1312" s="2">
        <v>4568650.0</v>
      </c>
    </row>
    <row r="1313">
      <c r="A1313" s="2">
        <v>2025.0</v>
      </c>
      <c r="B1313" s="1" t="s">
        <v>745</v>
      </c>
      <c r="D1313" s="2" t="s">
        <v>1053</v>
      </c>
      <c r="E1313" s="2" t="s">
        <v>1047</v>
      </c>
      <c r="F1313" s="2">
        <v>0.0</v>
      </c>
      <c r="G1313" s="2">
        <v>8618036.0</v>
      </c>
      <c r="H1313" s="2">
        <v>8618036.0</v>
      </c>
      <c r="I1313" s="2">
        <v>0.0</v>
      </c>
      <c r="J1313" s="2">
        <v>8618036.0</v>
      </c>
    </row>
    <row r="1314">
      <c r="A1314" s="2">
        <v>2025.0</v>
      </c>
      <c r="B1314" s="1" t="s">
        <v>745</v>
      </c>
      <c r="D1314" s="2" t="s">
        <v>1056</v>
      </c>
      <c r="E1314" s="2" t="s">
        <v>686</v>
      </c>
      <c r="F1314" s="2">
        <v>3129194.0</v>
      </c>
      <c r="G1314" s="4">
        <v>1.6707613E7</v>
      </c>
      <c r="H1314" s="2">
        <v>1.9836807E7</v>
      </c>
      <c r="I1314" s="2">
        <v>1.839361E7</v>
      </c>
      <c r="J1314" s="2">
        <v>1443197.0</v>
      </c>
    </row>
    <row r="1315">
      <c r="A1315" s="2">
        <v>2025.0</v>
      </c>
      <c r="B1315" s="1" t="s">
        <v>745</v>
      </c>
      <c r="D1315" s="2" t="s">
        <v>1056</v>
      </c>
      <c r="E1315" s="2" t="s">
        <v>568</v>
      </c>
      <c r="F1315" s="2">
        <v>25819.0</v>
      </c>
      <c r="G1315" s="2">
        <v>2.2011921E7</v>
      </c>
      <c r="H1315" s="2">
        <v>2.203774E7</v>
      </c>
      <c r="I1315" s="2">
        <v>1.5070146E7</v>
      </c>
      <c r="J1315" s="4">
        <v>6967594.0</v>
      </c>
    </row>
    <row r="1316">
      <c r="A1316" s="2">
        <v>2025.0</v>
      </c>
      <c r="B1316" s="1" t="s">
        <v>745</v>
      </c>
      <c r="D1316" s="2" t="s">
        <v>1056</v>
      </c>
      <c r="E1316" s="2" t="s">
        <v>1057</v>
      </c>
      <c r="F1316" s="2">
        <v>342739.0</v>
      </c>
      <c r="G1316" s="2">
        <v>2049484.0</v>
      </c>
      <c r="H1316" s="2">
        <v>2392223.0</v>
      </c>
      <c r="I1316" s="2">
        <v>2114547.0</v>
      </c>
      <c r="J1316" s="2">
        <v>277676.0</v>
      </c>
    </row>
    <row r="1317">
      <c r="A1317" s="2">
        <v>2025.0</v>
      </c>
      <c r="B1317" s="1" t="s">
        <v>745</v>
      </c>
      <c r="D1317" s="2" t="s">
        <v>1056</v>
      </c>
      <c r="E1317" s="2" t="s">
        <v>1059</v>
      </c>
      <c r="F1317" s="4">
        <v>47683.0</v>
      </c>
      <c r="G1317" s="4">
        <v>924538.0</v>
      </c>
      <c r="H1317" s="4">
        <v>972221.0</v>
      </c>
      <c r="I1317" s="2">
        <v>824646.0</v>
      </c>
      <c r="J1317" s="4">
        <v>147575.0</v>
      </c>
    </row>
    <row r="1318">
      <c r="A1318" s="2">
        <v>2025.0</v>
      </c>
      <c r="B1318" s="1" t="s">
        <v>745</v>
      </c>
      <c r="D1318" s="2" t="s">
        <v>1056</v>
      </c>
      <c r="E1318" s="2" t="s">
        <v>1061</v>
      </c>
      <c r="F1318" s="4">
        <v>128984.0</v>
      </c>
      <c r="G1318" s="4">
        <v>2087832.0</v>
      </c>
      <c r="H1318" s="4">
        <v>2216816.0</v>
      </c>
      <c r="I1318" s="2">
        <v>2063876.0</v>
      </c>
      <c r="J1318" s="4">
        <v>152940.0</v>
      </c>
    </row>
    <row r="1319">
      <c r="A1319" s="2">
        <v>2025.0</v>
      </c>
      <c r="B1319" s="1" t="s">
        <v>745</v>
      </c>
      <c r="D1319" s="2" t="s">
        <v>1056</v>
      </c>
      <c r="E1319" s="2" t="s">
        <v>1063</v>
      </c>
      <c r="F1319" s="4">
        <v>111260.0</v>
      </c>
      <c r="G1319" s="4">
        <v>1800298.0</v>
      </c>
      <c r="H1319" s="4">
        <v>1911558.0</v>
      </c>
      <c r="I1319" s="2">
        <v>1817763.0</v>
      </c>
      <c r="J1319" s="4">
        <v>93795.0</v>
      </c>
    </row>
    <row r="1320">
      <c r="A1320" s="2">
        <v>2025.0</v>
      </c>
      <c r="B1320" s="1" t="s">
        <v>745</v>
      </c>
      <c r="D1320" s="2" t="s">
        <v>1056</v>
      </c>
      <c r="E1320" s="2" t="s">
        <v>1064</v>
      </c>
      <c r="F1320" s="4">
        <v>209438.0</v>
      </c>
      <c r="G1320" s="4">
        <v>588541.0</v>
      </c>
      <c r="H1320" s="4">
        <v>797979.0</v>
      </c>
      <c r="I1320" s="2">
        <v>727222.0</v>
      </c>
      <c r="J1320" s="4">
        <v>70757.0</v>
      </c>
    </row>
    <row r="1321">
      <c r="A1321" s="2">
        <v>2025.0</v>
      </c>
      <c r="B1321" s="1" t="s">
        <v>745</v>
      </c>
      <c r="D1321" s="2" t="s">
        <v>1056</v>
      </c>
      <c r="E1321" s="2" t="s">
        <v>686</v>
      </c>
      <c r="F1321" s="4">
        <v>2909509.0</v>
      </c>
      <c r="G1321" s="4">
        <v>168027.0</v>
      </c>
      <c r="H1321" s="4">
        <v>3077536.0</v>
      </c>
      <c r="I1321" s="2">
        <v>3076675.0</v>
      </c>
      <c r="J1321" s="2">
        <v>861.0</v>
      </c>
    </row>
    <row r="1322">
      <c r="A1322" s="2">
        <v>2025.0</v>
      </c>
      <c r="B1322" s="1" t="s">
        <v>745</v>
      </c>
      <c r="D1322" s="2" t="s">
        <v>1056</v>
      </c>
      <c r="E1322" s="2" t="s">
        <v>712</v>
      </c>
      <c r="F1322" s="4">
        <v>195075.0</v>
      </c>
      <c r="G1322" s="4">
        <v>3768628.0</v>
      </c>
      <c r="H1322" s="4">
        <v>3963703.0</v>
      </c>
      <c r="I1322" s="2">
        <v>1830293.0</v>
      </c>
      <c r="J1322" s="4">
        <v>2133410.0</v>
      </c>
    </row>
    <row r="1323">
      <c r="A1323" s="2">
        <v>2025.0</v>
      </c>
      <c r="B1323" s="1" t="s">
        <v>745</v>
      </c>
      <c r="D1323" s="2" t="s">
        <v>1056</v>
      </c>
      <c r="E1323" s="2" t="s">
        <v>1065</v>
      </c>
      <c r="F1323" s="2">
        <v>1227682.0</v>
      </c>
      <c r="G1323" s="4">
        <v>366638.0</v>
      </c>
      <c r="H1323" s="4">
        <v>1594320.0</v>
      </c>
      <c r="I1323" s="2">
        <v>1592027.0</v>
      </c>
      <c r="J1323" s="4">
        <v>2293.0</v>
      </c>
    </row>
    <row r="1324">
      <c r="A1324" s="2">
        <v>2025.0</v>
      </c>
      <c r="B1324" s="1" t="s">
        <v>745</v>
      </c>
      <c r="D1324" s="2" t="s">
        <v>539</v>
      </c>
      <c r="E1324" s="2" t="s">
        <v>25</v>
      </c>
      <c r="F1324" s="2">
        <v>3211103.0</v>
      </c>
      <c r="G1324" s="2">
        <v>4862644.0</v>
      </c>
      <c r="H1324" s="2">
        <v>8073747.0</v>
      </c>
      <c r="I1324" s="2">
        <v>7564355.0</v>
      </c>
      <c r="J1324" s="2">
        <v>509392.0</v>
      </c>
    </row>
    <row r="1325">
      <c r="A1325" s="2">
        <v>2025.0</v>
      </c>
      <c r="B1325" s="1" t="s">
        <v>745</v>
      </c>
      <c r="D1325" s="2" t="s">
        <v>539</v>
      </c>
      <c r="E1325" s="2" t="s">
        <v>78</v>
      </c>
      <c r="F1325" s="2">
        <v>931064.0</v>
      </c>
      <c r="G1325" s="2">
        <v>1.5047147E7</v>
      </c>
      <c r="H1325" s="4">
        <v>1.5978211E7</v>
      </c>
      <c r="I1325" s="2">
        <v>1.0647322E7</v>
      </c>
      <c r="J1325" s="4">
        <v>5330889.0</v>
      </c>
    </row>
    <row r="1326">
      <c r="A1326" s="2">
        <v>2025.0</v>
      </c>
      <c r="B1326" s="1" t="s">
        <v>745</v>
      </c>
      <c r="D1326" s="2" t="s">
        <v>539</v>
      </c>
      <c r="E1326" s="2" t="s">
        <v>712</v>
      </c>
      <c r="F1326" s="2">
        <v>150316.0</v>
      </c>
      <c r="G1326" s="2">
        <v>2264720.0</v>
      </c>
      <c r="H1326" s="2">
        <v>2415036.0</v>
      </c>
      <c r="I1326" s="2">
        <v>1388462.0</v>
      </c>
      <c r="J1326" s="2">
        <v>1026574.0</v>
      </c>
    </row>
    <row r="1327">
      <c r="A1327" s="2">
        <v>2025.0</v>
      </c>
      <c r="B1327" s="1" t="s">
        <v>745</v>
      </c>
      <c r="D1327" s="2" t="s">
        <v>539</v>
      </c>
      <c r="E1327" s="2" t="s">
        <v>313</v>
      </c>
      <c r="F1327" s="2">
        <v>8855685.0</v>
      </c>
      <c r="G1327" s="2">
        <v>6618137.0</v>
      </c>
      <c r="H1327" s="2">
        <v>1.5473822E7</v>
      </c>
      <c r="I1327" s="2">
        <v>6635803.0</v>
      </c>
      <c r="J1327" s="2">
        <v>8838019.0</v>
      </c>
    </row>
    <row r="1328">
      <c r="A1328" s="2">
        <v>2025.0</v>
      </c>
      <c r="B1328" s="1" t="s">
        <v>745</v>
      </c>
      <c r="D1328" s="2" t="s">
        <v>535</v>
      </c>
      <c r="E1328" s="2" t="s">
        <v>78</v>
      </c>
      <c r="F1328" s="2">
        <v>845017.0</v>
      </c>
      <c r="G1328" s="2">
        <v>1.8847017E7</v>
      </c>
      <c r="H1328" s="2">
        <v>1.9692034E7</v>
      </c>
      <c r="I1328" s="2">
        <v>1.6072811E7</v>
      </c>
      <c r="J1328" s="2">
        <v>3619223.0</v>
      </c>
    </row>
    <row r="1329">
      <c r="A1329" s="2">
        <v>2025.0</v>
      </c>
      <c r="B1329" s="1" t="s">
        <v>745</v>
      </c>
      <c r="D1329" s="2" t="s">
        <v>535</v>
      </c>
      <c r="E1329" s="2" t="s">
        <v>32</v>
      </c>
      <c r="F1329" s="2">
        <v>5255667.0</v>
      </c>
      <c r="G1329" s="2">
        <v>1.6000286E7</v>
      </c>
      <c r="H1329" s="2">
        <v>2.1255953E7</v>
      </c>
      <c r="I1329" s="2">
        <v>1.5155057E7</v>
      </c>
      <c r="J1329" s="2">
        <v>6100896.0</v>
      </c>
    </row>
    <row r="1330">
      <c r="A1330" s="2">
        <v>2025.0</v>
      </c>
      <c r="B1330" s="1" t="s">
        <v>745</v>
      </c>
      <c r="D1330" s="2" t="s">
        <v>535</v>
      </c>
      <c r="E1330" s="2" t="s">
        <v>76</v>
      </c>
      <c r="F1330" s="2">
        <v>829186.0</v>
      </c>
      <c r="G1330" s="2">
        <v>2890.0</v>
      </c>
      <c r="H1330" s="4">
        <v>832076.0</v>
      </c>
      <c r="I1330" s="2">
        <v>813969.0</v>
      </c>
      <c r="J1330" s="4">
        <v>18107.0</v>
      </c>
    </row>
    <row r="1331">
      <c r="A1331" s="2">
        <v>2025.0</v>
      </c>
      <c r="B1331" s="1" t="s">
        <v>745</v>
      </c>
      <c r="D1331" s="2" t="s">
        <v>535</v>
      </c>
      <c r="E1331" s="2" t="s">
        <v>712</v>
      </c>
      <c r="F1331" s="2">
        <v>250716.0</v>
      </c>
      <c r="G1331" s="2">
        <v>3513569.0</v>
      </c>
      <c r="H1331" s="4">
        <v>3764285.0</v>
      </c>
      <c r="I1331" s="2">
        <v>2190188.0</v>
      </c>
      <c r="J1331" s="4">
        <v>1574097.0</v>
      </c>
    </row>
    <row r="1332">
      <c r="A1332" s="2">
        <v>2025.0</v>
      </c>
      <c r="B1332" s="1" t="s">
        <v>745</v>
      </c>
      <c r="D1332" s="2" t="s">
        <v>535</v>
      </c>
      <c r="E1332" s="2" t="s">
        <v>25</v>
      </c>
      <c r="F1332" s="2">
        <v>7226391.0</v>
      </c>
      <c r="G1332" s="2">
        <v>1.1059355E7</v>
      </c>
      <c r="H1332" s="2">
        <v>1.8285746E7</v>
      </c>
      <c r="I1332" s="2">
        <v>1.76126E7</v>
      </c>
      <c r="J1332" s="2">
        <v>673146.0</v>
      </c>
    </row>
    <row r="1333">
      <c r="A1333" s="2">
        <v>2025.0</v>
      </c>
      <c r="B1333" s="1" t="s">
        <v>745</v>
      </c>
      <c r="D1333" s="2" t="s">
        <v>1066</v>
      </c>
      <c r="E1333" s="2" t="s">
        <v>686</v>
      </c>
      <c r="F1333" s="2">
        <v>1443197.0</v>
      </c>
      <c r="G1333" s="4">
        <v>5078231.0</v>
      </c>
      <c r="H1333" s="2">
        <v>6521428.0</v>
      </c>
      <c r="I1333" s="2">
        <v>1584123.0</v>
      </c>
      <c r="J1333" s="2">
        <v>4937305.0</v>
      </c>
    </row>
    <row r="1334">
      <c r="A1334" s="2">
        <v>2025.0</v>
      </c>
      <c r="B1334" s="1" t="s">
        <v>745</v>
      </c>
      <c r="D1334" s="2" t="s">
        <v>1066</v>
      </c>
      <c r="E1334" s="2" t="s">
        <v>568</v>
      </c>
      <c r="F1334" s="2">
        <v>6967594.0</v>
      </c>
      <c r="G1334" s="2">
        <v>2.1191645E7</v>
      </c>
      <c r="H1334" s="2">
        <v>2.8159239E7</v>
      </c>
      <c r="I1334" s="4">
        <v>2.2396551E7</v>
      </c>
      <c r="J1334" s="4">
        <v>5762688.0</v>
      </c>
    </row>
    <row r="1335">
      <c r="A1335" s="2">
        <v>2025.0</v>
      </c>
      <c r="B1335" s="1" t="s">
        <v>745</v>
      </c>
      <c r="D1335" s="2" t="s">
        <v>1066</v>
      </c>
      <c r="E1335" s="2" t="s">
        <v>1067</v>
      </c>
      <c r="F1335" s="2">
        <v>277676.0</v>
      </c>
      <c r="G1335" s="2">
        <v>792882.0</v>
      </c>
      <c r="H1335" s="2">
        <v>1070558.0</v>
      </c>
      <c r="I1335" s="2">
        <v>1067500.0</v>
      </c>
      <c r="J1335" s="2">
        <v>3058.0</v>
      </c>
    </row>
    <row r="1336">
      <c r="A1336" s="2">
        <v>2025.0</v>
      </c>
      <c r="B1336" s="1" t="s">
        <v>745</v>
      </c>
      <c r="D1336" s="2" t="s">
        <v>1066</v>
      </c>
      <c r="E1336" s="2" t="s">
        <v>1059</v>
      </c>
      <c r="F1336" s="4">
        <v>147575.0</v>
      </c>
      <c r="G1336" s="4">
        <v>2495819.0</v>
      </c>
      <c r="H1336" s="4">
        <v>2643394.0</v>
      </c>
      <c r="I1336" s="2">
        <v>2570559.0</v>
      </c>
      <c r="J1336" s="4">
        <v>72835.0</v>
      </c>
    </row>
    <row r="1337">
      <c r="A1337" s="2">
        <v>2025.0</v>
      </c>
      <c r="B1337" s="1" t="s">
        <v>745</v>
      </c>
      <c r="D1337" s="2" t="s">
        <v>1066</v>
      </c>
      <c r="E1337" s="2" t="s">
        <v>1061</v>
      </c>
      <c r="F1337" s="4">
        <v>152940.0</v>
      </c>
      <c r="G1337" s="4">
        <v>1675272.0</v>
      </c>
      <c r="H1337" s="4">
        <v>1828212.0</v>
      </c>
      <c r="I1337" s="2">
        <v>1737235.0</v>
      </c>
      <c r="J1337" s="4">
        <v>90977.0</v>
      </c>
    </row>
    <row r="1338">
      <c r="A1338" s="2">
        <v>2025.0</v>
      </c>
      <c r="B1338" s="1" t="s">
        <v>745</v>
      </c>
      <c r="D1338" s="2" t="s">
        <v>1066</v>
      </c>
      <c r="E1338" s="2" t="s">
        <v>1063</v>
      </c>
      <c r="F1338" s="4">
        <v>93795.0</v>
      </c>
      <c r="G1338" s="4">
        <v>2061953.0</v>
      </c>
      <c r="H1338" s="4">
        <v>2155748.0</v>
      </c>
      <c r="I1338" s="2">
        <v>2044574.0</v>
      </c>
      <c r="J1338" s="4">
        <v>111174.0</v>
      </c>
    </row>
    <row r="1339">
      <c r="A1339" s="2">
        <v>2025.0</v>
      </c>
      <c r="B1339" s="1" t="s">
        <v>745</v>
      </c>
      <c r="D1339" s="2" t="s">
        <v>1066</v>
      </c>
      <c r="E1339" s="2" t="s">
        <v>1064</v>
      </c>
      <c r="F1339" s="4">
        <v>70757.0</v>
      </c>
      <c r="G1339" s="4">
        <v>929500.0</v>
      </c>
      <c r="H1339" s="4">
        <v>1000257.0</v>
      </c>
      <c r="I1339" s="2">
        <v>926063.0</v>
      </c>
      <c r="J1339" s="4">
        <v>74194.0</v>
      </c>
    </row>
    <row r="1340">
      <c r="A1340" s="2">
        <v>2025.0</v>
      </c>
      <c r="B1340" s="1" t="s">
        <v>745</v>
      </c>
      <c r="D1340" s="2" t="s">
        <v>1066</v>
      </c>
      <c r="E1340" s="2" t="s">
        <v>686</v>
      </c>
      <c r="F1340" s="2">
        <v>861.0</v>
      </c>
      <c r="G1340" s="4">
        <v>144466.0</v>
      </c>
      <c r="H1340" s="4">
        <v>145327.0</v>
      </c>
      <c r="I1340" s="2">
        <v>144517.0</v>
      </c>
      <c r="J1340" s="2">
        <v>810.0</v>
      </c>
    </row>
    <row r="1341">
      <c r="A1341" s="2">
        <v>2025.0</v>
      </c>
      <c r="B1341" s="1" t="s">
        <v>745</v>
      </c>
      <c r="D1341" s="2" t="s">
        <v>1066</v>
      </c>
      <c r="E1341" s="2" t="s">
        <v>712</v>
      </c>
      <c r="F1341" s="4">
        <v>2133410.0</v>
      </c>
      <c r="G1341" s="4">
        <v>1871354.0</v>
      </c>
      <c r="H1341" s="4">
        <v>4004764.0</v>
      </c>
      <c r="I1341" s="2">
        <v>3939003.0</v>
      </c>
      <c r="J1341" s="4">
        <v>65761.0</v>
      </c>
    </row>
    <row r="1342">
      <c r="A1342" s="2">
        <v>2025.0</v>
      </c>
      <c r="B1342" s="1" t="s">
        <v>745</v>
      </c>
      <c r="D1342" s="2" t="s">
        <v>1066</v>
      </c>
      <c r="E1342" s="2" t="s">
        <v>1065</v>
      </c>
      <c r="F1342" s="2">
        <v>2293.0</v>
      </c>
      <c r="G1342" s="2">
        <v>69.0</v>
      </c>
      <c r="H1342" s="4">
        <v>2362.0</v>
      </c>
      <c r="I1342" s="2">
        <v>0.0</v>
      </c>
      <c r="J1342" s="7">
        <v>2362.0</v>
      </c>
    </row>
    <row r="1343">
      <c r="A1343" s="2">
        <v>2025.0</v>
      </c>
      <c r="B1343" s="1" t="s">
        <v>745</v>
      </c>
      <c r="D1343" s="2" t="s">
        <v>539</v>
      </c>
      <c r="E1343" s="2" t="s">
        <v>25</v>
      </c>
      <c r="F1343" s="2">
        <v>509392.0</v>
      </c>
      <c r="G1343" s="2">
        <v>2540835.0</v>
      </c>
      <c r="H1343" s="2">
        <v>3050227.0</v>
      </c>
      <c r="I1343" s="2">
        <v>509427.0</v>
      </c>
      <c r="J1343" s="2">
        <v>2540800.0</v>
      </c>
    </row>
    <row r="1344">
      <c r="A1344" s="2">
        <v>2025.0</v>
      </c>
      <c r="B1344" s="1" t="s">
        <v>745</v>
      </c>
      <c r="D1344" s="2" t="s">
        <v>539</v>
      </c>
      <c r="E1344" s="2" t="s">
        <v>78</v>
      </c>
      <c r="F1344" s="2">
        <v>5330889.0</v>
      </c>
      <c r="G1344" s="2">
        <v>9647416.0</v>
      </c>
      <c r="H1344" s="4">
        <v>1.4978305E7</v>
      </c>
      <c r="I1344" s="2">
        <v>1.1459099E7</v>
      </c>
      <c r="J1344" s="4">
        <v>3519206.0</v>
      </c>
    </row>
    <row r="1345">
      <c r="A1345" s="2">
        <v>2025.0</v>
      </c>
      <c r="B1345" s="1" t="s">
        <v>745</v>
      </c>
      <c r="D1345" s="2" t="s">
        <v>539</v>
      </c>
      <c r="E1345" s="2" t="s">
        <v>712</v>
      </c>
      <c r="F1345" s="2">
        <v>1026574.0</v>
      </c>
      <c r="G1345" s="2">
        <v>1877341.0</v>
      </c>
      <c r="H1345" s="2">
        <v>2903915.0</v>
      </c>
      <c r="I1345" s="2">
        <v>2305498.0</v>
      </c>
      <c r="J1345" s="2">
        <v>598417.0</v>
      </c>
    </row>
    <row r="1346">
      <c r="A1346" s="2">
        <v>2025.0</v>
      </c>
      <c r="B1346" s="1" t="s">
        <v>745</v>
      </c>
      <c r="D1346" s="2" t="s">
        <v>539</v>
      </c>
      <c r="E1346" s="2" t="s">
        <v>568</v>
      </c>
      <c r="F1346" s="2">
        <v>8838019.0</v>
      </c>
      <c r="G1346" s="2">
        <v>8454980.0</v>
      </c>
      <c r="H1346" s="2">
        <v>1.7292999E7</v>
      </c>
      <c r="I1346" s="2">
        <v>1.2184499E7</v>
      </c>
      <c r="J1346" s="2">
        <v>5108500.0</v>
      </c>
    </row>
    <row r="1347">
      <c r="A1347" s="2">
        <v>2025.0</v>
      </c>
      <c r="B1347" s="1" t="s">
        <v>745</v>
      </c>
      <c r="D1347" s="2" t="s">
        <v>535</v>
      </c>
      <c r="E1347" s="2" t="s">
        <v>78</v>
      </c>
      <c r="F1347" s="2">
        <v>3619223.0</v>
      </c>
      <c r="G1347" s="2">
        <v>1.3720882E7</v>
      </c>
      <c r="H1347" s="2">
        <v>1.7340105E7</v>
      </c>
      <c r="I1347" s="2">
        <v>1.6941892E7</v>
      </c>
      <c r="J1347" s="2">
        <v>398213.0</v>
      </c>
    </row>
    <row r="1348">
      <c r="A1348" s="2">
        <v>2025.0</v>
      </c>
      <c r="B1348" s="1" t="s">
        <v>745</v>
      </c>
      <c r="D1348" s="2" t="s">
        <v>535</v>
      </c>
      <c r="E1348" s="2" t="s">
        <v>32</v>
      </c>
      <c r="F1348" s="2">
        <v>6100896.0</v>
      </c>
      <c r="G1348" s="2">
        <v>2.0473169E7</v>
      </c>
      <c r="H1348" s="2">
        <v>2.6574065E7</v>
      </c>
      <c r="I1348" s="2">
        <v>2.3114151E7</v>
      </c>
      <c r="J1348" s="2">
        <v>3459914.0</v>
      </c>
    </row>
    <row r="1349">
      <c r="A1349" s="2">
        <v>2025.0</v>
      </c>
      <c r="B1349" s="1" t="s">
        <v>745</v>
      </c>
      <c r="D1349" s="2" t="s">
        <v>535</v>
      </c>
      <c r="E1349" s="2" t="s">
        <v>76</v>
      </c>
      <c r="F1349" s="2">
        <v>18107.0</v>
      </c>
      <c r="G1349" s="2">
        <v>245875.0</v>
      </c>
      <c r="H1349" s="2">
        <v>263982.0</v>
      </c>
      <c r="I1349" s="4">
        <v>263847.0</v>
      </c>
      <c r="J1349" s="2">
        <v>135.0</v>
      </c>
    </row>
    <row r="1350">
      <c r="A1350" s="2">
        <v>2025.0</v>
      </c>
      <c r="B1350" s="1" t="s">
        <v>745</v>
      </c>
      <c r="D1350" s="2" t="s">
        <v>535</v>
      </c>
      <c r="E1350" s="2" t="s">
        <v>712</v>
      </c>
      <c r="F1350" s="2">
        <v>1574097.0</v>
      </c>
      <c r="G1350" s="2">
        <v>3063969.0</v>
      </c>
      <c r="H1350" s="2">
        <v>4638066.0</v>
      </c>
      <c r="I1350" s="4">
        <v>3024931.0</v>
      </c>
      <c r="J1350" s="4">
        <v>1613135.0</v>
      </c>
    </row>
    <row r="1351">
      <c r="A1351" s="2">
        <v>2025.0</v>
      </c>
      <c r="B1351" s="1" t="s">
        <v>745</v>
      </c>
      <c r="D1351" s="2" t="s">
        <v>535</v>
      </c>
      <c r="E1351" s="2" t="s">
        <v>25</v>
      </c>
      <c r="F1351" s="2">
        <v>673146.0</v>
      </c>
      <c r="G1351" s="2">
        <v>5724711.0</v>
      </c>
      <c r="H1351" s="2">
        <v>6397857.0</v>
      </c>
      <c r="I1351" s="2">
        <v>631429.0</v>
      </c>
      <c r="J1351" s="2">
        <v>5766428.0</v>
      </c>
    </row>
    <row r="1352">
      <c r="A1352" s="2">
        <v>2025.0</v>
      </c>
      <c r="B1352" s="1" t="s">
        <v>20</v>
      </c>
      <c r="D1352" s="1" t="s">
        <v>719</v>
      </c>
      <c r="E1352" s="2" t="s">
        <v>25</v>
      </c>
      <c r="F1352" s="2">
        <v>1.525997E7</v>
      </c>
      <c r="G1352" s="2">
        <v>1.02392248E8</v>
      </c>
      <c r="H1352" s="2">
        <v>1.17652218E8</v>
      </c>
      <c r="I1352" s="2">
        <v>8.3297442E7</v>
      </c>
      <c r="J1352" s="2">
        <v>3.4354776E7</v>
      </c>
    </row>
    <row r="1353">
      <c r="A1353" s="2">
        <v>2025.0</v>
      </c>
      <c r="B1353" s="1" t="s">
        <v>20</v>
      </c>
      <c r="D1353" s="1" t="s">
        <v>719</v>
      </c>
      <c r="E1353" s="2" t="s">
        <v>1068</v>
      </c>
      <c r="F1353" s="2">
        <v>6.7175085E7</v>
      </c>
      <c r="G1353" s="2">
        <v>1.47428568E8</v>
      </c>
      <c r="H1353" s="2">
        <v>2.14603653E8</v>
      </c>
      <c r="I1353" s="2">
        <v>1.85156776E8</v>
      </c>
      <c r="J1353" s="2">
        <v>2.9446877E7</v>
      </c>
    </row>
    <row r="1354">
      <c r="A1354" s="2">
        <v>2026.0</v>
      </c>
      <c r="B1354" s="1" t="s">
        <v>1069</v>
      </c>
      <c r="C1354" s="2" t="s">
        <v>887</v>
      </c>
      <c r="D1354" s="2" t="s">
        <v>887</v>
      </c>
      <c r="E1354" s="2" t="s">
        <v>686</v>
      </c>
      <c r="F1354" s="2">
        <v>3693270.0</v>
      </c>
      <c r="G1354" s="2">
        <v>3685071.0</v>
      </c>
      <c r="H1354" s="2">
        <v>7378341.0</v>
      </c>
      <c r="I1354" s="2">
        <v>2750463.0</v>
      </c>
      <c r="J1354" s="2">
        <v>4627878.0</v>
      </c>
    </row>
    <row r="1355">
      <c r="A1355" s="2">
        <v>2026.0</v>
      </c>
      <c r="B1355" s="1" t="s">
        <v>1069</v>
      </c>
      <c r="C1355" s="2" t="s">
        <v>887</v>
      </c>
      <c r="D1355" s="2" t="s">
        <v>887</v>
      </c>
      <c r="E1355" s="2" t="s">
        <v>1070</v>
      </c>
      <c r="F1355" s="2">
        <v>346601.0</v>
      </c>
      <c r="G1355" s="2">
        <v>13119.0</v>
      </c>
      <c r="H1355" s="2">
        <v>359720.0</v>
      </c>
      <c r="I1355" s="2">
        <v>0.0</v>
      </c>
      <c r="J1355" s="2">
        <v>359720.0</v>
      </c>
    </row>
    <row r="1356">
      <c r="A1356" s="2">
        <v>2026.0</v>
      </c>
      <c r="B1356" s="1" t="s">
        <v>1069</v>
      </c>
      <c r="C1356" s="2" t="s">
        <v>887</v>
      </c>
      <c r="D1356" s="2" t="s">
        <v>887</v>
      </c>
      <c r="E1356" s="2" t="s">
        <v>32</v>
      </c>
      <c r="F1356" s="2">
        <v>1131195.0</v>
      </c>
      <c r="G1356" s="2">
        <v>188926.0</v>
      </c>
      <c r="H1356" s="2">
        <v>1320121.0</v>
      </c>
      <c r="I1356" s="2">
        <v>70842.0</v>
      </c>
      <c r="J1356" s="2">
        <v>1249279.0</v>
      </c>
    </row>
    <row r="1357">
      <c r="A1357" s="2">
        <v>2026.0</v>
      </c>
      <c r="B1357" s="1" t="s">
        <v>1069</v>
      </c>
      <c r="C1357" s="2" t="s">
        <v>887</v>
      </c>
      <c r="D1357" s="2" t="s">
        <v>887</v>
      </c>
      <c r="E1357" s="2" t="s">
        <v>92</v>
      </c>
      <c r="F1357" s="2">
        <v>8450350.0</v>
      </c>
      <c r="G1357" s="2">
        <v>4033866.0</v>
      </c>
      <c r="H1357" s="2">
        <v>1.2484216E7</v>
      </c>
      <c r="I1357" s="2">
        <v>5325637.0</v>
      </c>
      <c r="J1357" s="2">
        <v>7158579.0</v>
      </c>
    </row>
    <row r="1358">
      <c r="A1358" s="2">
        <v>2026.0</v>
      </c>
      <c r="B1358" s="1" t="s">
        <v>1069</v>
      </c>
      <c r="C1358" s="2" t="s">
        <v>887</v>
      </c>
      <c r="D1358" s="2" t="s">
        <v>888</v>
      </c>
      <c r="E1358" s="2" t="s">
        <v>686</v>
      </c>
      <c r="F1358" s="2">
        <v>5900470.0</v>
      </c>
      <c r="G1358" s="2">
        <v>2534820.0</v>
      </c>
      <c r="H1358" s="2">
        <v>8435290.0</v>
      </c>
      <c r="I1358" s="2">
        <v>2119616.0</v>
      </c>
      <c r="J1358" s="2">
        <v>6315674.0</v>
      </c>
    </row>
    <row r="1359">
      <c r="A1359" s="2">
        <v>2026.0</v>
      </c>
      <c r="B1359" s="1" t="s">
        <v>1069</v>
      </c>
      <c r="C1359" s="2" t="s">
        <v>887</v>
      </c>
      <c r="D1359" s="2" t="s">
        <v>888</v>
      </c>
      <c r="E1359" s="2" t="s">
        <v>27</v>
      </c>
      <c r="F1359" s="2">
        <v>280675.0</v>
      </c>
      <c r="G1359" s="2">
        <v>1409535.0</v>
      </c>
      <c r="H1359" s="2">
        <v>1690210.0</v>
      </c>
      <c r="I1359" s="2">
        <v>1513428.0</v>
      </c>
      <c r="J1359" s="2">
        <v>176782.0</v>
      </c>
    </row>
    <row r="1360">
      <c r="A1360" s="2">
        <v>2026.0</v>
      </c>
      <c r="B1360" s="1" t="s">
        <v>1069</v>
      </c>
      <c r="C1360" s="2" t="s">
        <v>887</v>
      </c>
      <c r="D1360" s="2" t="s">
        <v>888</v>
      </c>
      <c r="E1360" s="2" t="s">
        <v>56</v>
      </c>
      <c r="F1360" s="2">
        <v>5175997.0</v>
      </c>
      <c r="G1360" s="2">
        <v>904628.0</v>
      </c>
      <c r="H1360" s="2">
        <v>6080625.0</v>
      </c>
      <c r="I1360" s="2">
        <v>1201081.0</v>
      </c>
      <c r="J1360" s="2">
        <v>4879544.0</v>
      </c>
    </row>
    <row r="1361">
      <c r="A1361" s="2">
        <v>2026.0</v>
      </c>
      <c r="B1361" s="1" t="s">
        <v>1069</v>
      </c>
      <c r="C1361" s="2" t="s">
        <v>887</v>
      </c>
      <c r="D1361" s="2" t="s">
        <v>889</v>
      </c>
      <c r="E1361" s="2" t="s">
        <v>686</v>
      </c>
      <c r="F1361" s="2">
        <v>2702966.0</v>
      </c>
      <c r="G1361" s="2">
        <v>2336291.0</v>
      </c>
      <c r="H1361" s="2">
        <v>5039257.0</v>
      </c>
      <c r="I1361" s="2">
        <v>1900432.0</v>
      </c>
      <c r="J1361" s="2">
        <v>3138825.0</v>
      </c>
    </row>
    <row r="1362">
      <c r="A1362" s="2">
        <v>2026.0</v>
      </c>
      <c r="B1362" s="1" t="s">
        <v>1069</v>
      </c>
      <c r="C1362" s="2" t="s">
        <v>887</v>
      </c>
      <c r="D1362" s="2" t="s">
        <v>889</v>
      </c>
      <c r="E1362" s="2" t="s">
        <v>92</v>
      </c>
      <c r="F1362" s="2">
        <v>1988926.0</v>
      </c>
      <c r="G1362" s="2">
        <v>1861944.0</v>
      </c>
      <c r="H1362" s="2">
        <v>3850870.0</v>
      </c>
      <c r="I1362" s="2">
        <v>1803223.0</v>
      </c>
      <c r="J1362" s="2">
        <v>2047647.0</v>
      </c>
    </row>
    <row r="1363">
      <c r="A1363" s="2">
        <v>2026.0</v>
      </c>
      <c r="B1363" s="1" t="s">
        <v>1069</v>
      </c>
      <c r="C1363" s="2" t="s">
        <v>887</v>
      </c>
      <c r="D1363" s="2" t="s">
        <v>890</v>
      </c>
      <c r="E1363" s="2" t="s">
        <v>686</v>
      </c>
      <c r="F1363" s="2">
        <v>1020566.0</v>
      </c>
      <c r="G1363" s="2">
        <v>691074.0</v>
      </c>
      <c r="H1363" s="2">
        <v>1711640.0</v>
      </c>
      <c r="I1363" s="2">
        <v>223050.0</v>
      </c>
      <c r="J1363" s="2">
        <v>1488590.0</v>
      </c>
    </row>
    <row r="1364">
      <c r="A1364" s="2">
        <v>2026.0</v>
      </c>
      <c r="B1364" s="1" t="s">
        <v>1069</v>
      </c>
      <c r="C1364" s="2" t="s">
        <v>887</v>
      </c>
      <c r="D1364" s="2" t="s">
        <v>890</v>
      </c>
      <c r="E1364" s="2" t="s">
        <v>32</v>
      </c>
      <c r="F1364" s="2">
        <v>16003.0</v>
      </c>
      <c r="G1364" s="2">
        <v>22466.0</v>
      </c>
      <c r="H1364" s="2">
        <v>38469.0</v>
      </c>
      <c r="I1364" s="2">
        <v>12000.0</v>
      </c>
      <c r="J1364" s="2">
        <v>26469.0</v>
      </c>
    </row>
    <row r="1365">
      <c r="A1365" s="2">
        <v>2026.0</v>
      </c>
      <c r="B1365" s="1" t="s">
        <v>1069</v>
      </c>
      <c r="C1365" s="2" t="s">
        <v>887</v>
      </c>
      <c r="D1365" s="2" t="s">
        <v>890</v>
      </c>
      <c r="E1365" s="2" t="s">
        <v>92</v>
      </c>
      <c r="F1365" s="2">
        <v>1388673.0</v>
      </c>
      <c r="G1365" s="2">
        <v>3223768.0</v>
      </c>
      <c r="H1365" s="2">
        <v>4612441.0</v>
      </c>
      <c r="I1365" s="2">
        <v>3872557.0</v>
      </c>
      <c r="J1365" s="2">
        <v>739884.0</v>
      </c>
    </row>
    <row r="1366">
      <c r="A1366" s="2">
        <v>2026.0</v>
      </c>
      <c r="B1366" s="1" t="s">
        <v>1069</v>
      </c>
      <c r="C1366" s="2" t="s">
        <v>966</v>
      </c>
      <c r="D1366" s="2" t="s">
        <v>979</v>
      </c>
      <c r="E1366" s="2" t="s">
        <v>686</v>
      </c>
      <c r="F1366" s="2">
        <v>1604483.0</v>
      </c>
      <c r="G1366" s="2">
        <v>1251944.0</v>
      </c>
      <c r="H1366" s="2">
        <v>2856427.0</v>
      </c>
      <c r="I1366" s="2">
        <v>752483.0</v>
      </c>
      <c r="J1366" s="2">
        <v>2103944.0</v>
      </c>
    </row>
    <row r="1367">
      <c r="A1367" s="2">
        <v>2026.0</v>
      </c>
      <c r="B1367" s="1" t="s">
        <v>1069</v>
      </c>
      <c r="C1367" s="2" t="s">
        <v>966</v>
      </c>
      <c r="D1367" s="2" t="s">
        <v>979</v>
      </c>
      <c r="E1367" s="2" t="s">
        <v>32</v>
      </c>
      <c r="F1367" s="2">
        <v>89712.0</v>
      </c>
      <c r="G1367" s="2">
        <v>59752.0</v>
      </c>
      <c r="H1367" s="2">
        <v>149464.0</v>
      </c>
      <c r="I1367" s="2">
        <v>59206.0</v>
      </c>
      <c r="J1367" s="2">
        <v>90258.0</v>
      </c>
    </row>
    <row r="1368">
      <c r="A1368" s="2">
        <v>2026.0</v>
      </c>
      <c r="B1368" s="1" t="s">
        <v>1069</v>
      </c>
      <c r="C1368" s="2" t="s">
        <v>966</v>
      </c>
      <c r="D1368" s="2" t="s">
        <v>979</v>
      </c>
      <c r="E1368" s="2" t="s">
        <v>56</v>
      </c>
      <c r="F1368" s="2">
        <v>3103513.0</v>
      </c>
      <c r="G1368" s="2">
        <v>2283531.0</v>
      </c>
      <c r="H1368" s="2">
        <v>5387044.0</v>
      </c>
      <c r="I1368" s="2">
        <v>2874064.0</v>
      </c>
      <c r="J1368" s="2">
        <v>2512980.0</v>
      </c>
    </row>
    <row r="1369">
      <c r="A1369" s="2">
        <v>2026.0</v>
      </c>
      <c r="B1369" s="1" t="s">
        <v>1069</v>
      </c>
      <c r="C1369" s="2" t="s">
        <v>966</v>
      </c>
      <c r="D1369" s="2" t="s">
        <v>976</v>
      </c>
      <c r="E1369" s="2" t="s">
        <v>686</v>
      </c>
      <c r="F1369" s="2">
        <v>2548137.0</v>
      </c>
      <c r="G1369" s="2">
        <v>2025135.0</v>
      </c>
      <c r="H1369" s="2">
        <v>4573272.0</v>
      </c>
      <c r="I1369" s="2">
        <v>1140300.0</v>
      </c>
      <c r="J1369" s="2">
        <v>3432972.0</v>
      </c>
    </row>
    <row r="1370">
      <c r="A1370" s="2">
        <v>2026.0</v>
      </c>
      <c r="B1370" s="1" t="s">
        <v>1069</v>
      </c>
      <c r="C1370" s="2" t="s">
        <v>966</v>
      </c>
      <c r="D1370" s="2" t="s">
        <v>976</v>
      </c>
      <c r="E1370" s="2" t="s">
        <v>27</v>
      </c>
      <c r="F1370" s="2">
        <v>214759.0</v>
      </c>
      <c r="G1370" s="2">
        <v>1944089.0</v>
      </c>
      <c r="H1370" s="2">
        <v>2158848.0</v>
      </c>
      <c r="I1370" s="2">
        <v>2013947.0</v>
      </c>
      <c r="J1370" s="2">
        <v>144901.0</v>
      </c>
    </row>
    <row r="1371">
      <c r="A1371" s="2">
        <v>2026.0</v>
      </c>
      <c r="B1371" s="1" t="s">
        <v>1069</v>
      </c>
      <c r="C1371" s="2" t="s">
        <v>966</v>
      </c>
      <c r="D1371" s="2" t="s">
        <v>976</v>
      </c>
      <c r="E1371" s="2" t="s">
        <v>32</v>
      </c>
      <c r="F1371" s="2">
        <v>399370.0</v>
      </c>
      <c r="G1371" s="2">
        <v>58412.0</v>
      </c>
      <c r="H1371" s="2">
        <v>457782.0</v>
      </c>
      <c r="I1371" s="2">
        <v>156618.0</v>
      </c>
      <c r="J1371" s="2">
        <v>301164.0</v>
      </c>
    </row>
    <row r="1372">
      <c r="A1372" s="2">
        <v>2026.0</v>
      </c>
      <c r="B1372" s="1" t="s">
        <v>1069</v>
      </c>
      <c r="C1372" s="2" t="s">
        <v>966</v>
      </c>
      <c r="D1372" s="2" t="s">
        <v>976</v>
      </c>
      <c r="E1372" s="2" t="s">
        <v>56</v>
      </c>
      <c r="F1372" s="2">
        <v>3824369.0</v>
      </c>
      <c r="G1372" s="2">
        <v>1389225.0</v>
      </c>
      <c r="H1372" s="2">
        <v>5213594.0</v>
      </c>
      <c r="I1372" s="2">
        <v>2103341.0</v>
      </c>
      <c r="J1372" s="2">
        <v>3110253.0</v>
      </c>
    </row>
    <row r="1373">
      <c r="A1373" s="2">
        <v>2026.0</v>
      </c>
      <c r="B1373" s="1" t="s">
        <v>1069</v>
      </c>
      <c r="C1373" s="2" t="s">
        <v>966</v>
      </c>
      <c r="D1373" s="2" t="s">
        <v>973</v>
      </c>
      <c r="E1373" s="2" t="s">
        <v>686</v>
      </c>
      <c r="F1373" s="2">
        <v>4139363.0</v>
      </c>
      <c r="G1373" s="2">
        <v>2451598.0</v>
      </c>
      <c r="H1373" s="2">
        <v>6590961.0</v>
      </c>
      <c r="I1373" s="2">
        <v>1205278.0</v>
      </c>
      <c r="J1373" s="2">
        <v>5385683.0</v>
      </c>
    </row>
    <row r="1374">
      <c r="A1374" s="2">
        <v>2026.0</v>
      </c>
      <c r="B1374" s="1" t="s">
        <v>1069</v>
      </c>
      <c r="C1374" s="2" t="s">
        <v>966</v>
      </c>
      <c r="D1374" s="2" t="s">
        <v>973</v>
      </c>
      <c r="E1374" s="2" t="s">
        <v>27</v>
      </c>
      <c r="F1374" s="2">
        <v>237150.0</v>
      </c>
      <c r="G1374" s="2">
        <v>2078919.0</v>
      </c>
      <c r="H1374" s="2">
        <v>2316069.0</v>
      </c>
      <c r="I1374" s="2">
        <v>2118498.0</v>
      </c>
      <c r="J1374" s="2">
        <v>197571.0</v>
      </c>
    </row>
    <row r="1375">
      <c r="A1375" s="2">
        <v>2026.0</v>
      </c>
      <c r="B1375" s="1" t="s">
        <v>1069</v>
      </c>
      <c r="C1375" s="2" t="s">
        <v>966</v>
      </c>
      <c r="D1375" s="2" t="s">
        <v>973</v>
      </c>
      <c r="E1375" s="2" t="s">
        <v>394</v>
      </c>
      <c r="F1375" s="2">
        <v>5715877.0</v>
      </c>
      <c r="G1375" s="2">
        <v>1117397.0</v>
      </c>
      <c r="H1375" s="2">
        <v>6833274.0</v>
      </c>
      <c r="I1375" s="2">
        <v>878872.0</v>
      </c>
      <c r="J1375" s="2">
        <v>5954402.0</v>
      </c>
    </row>
    <row r="1376">
      <c r="A1376" s="2">
        <v>2026.0</v>
      </c>
      <c r="B1376" s="1" t="s">
        <v>1069</v>
      </c>
      <c r="C1376" s="2" t="s">
        <v>966</v>
      </c>
      <c r="D1376" s="2" t="s">
        <v>977</v>
      </c>
      <c r="E1376" s="2" t="s">
        <v>686</v>
      </c>
      <c r="F1376" s="2">
        <v>2211011.0</v>
      </c>
      <c r="G1376" s="2">
        <v>1862036.0</v>
      </c>
      <c r="H1376" s="2">
        <v>4073047.0</v>
      </c>
      <c r="I1376" s="2">
        <v>1263423.0</v>
      </c>
      <c r="J1376" s="2">
        <v>2809624.0</v>
      </c>
    </row>
    <row r="1377">
      <c r="A1377" s="2">
        <v>2026.0</v>
      </c>
      <c r="B1377" s="1" t="s">
        <v>1069</v>
      </c>
      <c r="C1377" s="2" t="s">
        <v>966</v>
      </c>
      <c r="D1377" s="2" t="s">
        <v>977</v>
      </c>
      <c r="E1377" s="2" t="s">
        <v>27</v>
      </c>
      <c r="F1377" s="2">
        <v>185968.0</v>
      </c>
      <c r="G1377" s="2">
        <v>3074497.0</v>
      </c>
      <c r="H1377" s="2">
        <v>3260465.0</v>
      </c>
      <c r="I1377" s="2">
        <v>2884501.0</v>
      </c>
      <c r="J1377" s="2">
        <v>375964.0</v>
      </c>
    </row>
    <row r="1378">
      <c r="A1378" s="2">
        <v>2026.0</v>
      </c>
      <c r="B1378" s="1" t="s">
        <v>1069</v>
      </c>
      <c r="C1378" s="2" t="s">
        <v>966</v>
      </c>
      <c r="D1378" s="2" t="s">
        <v>977</v>
      </c>
      <c r="E1378" s="2" t="s">
        <v>394</v>
      </c>
      <c r="F1378" s="2">
        <v>5193975.0</v>
      </c>
      <c r="G1378" s="2">
        <v>1509540.0</v>
      </c>
      <c r="H1378" s="2">
        <v>6703515.0</v>
      </c>
      <c r="I1378" s="2">
        <v>1962407.0</v>
      </c>
      <c r="J1378" s="2">
        <v>4741108.0</v>
      </c>
    </row>
    <row r="1379">
      <c r="A1379" s="2">
        <v>2026.0</v>
      </c>
      <c r="B1379" s="1" t="s">
        <v>1069</v>
      </c>
      <c r="C1379" s="2" t="s">
        <v>966</v>
      </c>
      <c r="D1379" s="2" t="s">
        <v>977</v>
      </c>
      <c r="E1379" s="2" t="s">
        <v>460</v>
      </c>
      <c r="F1379" s="2">
        <v>20953.0</v>
      </c>
      <c r="G1379" s="2">
        <v>39010.0</v>
      </c>
      <c r="H1379" s="2">
        <v>59963.0</v>
      </c>
      <c r="I1379" s="2">
        <v>51000.0</v>
      </c>
      <c r="J1379" s="2">
        <v>8963.0</v>
      </c>
    </row>
    <row r="1380">
      <c r="A1380" s="2">
        <v>2026.0</v>
      </c>
      <c r="B1380" s="1" t="s">
        <v>1069</v>
      </c>
      <c r="C1380" s="2" t="s">
        <v>966</v>
      </c>
      <c r="D1380" s="2" t="s">
        <v>971</v>
      </c>
      <c r="E1380" s="2" t="s">
        <v>686</v>
      </c>
      <c r="F1380" s="2">
        <v>2123511.0</v>
      </c>
      <c r="G1380" s="2">
        <v>1596525.0</v>
      </c>
      <c r="H1380" s="2">
        <v>3720036.0</v>
      </c>
      <c r="I1380" s="2">
        <v>890898.0</v>
      </c>
      <c r="J1380" s="2">
        <v>2829138.0</v>
      </c>
    </row>
    <row r="1381">
      <c r="A1381" s="2">
        <v>2026.0</v>
      </c>
      <c r="B1381" s="1" t="s">
        <v>1069</v>
      </c>
      <c r="C1381" s="2" t="s">
        <v>966</v>
      </c>
      <c r="D1381" s="2" t="s">
        <v>971</v>
      </c>
      <c r="E1381" s="2" t="s">
        <v>968</v>
      </c>
      <c r="F1381" s="2">
        <v>4560195.0</v>
      </c>
      <c r="G1381" s="2">
        <v>3157797.0</v>
      </c>
      <c r="H1381" s="2">
        <v>7717992.0</v>
      </c>
      <c r="I1381" s="2">
        <v>4230594.0</v>
      </c>
      <c r="J1381" s="2">
        <v>3487398.0</v>
      </c>
    </row>
    <row r="1382">
      <c r="A1382" s="2">
        <v>2026.0</v>
      </c>
      <c r="B1382" s="1" t="s">
        <v>1069</v>
      </c>
      <c r="C1382" s="2" t="s">
        <v>966</v>
      </c>
      <c r="D1382" s="2" t="s">
        <v>969</v>
      </c>
      <c r="E1382" s="2" t="s">
        <v>686</v>
      </c>
      <c r="F1382" s="2">
        <v>1549899.0</v>
      </c>
      <c r="G1382" s="2">
        <v>1338998.0</v>
      </c>
      <c r="H1382" s="2">
        <v>2888897.0</v>
      </c>
      <c r="I1382" s="2">
        <v>456486.0</v>
      </c>
      <c r="J1382" s="2">
        <v>2432411.0</v>
      </c>
    </row>
    <row r="1383">
      <c r="A1383" s="2">
        <v>2026.0</v>
      </c>
      <c r="B1383" s="1" t="s">
        <v>1069</v>
      </c>
      <c r="C1383" s="2" t="s">
        <v>966</v>
      </c>
      <c r="D1383" s="2" t="s">
        <v>969</v>
      </c>
      <c r="E1383" s="2" t="s">
        <v>27</v>
      </c>
      <c r="F1383" s="2">
        <v>121318.0</v>
      </c>
      <c r="G1383" s="2">
        <v>2207339.0</v>
      </c>
      <c r="H1383" s="2">
        <v>2328657.0</v>
      </c>
      <c r="I1383" s="2">
        <v>2088152.0</v>
      </c>
      <c r="J1383" s="2">
        <v>240505.0</v>
      </c>
    </row>
    <row r="1384">
      <c r="A1384" s="2">
        <v>2026.0</v>
      </c>
      <c r="B1384" s="1" t="s">
        <v>1069</v>
      </c>
      <c r="C1384" s="2" t="s">
        <v>966</v>
      </c>
      <c r="D1384" s="2" t="s">
        <v>969</v>
      </c>
      <c r="E1384" s="2" t="s">
        <v>394</v>
      </c>
      <c r="F1384" s="2">
        <v>2552187.0</v>
      </c>
      <c r="G1384" s="2">
        <v>968084.0</v>
      </c>
      <c r="H1384" s="2">
        <v>3520271.0</v>
      </c>
      <c r="I1384" s="2">
        <v>1443498.0</v>
      </c>
      <c r="J1384" s="2">
        <v>2076773.0</v>
      </c>
    </row>
    <row r="1385">
      <c r="A1385" s="2">
        <v>2026.0</v>
      </c>
      <c r="B1385" s="1" t="s">
        <v>1069</v>
      </c>
      <c r="C1385" s="2" t="s">
        <v>966</v>
      </c>
      <c r="D1385" s="2" t="s">
        <v>975</v>
      </c>
      <c r="E1385" s="2" t="s">
        <v>686</v>
      </c>
      <c r="F1385" s="2">
        <v>1777755.0</v>
      </c>
      <c r="G1385" s="2">
        <v>1703154.0</v>
      </c>
      <c r="H1385" s="2">
        <v>3480909.0</v>
      </c>
      <c r="I1385" s="2">
        <v>1623045.0</v>
      </c>
      <c r="J1385" s="2">
        <v>1857864.0</v>
      </c>
    </row>
    <row r="1386">
      <c r="A1386" s="2">
        <v>2026.0</v>
      </c>
      <c r="B1386" s="1" t="s">
        <v>1069</v>
      </c>
      <c r="C1386" s="2" t="s">
        <v>966</v>
      </c>
      <c r="D1386" s="2" t="s">
        <v>975</v>
      </c>
      <c r="E1386" s="2" t="s">
        <v>32</v>
      </c>
      <c r="F1386" s="2">
        <v>118054.0</v>
      </c>
      <c r="G1386" s="2">
        <v>66607.0</v>
      </c>
      <c r="H1386" s="2">
        <v>184661.0</v>
      </c>
      <c r="I1386" s="2">
        <v>103038.0</v>
      </c>
      <c r="J1386" s="2">
        <v>81623.0</v>
      </c>
    </row>
    <row r="1387">
      <c r="A1387" s="2">
        <v>2026.0</v>
      </c>
      <c r="B1387" s="1" t="s">
        <v>1069</v>
      </c>
      <c r="C1387" s="2" t="s">
        <v>966</v>
      </c>
      <c r="D1387" s="2" t="s">
        <v>975</v>
      </c>
      <c r="E1387" s="2" t="s">
        <v>56</v>
      </c>
      <c r="F1387" s="2">
        <v>2212080.0</v>
      </c>
      <c r="G1387" s="2">
        <v>2072376.0</v>
      </c>
      <c r="H1387" s="2">
        <v>4284456.0</v>
      </c>
      <c r="I1387" s="2">
        <v>2897056.0</v>
      </c>
      <c r="J1387" s="2">
        <v>1387400.0</v>
      </c>
    </row>
    <row r="1388">
      <c r="A1388" s="2">
        <v>2026.0</v>
      </c>
      <c r="B1388" s="1" t="s">
        <v>1069</v>
      </c>
      <c r="C1388" s="2" t="s">
        <v>966</v>
      </c>
      <c r="D1388" s="2" t="s">
        <v>1078</v>
      </c>
      <c r="E1388" s="2" t="s">
        <v>686</v>
      </c>
      <c r="F1388" s="2">
        <v>246480.0</v>
      </c>
      <c r="G1388" s="2">
        <v>501677.0</v>
      </c>
      <c r="H1388" s="2">
        <v>748157.0</v>
      </c>
      <c r="I1388" s="2">
        <v>167775.0</v>
      </c>
      <c r="J1388" s="2">
        <v>580382.0</v>
      </c>
    </row>
    <row r="1389">
      <c r="A1389" s="2">
        <v>2026.0</v>
      </c>
      <c r="B1389" s="1" t="s">
        <v>1069</v>
      </c>
      <c r="C1389" s="2" t="s">
        <v>966</v>
      </c>
      <c r="D1389" s="2" t="s">
        <v>1078</v>
      </c>
      <c r="E1389" s="2" t="s">
        <v>27</v>
      </c>
      <c r="F1389" s="2">
        <v>397319.0</v>
      </c>
      <c r="G1389" s="2">
        <v>1526871.0</v>
      </c>
      <c r="H1389" s="2">
        <v>1924190.0</v>
      </c>
      <c r="I1389" s="2">
        <v>1781641.0</v>
      </c>
      <c r="J1389" s="2">
        <v>142549.0</v>
      </c>
    </row>
    <row r="1390">
      <c r="A1390" s="2">
        <v>2026.0</v>
      </c>
      <c r="B1390" s="1" t="s">
        <v>1069</v>
      </c>
      <c r="C1390" s="2" t="s">
        <v>966</v>
      </c>
      <c r="D1390" s="2" t="s">
        <v>1078</v>
      </c>
      <c r="E1390" s="2" t="s">
        <v>394</v>
      </c>
      <c r="F1390" s="2">
        <v>525847.0</v>
      </c>
      <c r="G1390" s="2">
        <v>296672.0</v>
      </c>
      <c r="H1390" s="2">
        <v>822519.0</v>
      </c>
      <c r="I1390" s="2">
        <v>160771.0</v>
      </c>
      <c r="J1390" s="2">
        <v>661748.0</v>
      </c>
    </row>
    <row r="1391">
      <c r="A1391" s="2">
        <v>2026.0</v>
      </c>
      <c r="B1391" s="1" t="s">
        <v>1069</v>
      </c>
      <c r="C1391" s="2" t="s">
        <v>966</v>
      </c>
      <c r="D1391" s="2" t="s">
        <v>1078</v>
      </c>
      <c r="E1391" s="2" t="s">
        <v>460</v>
      </c>
      <c r="F1391" s="2">
        <v>25360.0</v>
      </c>
      <c r="G1391" s="2">
        <v>35543.0</v>
      </c>
      <c r="H1391" s="2">
        <v>60903.0</v>
      </c>
      <c r="I1391" s="2">
        <v>50095.0</v>
      </c>
      <c r="J1391" s="2">
        <v>10808.0</v>
      </c>
    </row>
    <row r="1392">
      <c r="A1392" s="2">
        <v>2026.0</v>
      </c>
      <c r="B1392" s="1" t="s">
        <v>1069</v>
      </c>
      <c r="C1392" s="2" t="s">
        <v>966</v>
      </c>
      <c r="D1392" s="2" t="s">
        <v>967</v>
      </c>
      <c r="E1392" s="2" t="s">
        <v>27</v>
      </c>
      <c r="F1392" s="2">
        <v>298718.0</v>
      </c>
      <c r="G1392" s="2">
        <v>1852899.0</v>
      </c>
      <c r="H1392" s="2">
        <v>2151617.0</v>
      </c>
      <c r="I1392" s="2">
        <v>1856057.0</v>
      </c>
      <c r="J1392" s="2">
        <v>295560.0</v>
      </c>
    </row>
    <row r="1393">
      <c r="A1393" s="2">
        <v>2026.0</v>
      </c>
      <c r="B1393" s="1" t="s">
        <v>1069</v>
      </c>
      <c r="C1393" s="2" t="s">
        <v>966</v>
      </c>
      <c r="D1393" s="2" t="s">
        <v>967</v>
      </c>
      <c r="E1393" s="2" t="s">
        <v>686</v>
      </c>
      <c r="F1393" s="2">
        <v>2110548.0</v>
      </c>
      <c r="G1393" s="2">
        <v>1506893.0</v>
      </c>
      <c r="H1393" s="2">
        <v>3617441.0</v>
      </c>
      <c r="I1393" s="2">
        <v>1469521.0</v>
      </c>
      <c r="J1393" s="2">
        <v>2147920.0</v>
      </c>
    </row>
    <row r="1394">
      <c r="A1394" s="2">
        <v>2026.0</v>
      </c>
      <c r="B1394" s="1" t="s">
        <v>1069</v>
      </c>
      <c r="C1394" s="2" t="s">
        <v>966</v>
      </c>
      <c r="D1394" s="2" t="s">
        <v>967</v>
      </c>
      <c r="E1394" s="2" t="s">
        <v>394</v>
      </c>
      <c r="F1394" s="2">
        <v>1760567.0</v>
      </c>
      <c r="G1394" s="2">
        <v>558125.0</v>
      </c>
      <c r="H1394" s="2">
        <v>2318692.0</v>
      </c>
      <c r="I1394" s="2">
        <v>1014128.0</v>
      </c>
      <c r="J1394" s="2">
        <v>1304564.0</v>
      </c>
    </row>
    <row r="1395">
      <c r="A1395" s="2">
        <v>2026.0</v>
      </c>
      <c r="B1395" s="1" t="s">
        <v>1069</v>
      </c>
      <c r="C1395" s="2" t="s">
        <v>966</v>
      </c>
      <c r="D1395" s="2" t="s">
        <v>1079</v>
      </c>
      <c r="E1395" s="2" t="s">
        <v>686</v>
      </c>
      <c r="F1395" s="2">
        <v>3880110.0</v>
      </c>
      <c r="G1395" s="2">
        <v>2838600.0</v>
      </c>
      <c r="H1395" s="2">
        <v>6718710.0</v>
      </c>
      <c r="I1395" s="2">
        <v>734702.0</v>
      </c>
      <c r="J1395" s="2">
        <v>5984008.0</v>
      </c>
    </row>
    <row r="1396">
      <c r="A1396" s="2">
        <v>2026.0</v>
      </c>
      <c r="B1396" s="1" t="s">
        <v>1069</v>
      </c>
      <c r="C1396" s="2" t="s">
        <v>966</v>
      </c>
      <c r="D1396" s="2" t="s">
        <v>1079</v>
      </c>
      <c r="E1396" s="2" t="s">
        <v>27</v>
      </c>
      <c r="F1396" s="2">
        <v>304756.0</v>
      </c>
      <c r="G1396" s="2">
        <v>2432100.0</v>
      </c>
      <c r="H1396" s="2">
        <v>2736856.0</v>
      </c>
      <c r="I1396" s="2">
        <v>2473237.0</v>
      </c>
      <c r="J1396" s="2">
        <v>263619.0</v>
      </c>
    </row>
    <row r="1397">
      <c r="A1397" s="2">
        <v>2026.0</v>
      </c>
      <c r="B1397" s="1" t="s">
        <v>1069</v>
      </c>
      <c r="C1397" s="2" t="s">
        <v>966</v>
      </c>
      <c r="D1397" s="2" t="s">
        <v>1079</v>
      </c>
      <c r="E1397" s="2" t="s">
        <v>32</v>
      </c>
      <c r="F1397" s="2">
        <v>349812.0</v>
      </c>
      <c r="G1397" s="2">
        <v>288938.0</v>
      </c>
      <c r="H1397" s="2">
        <v>638750.0</v>
      </c>
      <c r="I1397" s="2">
        <v>305920.0</v>
      </c>
      <c r="J1397" s="2">
        <v>332830.0</v>
      </c>
    </row>
    <row r="1398">
      <c r="A1398" s="2">
        <v>2026.0</v>
      </c>
      <c r="B1398" s="1" t="s">
        <v>1069</v>
      </c>
      <c r="C1398" s="2" t="s">
        <v>966</v>
      </c>
      <c r="D1398" s="2" t="s">
        <v>1079</v>
      </c>
      <c r="E1398" s="2" t="s">
        <v>56</v>
      </c>
      <c r="F1398" s="2">
        <v>4590971.0</v>
      </c>
      <c r="G1398" s="2">
        <v>1041170.0</v>
      </c>
      <c r="H1398" s="2">
        <v>5632141.0</v>
      </c>
      <c r="I1398" s="2">
        <v>897046.0</v>
      </c>
      <c r="J1398" s="2">
        <v>4735095.0</v>
      </c>
    </row>
    <row r="1399">
      <c r="A1399" s="2">
        <v>2026.0</v>
      </c>
      <c r="B1399" s="1" t="s">
        <v>1069</v>
      </c>
      <c r="C1399" s="2" t="s">
        <v>526</v>
      </c>
      <c r="D1399" s="2" t="s">
        <v>526</v>
      </c>
      <c r="E1399" s="2" t="s">
        <v>32</v>
      </c>
      <c r="F1399" s="2">
        <v>177515.0</v>
      </c>
      <c r="G1399" s="2">
        <v>303177.0</v>
      </c>
      <c r="H1399" s="2">
        <v>480692.0</v>
      </c>
      <c r="I1399" s="2">
        <v>449548.0</v>
      </c>
      <c r="J1399" s="2">
        <v>31144.0</v>
      </c>
    </row>
    <row r="1400">
      <c r="A1400" s="2">
        <v>2026.0</v>
      </c>
      <c r="B1400" s="1" t="s">
        <v>1069</v>
      </c>
      <c r="C1400" s="2" t="s">
        <v>526</v>
      </c>
      <c r="D1400" s="2" t="s">
        <v>526</v>
      </c>
      <c r="E1400" s="2" t="s">
        <v>92</v>
      </c>
      <c r="F1400" s="2">
        <v>2318831.0</v>
      </c>
      <c r="G1400" s="2">
        <v>2865669.0</v>
      </c>
      <c r="H1400" s="2">
        <v>5184500.0</v>
      </c>
      <c r="I1400" s="2">
        <v>3722314.0</v>
      </c>
      <c r="J1400" s="2">
        <v>1462186.0</v>
      </c>
    </row>
    <row r="1401">
      <c r="A1401" s="2">
        <v>2026.0</v>
      </c>
      <c r="B1401" s="1" t="s">
        <v>1069</v>
      </c>
      <c r="C1401" s="2" t="s">
        <v>526</v>
      </c>
      <c r="D1401" s="2" t="s">
        <v>788</v>
      </c>
      <c r="E1401" s="2" t="s">
        <v>686</v>
      </c>
      <c r="F1401" s="2">
        <v>1712155.0</v>
      </c>
      <c r="G1401" s="2">
        <v>677487.0</v>
      </c>
      <c r="H1401" s="2">
        <v>2389642.0</v>
      </c>
      <c r="I1401" s="2">
        <v>306476.0</v>
      </c>
      <c r="J1401" s="2">
        <v>2083166.0</v>
      </c>
    </row>
    <row r="1402">
      <c r="A1402" s="2">
        <v>2026.0</v>
      </c>
      <c r="B1402" s="1" t="s">
        <v>1069</v>
      </c>
      <c r="C1402" s="2" t="s">
        <v>526</v>
      </c>
      <c r="D1402" s="2" t="s">
        <v>788</v>
      </c>
      <c r="E1402" s="2" t="s">
        <v>279</v>
      </c>
      <c r="F1402" s="2">
        <v>786396.0</v>
      </c>
      <c r="G1402" s="2">
        <v>976340.0</v>
      </c>
      <c r="H1402" s="2">
        <v>1762736.0</v>
      </c>
      <c r="I1402" s="2">
        <v>322256.0</v>
      </c>
      <c r="J1402" s="2">
        <v>1440480.0</v>
      </c>
    </row>
    <row r="1403">
      <c r="A1403" s="2">
        <v>2026.0</v>
      </c>
      <c r="B1403" s="1" t="s">
        <v>1069</v>
      </c>
      <c r="C1403" s="2" t="s">
        <v>526</v>
      </c>
      <c r="D1403" s="2" t="s">
        <v>788</v>
      </c>
      <c r="E1403" s="2" t="s">
        <v>32</v>
      </c>
      <c r="F1403" s="2">
        <v>81871.0</v>
      </c>
      <c r="G1403" s="2">
        <v>2280221.0</v>
      </c>
      <c r="H1403" s="2">
        <v>2362092.0</v>
      </c>
      <c r="I1403" s="2">
        <v>2337520.0</v>
      </c>
      <c r="J1403" s="2">
        <v>24572.0</v>
      </c>
    </row>
    <row r="1404">
      <c r="A1404" s="2">
        <v>2026.0</v>
      </c>
      <c r="B1404" s="1" t="s">
        <v>1069</v>
      </c>
      <c r="C1404" s="2" t="s">
        <v>526</v>
      </c>
      <c r="D1404" s="2" t="s">
        <v>793</v>
      </c>
      <c r="E1404" s="2" t="s">
        <v>686</v>
      </c>
      <c r="F1404" s="2">
        <v>2913231.0</v>
      </c>
      <c r="G1404" s="2">
        <v>1230801.0</v>
      </c>
      <c r="H1404" s="2">
        <v>4144032.0</v>
      </c>
      <c r="I1404" s="2">
        <v>1196036.0</v>
      </c>
      <c r="J1404" s="2">
        <v>2947996.0</v>
      </c>
    </row>
    <row r="1405">
      <c r="A1405" s="2">
        <v>2026.0</v>
      </c>
      <c r="B1405" s="1" t="s">
        <v>1069</v>
      </c>
      <c r="C1405" s="2" t="s">
        <v>526</v>
      </c>
      <c r="D1405" s="2" t="s">
        <v>793</v>
      </c>
      <c r="E1405" s="2" t="s">
        <v>279</v>
      </c>
      <c r="F1405" s="2">
        <v>3065252.0</v>
      </c>
      <c r="G1405" s="2">
        <v>3687084.0</v>
      </c>
      <c r="H1405" s="2">
        <v>6752336.0</v>
      </c>
      <c r="I1405" s="2">
        <v>4888095.0</v>
      </c>
      <c r="J1405" s="2">
        <v>1864241.0</v>
      </c>
    </row>
    <row r="1406">
      <c r="A1406" s="2">
        <v>2026.0</v>
      </c>
      <c r="B1406" s="1" t="s">
        <v>1069</v>
      </c>
      <c r="C1406" s="2" t="s">
        <v>526</v>
      </c>
      <c r="D1406" s="2" t="s">
        <v>793</v>
      </c>
      <c r="E1406" s="2" t="s">
        <v>32</v>
      </c>
      <c r="F1406" s="2">
        <v>115623.0</v>
      </c>
      <c r="G1406" s="2">
        <v>478506.0</v>
      </c>
      <c r="H1406" s="2">
        <v>594129.0</v>
      </c>
      <c r="I1406" s="2">
        <v>791.0</v>
      </c>
      <c r="J1406" s="2">
        <v>593338.0</v>
      </c>
    </row>
    <row r="1407">
      <c r="A1407" s="2">
        <v>2026.0</v>
      </c>
      <c r="B1407" s="1" t="s">
        <v>1069</v>
      </c>
      <c r="C1407" s="2" t="s">
        <v>526</v>
      </c>
      <c r="D1407" s="2" t="s">
        <v>199</v>
      </c>
      <c r="E1407" s="2" t="s">
        <v>686</v>
      </c>
      <c r="F1407" s="2">
        <v>504987.0</v>
      </c>
      <c r="G1407" s="2">
        <v>344168.0</v>
      </c>
      <c r="H1407" s="2">
        <v>849155.0</v>
      </c>
      <c r="I1407" s="2">
        <v>20000.0</v>
      </c>
      <c r="J1407" s="2">
        <v>829155.0</v>
      </c>
    </row>
    <row r="1408">
      <c r="A1408" s="2">
        <v>2026.0</v>
      </c>
      <c r="B1408" s="1" t="s">
        <v>1069</v>
      </c>
      <c r="C1408" s="2" t="s">
        <v>526</v>
      </c>
      <c r="E1408" s="2" t="s">
        <v>32</v>
      </c>
      <c r="F1408" s="2">
        <v>37365.0</v>
      </c>
      <c r="G1408" s="2">
        <v>10000.0</v>
      </c>
      <c r="H1408" s="2">
        <v>47365.0</v>
      </c>
      <c r="I1408" s="2">
        <v>44258.0</v>
      </c>
      <c r="J1408" s="2">
        <v>3107.0</v>
      </c>
    </row>
    <row r="1409">
      <c r="A1409" s="2">
        <v>2026.0</v>
      </c>
      <c r="B1409" s="1" t="s">
        <v>1069</v>
      </c>
      <c r="C1409" s="2" t="s">
        <v>526</v>
      </c>
      <c r="E1409" s="2" t="s">
        <v>92</v>
      </c>
      <c r="F1409" s="2">
        <v>728518.0</v>
      </c>
      <c r="G1409" s="2">
        <v>2656554.0</v>
      </c>
      <c r="H1409" s="2">
        <v>3385072.0</v>
      </c>
      <c r="I1409" s="2">
        <v>2586142.0</v>
      </c>
      <c r="J1409" s="2">
        <v>798930.0</v>
      </c>
    </row>
    <row r="1410">
      <c r="A1410" s="2">
        <v>2026.0</v>
      </c>
      <c r="B1410" s="1" t="s">
        <v>1069</v>
      </c>
      <c r="C1410" s="2" t="s">
        <v>526</v>
      </c>
      <c r="D1410" s="2" t="s">
        <v>790</v>
      </c>
      <c r="E1410" s="2" t="s">
        <v>686</v>
      </c>
      <c r="F1410" s="2">
        <v>954780.0</v>
      </c>
      <c r="G1410" s="2">
        <v>940489.0</v>
      </c>
      <c r="H1410" s="2">
        <v>1895269.0</v>
      </c>
      <c r="I1410" s="2">
        <v>659763.0</v>
      </c>
      <c r="J1410" s="2">
        <v>1235506.0</v>
      </c>
    </row>
    <row r="1411">
      <c r="A1411" s="2">
        <v>2026.0</v>
      </c>
      <c r="B1411" s="1" t="s">
        <v>1069</v>
      </c>
      <c r="C1411" s="2" t="s">
        <v>526</v>
      </c>
      <c r="E1411" s="2" t="s">
        <v>32</v>
      </c>
      <c r="F1411" s="2">
        <v>32301.0</v>
      </c>
      <c r="G1411" s="2">
        <v>111053.0</v>
      </c>
      <c r="H1411" s="2">
        <v>143354.0</v>
      </c>
      <c r="I1411" s="2">
        <v>101059.0</v>
      </c>
      <c r="J1411" s="2">
        <v>42295.0</v>
      </c>
    </row>
    <row r="1412">
      <c r="A1412" s="2">
        <v>2026.0</v>
      </c>
      <c r="B1412" s="1" t="s">
        <v>1069</v>
      </c>
      <c r="C1412" s="2" t="s">
        <v>526</v>
      </c>
      <c r="E1412" s="2" t="s">
        <v>92</v>
      </c>
      <c r="F1412" s="2">
        <v>1806247.0</v>
      </c>
      <c r="G1412" s="2">
        <v>3655904.0</v>
      </c>
      <c r="H1412" s="2">
        <v>5462151.0</v>
      </c>
      <c r="I1412" s="2">
        <v>3516711.0</v>
      </c>
      <c r="J1412" s="2">
        <v>1945440.0</v>
      </c>
    </row>
    <row r="1413">
      <c r="A1413" s="2">
        <v>2026.0</v>
      </c>
      <c r="B1413" s="1" t="s">
        <v>1069</v>
      </c>
      <c r="C1413" s="2" t="s">
        <v>526</v>
      </c>
      <c r="D1413" s="2" t="s">
        <v>198</v>
      </c>
      <c r="E1413" s="2" t="s">
        <v>686</v>
      </c>
      <c r="F1413" s="2">
        <v>3606880.0</v>
      </c>
      <c r="G1413" s="2">
        <v>3674239.0</v>
      </c>
      <c r="H1413" s="2">
        <v>7281119.0</v>
      </c>
      <c r="I1413" s="2">
        <v>3817566.0</v>
      </c>
      <c r="J1413" s="2">
        <v>3463553.0</v>
      </c>
    </row>
    <row r="1414">
      <c r="A1414" s="2">
        <v>2026.0</v>
      </c>
      <c r="B1414" s="1" t="s">
        <v>1069</v>
      </c>
      <c r="C1414" s="2" t="s">
        <v>526</v>
      </c>
      <c r="E1414" s="2" t="s">
        <v>279</v>
      </c>
      <c r="F1414" s="2">
        <v>4921080.0</v>
      </c>
      <c r="G1414" s="2">
        <v>4577255.0</v>
      </c>
      <c r="H1414" s="2">
        <v>9498335.0</v>
      </c>
      <c r="I1414" s="2">
        <v>4942993.0</v>
      </c>
      <c r="J1414" s="2">
        <v>4555342.0</v>
      </c>
    </row>
    <row r="1415">
      <c r="A1415" s="2">
        <v>2026.0</v>
      </c>
      <c r="B1415" s="1" t="s">
        <v>1069</v>
      </c>
      <c r="C1415" s="2" t="s">
        <v>526</v>
      </c>
      <c r="E1415" s="2" t="s">
        <v>32</v>
      </c>
      <c r="F1415" s="2">
        <v>130245.0</v>
      </c>
      <c r="G1415" s="2">
        <v>146038.0</v>
      </c>
      <c r="H1415" s="2">
        <v>276283.0</v>
      </c>
      <c r="I1415" s="2">
        <v>77760.0</v>
      </c>
      <c r="J1415" s="2">
        <v>198523.0</v>
      </c>
    </row>
    <row r="1416">
      <c r="A1416" s="2">
        <v>2026.0</v>
      </c>
      <c r="B1416" s="1" t="s">
        <v>1069</v>
      </c>
      <c r="C1416" s="2" t="s">
        <v>746</v>
      </c>
      <c r="D1416" s="2" t="s">
        <v>752</v>
      </c>
      <c r="E1416" s="2" t="s">
        <v>686</v>
      </c>
      <c r="F1416" s="2">
        <v>1847662.0</v>
      </c>
      <c r="G1416" s="2">
        <v>1473722.0</v>
      </c>
      <c r="H1416" s="2">
        <v>3321384.0</v>
      </c>
      <c r="I1416" s="2">
        <v>945651.0</v>
      </c>
      <c r="J1416" s="2">
        <v>2375733.0</v>
      </c>
    </row>
    <row r="1417">
      <c r="A1417" s="2">
        <v>2026.0</v>
      </c>
      <c r="B1417" s="1" t="s">
        <v>1069</v>
      </c>
      <c r="C1417" s="2" t="s">
        <v>746</v>
      </c>
      <c r="E1417" s="2" t="s">
        <v>32</v>
      </c>
      <c r="F1417" s="2">
        <v>6974.0</v>
      </c>
      <c r="G1417" s="2">
        <v>78589.0</v>
      </c>
      <c r="H1417" s="2">
        <v>85563.0</v>
      </c>
      <c r="I1417" s="2">
        <v>85021.0</v>
      </c>
      <c r="J1417" s="2">
        <v>542.0</v>
      </c>
    </row>
    <row r="1418">
      <c r="A1418" s="2">
        <v>2026.0</v>
      </c>
      <c r="B1418" s="1" t="s">
        <v>1069</v>
      </c>
      <c r="C1418" s="2" t="s">
        <v>746</v>
      </c>
      <c r="E1418" s="2" t="s">
        <v>92</v>
      </c>
      <c r="F1418" s="2">
        <v>598712.0</v>
      </c>
      <c r="G1418" s="2">
        <v>2975857.0</v>
      </c>
      <c r="H1418" s="2">
        <v>3574569.0</v>
      </c>
      <c r="I1418" s="2">
        <v>3543369.0</v>
      </c>
      <c r="J1418" s="2">
        <v>31200.0</v>
      </c>
    </row>
    <row r="1419">
      <c r="A1419" s="2">
        <v>2026.0</v>
      </c>
      <c r="B1419" s="1" t="s">
        <v>1069</v>
      </c>
      <c r="C1419" s="2" t="s">
        <v>746</v>
      </c>
      <c r="D1419" s="2" t="s">
        <v>1080</v>
      </c>
      <c r="E1419" s="2" t="s">
        <v>686</v>
      </c>
      <c r="F1419" s="2">
        <v>1825299.0</v>
      </c>
      <c r="G1419" s="2">
        <v>1829497.0</v>
      </c>
      <c r="H1419" s="2">
        <v>3654796.0</v>
      </c>
      <c r="I1419" s="2">
        <v>650380.0</v>
      </c>
      <c r="J1419" s="2">
        <v>3004416.0</v>
      </c>
    </row>
    <row r="1420">
      <c r="A1420" s="2">
        <v>2026.0</v>
      </c>
      <c r="B1420" s="1" t="s">
        <v>1069</v>
      </c>
      <c r="C1420" s="2" t="s">
        <v>746</v>
      </c>
      <c r="E1420" s="2" t="s">
        <v>914</v>
      </c>
      <c r="F1420" s="2">
        <v>1288951.0</v>
      </c>
      <c r="G1420" s="2">
        <v>2038955.0</v>
      </c>
      <c r="H1420" s="2">
        <v>3327906.0</v>
      </c>
      <c r="I1420" s="2">
        <v>2028551.0</v>
      </c>
      <c r="J1420" s="2">
        <v>1299355.0</v>
      </c>
    </row>
    <row r="1421">
      <c r="A1421" s="2">
        <v>2026.0</v>
      </c>
      <c r="B1421" s="1" t="s">
        <v>1069</v>
      </c>
      <c r="C1421" s="2" t="s">
        <v>746</v>
      </c>
      <c r="E1421" s="2" t="s">
        <v>56</v>
      </c>
      <c r="F1421" s="2">
        <v>3039423.0</v>
      </c>
      <c r="G1421" s="2">
        <v>638456.0</v>
      </c>
      <c r="H1421" s="2">
        <v>3677879.0</v>
      </c>
      <c r="I1421" s="2">
        <v>2322729.0</v>
      </c>
      <c r="J1421" s="2">
        <v>1355150.0</v>
      </c>
    </row>
    <row r="1422">
      <c r="A1422" s="2">
        <v>2026.0</v>
      </c>
      <c r="B1422" s="1" t="s">
        <v>1069</v>
      </c>
      <c r="C1422" s="2" t="s">
        <v>746</v>
      </c>
      <c r="D1422" s="2" t="s">
        <v>747</v>
      </c>
      <c r="E1422" s="2" t="s">
        <v>1081</v>
      </c>
      <c r="F1422" s="2">
        <v>51992.0</v>
      </c>
      <c r="G1422" s="2">
        <v>92021.0</v>
      </c>
      <c r="H1422" s="2">
        <v>144013.0</v>
      </c>
      <c r="I1422" s="2">
        <v>122250.0</v>
      </c>
      <c r="J1422" s="2">
        <v>21763.0</v>
      </c>
    </row>
    <row r="1423">
      <c r="A1423" s="2">
        <v>2026.0</v>
      </c>
      <c r="B1423" s="1" t="s">
        <v>1069</v>
      </c>
      <c r="C1423" s="2" t="s">
        <v>746</v>
      </c>
      <c r="E1423" s="2" t="s">
        <v>686</v>
      </c>
      <c r="F1423" s="2">
        <v>3285132.0</v>
      </c>
      <c r="G1423" s="2">
        <v>1459458.0</v>
      </c>
      <c r="H1423" s="2">
        <v>4744590.0</v>
      </c>
      <c r="I1423" s="2">
        <v>2068193.0</v>
      </c>
      <c r="J1423" s="2">
        <v>2676397.0</v>
      </c>
    </row>
    <row r="1424">
      <c r="A1424" s="2">
        <v>2026.0</v>
      </c>
      <c r="B1424" s="1" t="s">
        <v>1069</v>
      </c>
      <c r="C1424" s="2" t="s">
        <v>746</v>
      </c>
      <c r="E1424" s="2" t="s">
        <v>27</v>
      </c>
      <c r="F1424" s="2">
        <v>168323.0</v>
      </c>
      <c r="G1424" s="2">
        <v>1689814.0</v>
      </c>
      <c r="H1424" s="2">
        <v>1858137.0</v>
      </c>
      <c r="I1424" s="2">
        <v>1832913.0</v>
      </c>
      <c r="J1424" s="2">
        <v>25224.0</v>
      </c>
    </row>
    <row r="1425">
      <c r="A1425" s="2">
        <v>2026.0</v>
      </c>
      <c r="B1425" s="1" t="s">
        <v>1069</v>
      </c>
      <c r="C1425" s="2" t="s">
        <v>746</v>
      </c>
      <c r="E1425" s="2" t="s">
        <v>56</v>
      </c>
      <c r="F1425" s="2">
        <v>331545.0</v>
      </c>
      <c r="G1425" s="2">
        <v>651396.0</v>
      </c>
      <c r="H1425" s="2">
        <v>982941.0</v>
      </c>
      <c r="I1425" s="2">
        <v>966260.0</v>
      </c>
      <c r="J1425" s="2">
        <v>16681.0</v>
      </c>
    </row>
    <row r="1426">
      <c r="A1426" s="2">
        <v>2026.0</v>
      </c>
      <c r="B1426" s="1" t="s">
        <v>1069</v>
      </c>
      <c r="C1426" s="2" t="s">
        <v>746</v>
      </c>
      <c r="D1426" s="2" t="s">
        <v>193</v>
      </c>
      <c r="E1426" s="2" t="s">
        <v>686</v>
      </c>
      <c r="F1426" s="2">
        <v>2855337.0</v>
      </c>
      <c r="G1426" s="2">
        <v>1809453.0</v>
      </c>
      <c r="H1426" s="2">
        <v>4664790.0</v>
      </c>
      <c r="I1426" s="2">
        <v>1325600.0</v>
      </c>
      <c r="J1426" s="2">
        <v>3339190.0</v>
      </c>
    </row>
    <row r="1427">
      <c r="A1427" s="2">
        <v>2026.0</v>
      </c>
      <c r="B1427" s="1" t="s">
        <v>1069</v>
      </c>
      <c r="C1427" s="2" t="s">
        <v>746</v>
      </c>
      <c r="E1427" s="2" t="s">
        <v>27</v>
      </c>
      <c r="F1427" s="2">
        <v>525680.0</v>
      </c>
      <c r="G1427" s="2">
        <v>3063204.0</v>
      </c>
      <c r="H1427" s="2">
        <v>3588884.0</v>
      </c>
      <c r="I1427" s="2">
        <v>3345538.0</v>
      </c>
      <c r="J1427" s="2">
        <v>243346.0</v>
      </c>
    </row>
    <row r="1428">
      <c r="A1428" s="2">
        <v>2026.0</v>
      </c>
      <c r="B1428" s="1" t="s">
        <v>1069</v>
      </c>
      <c r="C1428" s="2" t="s">
        <v>746</v>
      </c>
      <c r="E1428" s="2" t="s">
        <v>394</v>
      </c>
      <c r="F1428" s="2">
        <v>1555549.0</v>
      </c>
      <c r="G1428" s="2">
        <v>686254.0</v>
      </c>
      <c r="H1428" s="2">
        <v>2241803.0</v>
      </c>
      <c r="I1428" s="2">
        <v>598708.0</v>
      </c>
      <c r="J1428" s="2">
        <v>1643095.0</v>
      </c>
    </row>
    <row r="1429">
      <c r="A1429" s="2">
        <v>2026.0</v>
      </c>
      <c r="B1429" s="1" t="s">
        <v>1069</v>
      </c>
      <c r="C1429" s="2" t="s">
        <v>176</v>
      </c>
      <c r="D1429" s="2" t="s">
        <v>177</v>
      </c>
      <c r="E1429" s="2" t="s">
        <v>686</v>
      </c>
      <c r="F1429" s="2">
        <v>2334305.0</v>
      </c>
      <c r="G1429" s="2">
        <v>1730224.0</v>
      </c>
      <c r="H1429" s="2">
        <v>4064529.0</v>
      </c>
      <c r="I1429" s="2">
        <v>1656184.0</v>
      </c>
      <c r="J1429" s="2">
        <v>2408345.0</v>
      </c>
    </row>
    <row r="1430">
      <c r="A1430" s="2">
        <v>2026.0</v>
      </c>
      <c r="B1430" s="1" t="s">
        <v>1069</v>
      </c>
      <c r="C1430" s="2" t="s">
        <v>176</v>
      </c>
      <c r="E1430" s="2" t="s">
        <v>32</v>
      </c>
      <c r="F1430" s="2">
        <v>134217.0</v>
      </c>
      <c r="G1430" s="2">
        <v>317453.0</v>
      </c>
      <c r="H1430" s="2">
        <v>451670.0</v>
      </c>
      <c r="I1430" s="2">
        <v>189959.0</v>
      </c>
      <c r="J1430" s="2">
        <v>261711.0</v>
      </c>
    </row>
    <row r="1431">
      <c r="A1431" s="2">
        <v>2026.0</v>
      </c>
      <c r="B1431" s="1" t="s">
        <v>1069</v>
      </c>
      <c r="C1431" s="2" t="s">
        <v>176</v>
      </c>
      <c r="E1431" s="2" t="s">
        <v>960</v>
      </c>
      <c r="F1431" s="2">
        <v>5097.0</v>
      </c>
      <c r="G1431" s="2">
        <v>97805.0</v>
      </c>
      <c r="H1431" s="2">
        <v>102902.0</v>
      </c>
      <c r="I1431" s="2">
        <v>0.0</v>
      </c>
      <c r="J1431" s="2">
        <v>102902.0</v>
      </c>
    </row>
    <row r="1432">
      <c r="A1432" s="2">
        <v>2026.0</v>
      </c>
      <c r="B1432" s="1" t="s">
        <v>1069</v>
      </c>
      <c r="C1432" s="2" t="s">
        <v>176</v>
      </c>
      <c r="E1432" s="2" t="s">
        <v>56</v>
      </c>
      <c r="F1432" s="2">
        <v>4951287.0</v>
      </c>
      <c r="G1432" s="2">
        <v>3316195.0</v>
      </c>
      <c r="H1432" s="2">
        <v>8267482.0</v>
      </c>
      <c r="I1432" s="2">
        <v>4278156.0</v>
      </c>
      <c r="J1432" s="2">
        <v>3989326.0</v>
      </c>
    </row>
    <row r="1433">
      <c r="A1433" s="2">
        <v>2026.0</v>
      </c>
      <c r="B1433" s="1" t="s">
        <v>1069</v>
      </c>
      <c r="C1433" s="2" t="s">
        <v>176</v>
      </c>
      <c r="D1433" s="2" t="s">
        <v>962</v>
      </c>
      <c r="E1433" s="2" t="s">
        <v>686</v>
      </c>
      <c r="F1433" s="2">
        <v>545307.0</v>
      </c>
      <c r="G1433" s="2">
        <v>1499794.0</v>
      </c>
      <c r="H1433" s="2">
        <v>2045101.0</v>
      </c>
      <c r="I1433" s="2">
        <v>0.0</v>
      </c>
      <c r="J1433" s="2">
        <v>2045101.0</v>
      </c>
    </row>
    <row r="1434">
      <c r="A1434" s="2">
        <v>2026.0</v>
      </c>
      <c r="B1434" s="1" t="s">
        <v>1069</v>
      </c>
      <c r="C1434" s="2" t="s">
        <v>176</v>
      </c>
      <c r="E1434" s="2" t="s">
        <v>1082</v>
      </c>
      <c r="F1434" s="2">
        <v>2280376.0</v>
      </c>
      <c r="G1434" s="2">
        <v>2988943.0</v>
      </c>
      <c r="H1434" s="2">
        <v>5269319.0</v>
      </c>
      <c r="I1434" s="2">
        <v>4379417.0</v>
      </c>
      <c r="J1434" s="2">
        <v>889902.0</v>
      </c>
    </row>
    <row r="1435">
      <c r="A1435" s="2">
        <v>2026.0</v>
      </c>
      <c r="B1435" s="1" t="s">
        <v>1069</v>
      </c>
      <c r="C1435" s="2" t="s">
        <v>176</v>
      </c>
      <c r="E1435" s="2" t="s">
        <v>32</v>
      </c>
      <c r="F1435" s="2">
        <v>93469.0</v>
      </c>
      <c r="G1435" s="2">
        <v>38317.0</v>
      </c>
      <c r="H1435" s="2">
        <v>131786.0</v>
      </c>
      <c r="I1435" s="2">
        <v>47358.0</v>
      </c>
      <c r="J1435" s="2">
        <v>84428.0</v>
      </c>
    </row>
    <row r="1436">
      <c r="A1436" s="2">
        <v>2026.0</v>
      </c>
      <c r="B1436" s="1" t="s">
        <v>1069</v>
      </c>
      <c r="C1436" s="2" t="s">
        <v>176</v>
      </c>
      <c r="D1436" s="2" t="s">
        <v>176</v>
      </c>
      <c r="E1436" s="2" t="s">
        <v>686</v>
      </c>
      <c r="F1436" s="2">
        <v>2700751.0</v>
      </c>
      <c r="G1436" s="2">
        <v>1705540.0</v>
      </c>
      <c r="H1436" s="2">
        <v>4406291.0</v>
      </c>
      <c r="I1436" s="2">
        <v>369960.0</v>
      </c>
      <c r="J1436" s="2">
        <v>4036331.0</v>
      </c>
    </row>
    <row r="1437">
      <c r="A1437" s="2">
        <v>2026.0</v>
      </c>
      <c r="B1437" s="1" t="s">
        <v>1069</v>
      </c>
      <c r="C1437" s="2" t="s">
        <v>176</v>
      </c>
      <c r="E1437" s="2" t="s">
        <v>32</v>
      </c>
      <c r="F1437" s="2">
        <v>521673.0</v>
      </c>
      <c r="G1437" s="2">
        <v>89777.0</v>
      </c>
      <c r="H1437" s="2">
        <v>611450.0</v>
      </c>
      <c r="I1437" s="2">
        <v>133247.0</v>
      </c>
      <c r="J1437" s="2">
        <v>478203.0</v>
      </c>
    </row>
    <row r="1438">
      <c r="A1438" s="2">
        <v>2026.0</v>
      </c>
      <c r="B1438" s="1" t="s">
        <v>1069</v>
      </c>
      <c r="C1438" s="2" t="s">
        <v>176</v>
      </c>
      <c r="E1438" s="2" t="s">
        <v>1083</v>
      </c>
      <c r="F1438" s="2">
        <v>241692.0</v>
      </c>
      <c r="G1438" s="2">
        <v>32777.0</v>
      </c>
      <c r="H1438" s="2">
        <v>274469.0</v>
      </c>
      <c r="I1438" s="2">
        <v>81060.0</v>
      </c>
      <c r="J1438" s="2">
        <v>193409.0</v>
      </c>
    </row>
    <row r="1439">
      <c r="A1439" s="2">
        <v>2026.0</v>
      </c>
      <c r="B1439" s="1" t="s">
        <v>1069</v>
      </c>
      <c r="C1439" s="2" t="s">
        <v>176</v>
      </c>
      <c r="E1439" s="2" t="s">
        <v>1084</v>
      </c>
      <c r="F1439" s="2">
        <v>5399998.0</v>
      </c>
      <c r="G1439" s="2">
        <v>3419867.0</v>
      </c>
      <c r="H1439" s="2">
        <v>8819865.0</v>
      </c>
      <c r="I1439" s="2">
        <v>3804381.0</v>
      </c>
      <c r="J1439" s="2">
        <v>5015484.0</v>
      </c>
    </row>
    <row r="1440">
      <c r="A1440" s="2">
        <v>2026.0</v>
      </c>
      <c r="B1440" s="1" t="s">
        <v>1069</v>
      </c>
      <c r="C1440" s="2" t="s">
        <v>176</v>
      </c>
      <c r="D1440" s="2" t="s">
        <v>961</v>
      </c>
      <c r="E1440" s="2" t="s">
        <v>686</v>
      </c>
      <c r="F1440" s="2">
        <v>1154287.0</v>
      </c>
      <c r="G1440" s="2">
        <v>871032.0</v>
      </c>
      <c r="H1440" s="2">
        <v>2025319.0</v>
      </c>
      <c r="I1440" s="2">
        <v>348946.0</v>
      </c>
      <c r="J1440" s="2">
        <v>1676373.0</v>
      </c>
    </row>
    <row r="1441">
      <c r="A1441" s="2">
        <v>2026.0</v>
      </c>
      <c r="B1441" s="1" t="s">
        <v>1069</v>
      </c>
      <c r="C1441" s="2" t="s">
        <v>176</v>
      </c>
      <c r="E1441" s="2" t="s">
        <v>749</v>
      </c>
      <c r="F1441" s="2">
        <v>1706588.0</v>
      </c>
      <c r="G1441" s="2">
        <v>3079664.0</v>
      </c>
      <c r="H1441" s="2">
        <v>4786252.0</v>
      </c>
      <c r="I1441" s="2">
        <v>3120773.0</v>
      </c>
      <c r="J1441" s="2">
        <v>1665479.0</v>
      </c>
    </row>
    <row r="1442">
      <c r="A1442" s="2">
        <v>2026.0</v>
      </c>
      <c r="B1442" s="1" t="s">
        <v>1069</v>
      </c>
      <c r="C1442" s="2" t="s">
        <v>176</v>
      </c>
      <c r="E1442" s="2" t="s">
        <v>779</v>
      </c>
      <c r="F1442" s="2">
        <v>64089.0</v>
      </c>
      <c r="G1442" s="2">
        <v>1879.0</v>
      </c>
      <c r="H1442" s="2">
        <v>65968.0</v>
      </c>
      <c r="I1442" s="2">
        <v>10000.0</v>
      </c>
      <c r="J1442" s="2">
        <v>55968.0</v>
      </c>
    </row>
    <row r="1443">
      <c r="A1443" s="2">
        <v>2026.0</v>
      </c>
      <c r="B1443" s="1" t="s">
        <v>1069</v>
      </c>
      <c r="C1443" s="2" t="s">
        <v>176</v>
      </c>
      <c r="E1443" s="2" t="s">
        <v>32</v>
      </c>
      <c r="F1443" s="2">
        <v>97207.0</v>
      </c>
      <c r="G1443" s="2">
        <v>252618.0</v>
      </c>
      <c r="H1443" s="2">
        <v>349825.0</v>
      </c>
      <c r="I1443" s="2">
        <v>231512.0</v>
      </c>
      <c r="J1443" s="2">
        <v>21106.0</v>
      </c>
    </row>
    <row r="1444">
      <c r="A1444" s="2">
        <v>2026.0</v>
      </c>
      <c r="B1444" s="1" t="s">
        <v>1069</v>
      </c>
      <c r="C1444" s="2" t="s">
        <v>143</v>
      </c>
      <c r="D1444" s="2" t="s">
        <v>826</v>
      </c>
      <c r="E1444" s="2" t="s">
        <v>686</v>
      </c>
      <c r="F1444" s="2">
        <v>477277.0</v>
      </c>
      <c r="G1444" s="2">
        <v>1388100.0</v>
      </c>
      <c r="H1444" s="2">
        <v>1865377.0</v>
      </c>
      <c r="I1444" s="2">
        <v>1069151.0</v>
      </c>
      <c r="J1444" s="2">
        <v>796226.0</v>
      </c>
    </row>
    <row r="1445">
      <c r="A1445" s="2">
        <v>2026.0</v>
      </c>
      <c r="B1445" s="1" t="s">
        <v>1069</v>
      </c>
      <c r="C1445" s="2" t="s">
        <v>143</v>
      </c>
      <c r="E1445" s="2" t="s">
        <v>394</v>
      </c>
      <c r="F1445" s="2">
        <v>909255.0</v>
      </c>
      <c r="G1445" s="2">
        <v>1345206.0</v>
      </c>
      <c r="H1445" s="2">
        <v>2254461.0</v>
      </c>
      <c r="I1445" s="2">
        <v>1090546.0</v>
      </c>
      <c r="J1445" s="2">
        <v>1163915.0</v>
      </c>
    </row>
    <row r="1446">
      <c r="A1446" s="2">
        <v>2026.0</v>
      </c>
      <c r="B1446" s="1" t="s">
        <v>1069</v>
      </c>
      <c r="C1446" s="2" t="s">
        <v>143</v>
      </c>
      <c r="D1446" s="2" t="s">
        <v>822</v>
      </c>
      <c r="E1446" s="2" t="s">
        <v>686</v>
      </c>
      <c r="F1446" s="2">
        <v>1217870.0</v>
      </c>
      <c r="G1446" s="2">
        <v>1833687.0</v>
      </c>
      <c r="H1446" s="2">
        <v>3051557.0</v>
      </c>
      <c r="I1446" s="2">
        <v>275486.0</v>
      </c>
      <c r="J1446" s="2">
        <v>2776071.0</v>
      </c>
    </row>
    <row r="1447">
      <c r="A1447" s="2">
        <v>2026.0</v>
      </c>
      <c r="B1447" s="1" t="s">
        <v>1069</v>
      </c>
      <c r="C1447" s="2" t="s">
        <v>143</v>
      </c>
      <c r="E1447" s="2" t="s">
        <v>1085</v>
      </c>
      <c r="F1447" s="2">
        <v>2746296.0</v>
      </c>
      <c r="G1447" s="2">
        <v>4002833.0</v>
      </c>
      <c r="H1447" s="2">
        <v>6749129.0</v>
      </c>
      <c r="I1447" s="2">
        <v>3068646.0</v>
      </c>
      <c r="J1447" s="2">
        <v>3680483.0</v>
      </c>
    </row>
    <row r="1448">
      <c r="A1448" s="2">
        <v>2026.0</v>
      </c>
      <c r="B1448" s="1" t="s">
        <v>1069</v>
      </c>
      <c r="C1448" s="2" t="s">
        <v>143</v>
      </c>
      <c r="D1448" s="2" t="s">
        <v>830</v>
      </c>
      <c r="E1448" s="2" t="s">
        <v>1086</v>
      </c>
      <c r="F1448" s="2">
        <v>1485796.0</v>
      </c>
      <c r="G1448" s="2">
        <v>1701995.0</v>
      </c>
      <c r="H1448" s="2">
        <v>3187791.0</v>
      </c>
      <c r="I1448" s="2">
        <v>1631052.0</v>
      </c>
      <c r="J1448" s="2">
        <v>1556739.0</v>
      </c>
    </row>
    <row r="1449">
      <c r="A1449" s="2">
        <v>2026.0</v>
      </c>
      <c r="B1449" s="1" t="s">
        <v>1069</v>
      </c>
      <c r="C1449" s="2" t="s">
        <v>143</v>
      </c>
      <c r="E1449" s="2" t="s">
        <v>228</v>
      </c>
      <c r="F1449" s="2">
        <v>2856314.0</v>
      </c>
      <c r="G1449" s="2">
        <v>3516409.0</v>
      </c>
      <c r="H1449" s="2">
        <v>6372723.0</v>
      </c>
      <c r="I1449" s="2">
        <v>4628359.0</v>
      </c>
      <c r="J1449" s="2">
        <v>1744364.0</v>
      </c>
    </row>
    <row r="1450">
      <c r="A1450" s="2">
        <v>2026.0</v>
      </c>
      <c r="B1450" s="1" t="s">
        <v>1069</v>
      </c>
      <c r="C1450" s="2" t="s">
        <v>143</v>
      </c>
      <c r="D1450" s="2" t="s">
        <v>146</v>
      </c>
      <c r="E1450" s="2" t="s">
        <v>686</v>
      </c>
      <c r="F1450" s="2">
        <v>1467249.0</v>
      </c>
      <c r="G1450" s="2">
        <v>2313436.0</v>
      </c>
      <c r="H1450" s="2">
        <v>3780685.0</v>
      </c>
      <c r="I1450" s="2">
        <v>2725681.0</v>
      </c>
      <c r="J1450" s="2">
        <v>1055004.0</v>
      </c>
    </row>
    <row r="1451">
      <c r="A1451" s="2">
        <v>2026.0</v>
      </c>
      <c r="B1451" s="1" t="s">
        <v>1069</v>
      </c>
      <c r="C1451" s="2" t="s">
        <v>143</v>
      </c>
      <c r="E1451" s="2" t="s">
        <v>394</v>
      </c>
      <c r="F1451" s="2">
        <v>1854588.0</v>
      </c>
      <c r="G1451" s="2">
        <v>554647.0</v>
      </c>
      <c r="H1451" s="2">
        <v>2409235.0</v>
      </c>
      <c r="I1451" s="2">
        <v>2059526.0</v>
      </c>
      <c r="J1451" s="2">
        <v>349709.0</v>
      </c>
    </row>
    <row r="1452">
      <c r="A1452" s="2">
        <v>2026.0</v>
      </c>
      <c r="B1452" s="1" t="s">
        <v>1069</v>
      </c>
      <c r="C1452" s="2" t="s">
        <v>143</v>
      </c>
      <c r="D1452" s="2" t="s">
        <v>832</v>
      </c>
      <c r="E1452" s="2" t="s">
        <v>1086</v>
      </c>
      <c r="F1452" s="2">
        <v>1215539.0</v>
      </c>
      <c r="G1452" s="2">
        <v>1959222.0</v>
      </c>
      <c r="H1452" s="2">
        <v>3174761.0</v>
      </c>
      <c r="I1452" s="2">
        <v>810786.0</v>
      </c>
      <c r="J1452" s="2">
        <v>2363975.0</v>
      </c>
    </row>
    <row r="1453">
      <c r="A1453" s="2">
        <v>2026.0</v>
      </c>
      <c r="B1453" s="1" t="s">
        <v>1069</v>
      </c>
      <c r="C1453" s="2" t="s">
        <v>143</v>
      </c>
      <c r="E1453" s="2" t="s">
        <v>228</v>
      </c>
      <c r="F1453" s="2">
        <v>2355540.0</v>
      </c>
      <c r="G1453" s="2">
        <v>3305112.0</v>
      </c>
      <c r="H1453" s="2">
        <v>5660652.0</v>
      </c>
      <c r="I1453" s="2">
        <v>3550447.0</v>
      </c>
      <c r="J1453" s="2">
        <v>2110205.0</v>
      </c>
    </row>
    <row r="1454">
      <c r="A1454" s="2">
        <v>2026.0</v>
      </c>
      <c r="B1454" s="1" t="s">
        <v>1069</v>
      </c>
      <c r="C1454" s="2" t="s">
        <v>143</v>
      </c>
      <c r="D1454" s="2" t="s">
        <v>825</v>
      </c>
      <c r="E1454" s="2" t="s">
        <v>686</v>
      </c>
      <c r="F1454" s="2">
        <v>2947156.0</v>
      </c>
      <c r="G1454" s="2">
        <v>1678358.0</v>
      </c>
      <c r="H1454" s="2">
        <v>4625514.0</v>
      </c>
      <c r="I1454" s="2">
        <v>1281813.0</v>
      </c>
      <c r="J1454" s="2">
        <v>3343701.0</v>
      </c>
    </row>
    <row r="1455">
      <c r="A1455" s="2">
        <v>2026.0</v>
      </c>
      <c r="B1455" s="1" t="s">
        <v>1069</v>
      </c>
      <c r="C1455" s="2" t="s">
        <v>143</v>
      </c>
      <c r="E1455" s="2" t="s">
        <v>394</v>
      </c>
      <c r="F1455" s="2">
        <v>1522393.0</v>
      </c>
      <c r="G1455" s="2">
        <v>2398127.0</v>
      </c>
      <c r="H1455" s="2">
        <v>3920520.0</v>
      </c>
      <c r="I1455" s="2">
        <v>3484591.0</v>
      </c>
      <c r="J1455" s="2">
        <v>435929.0</v>
      </c>
    </row>
    <row r="1456">
      <c r="A1456" s="2">
        <v>2026.0</v>
      </c>
      <c r="B1456" s="1" t="s">
        <v>1069</v>
      </c>
      <c r="C1456" s="2" t="s">
        <v>143</v>
      </c>
      <c r="D1456" s="2" t="s">
        <v>828</v>
      </c>
      <c r="E1456" s="2" t="s">
        <v>1087</v>
      </c>
      <c r="F1456" s="2">
        <v>944607.0</v>
      </c>
      <c r="G1456" s="2">
        <v>4347917.0</v>
      </c>
      <c r="H1456" s="2">
        <v>5292524.0</v>
      </c>
      <c r="I1456" s="2">
        <v>5054566.0</v>
      </c>
      <c r="J1456" s="2">
        <v>237958.0</v>
      </c>
    </row>
    <row r="1457">
      <c r="A1457" s="2">
        <v>2026.0</v>
      </c>
      <c r="B1457" s="1" t="s">
        <v>1069</v>
      </c>
      <c r="C1457" s="2" t="s">
        <v>143</v>
      </c>
      <c r="E1457" s="2" t="s">
        <v>1088</v>
      </c>
      <c r="F1457" s="2">
        <v>1304230.0</v>
      </c>
      <c r="G1457" s="2">
        <v>3443481.0</v>
      </c>
      <c r="H1457" s="2">
        <v>4747711.0</v>
      </c>
      <c r="I1457" s="2">
        <v>2934246.0</v>
      </c>
      <c r="J1457" s="2">
        <v>1813465.0</v>
      </c>
    </row>
    <row r="1458">
      <c r="A1458" s="2">
        <v>2026.0</v>
      </c>
      <c r="B1458" s="1" t="s">
        <v>1069</v>
      </c>
      <c r="C1458" s="2" t="s">
        <v>143</v>
      </c>
      <c r="D1458" s="2" t="s">
        <v>144</v>
      </c>
      <c r="E1458" s="2" t="s">
        <v>686</v>
      </c>
      <c r="F1458" s="2">
        <v>1964379.0</v>
      </c>
      <c r="G1458" s="2">
        <v>1479312.0</v>
      </c>
      <c r="H1458" s="2">
        <v>3443691.0</v>
      </c>
      <c r="I1458" s="2">
        <v>1117031.0</v>
      </c>
      <c r="J1458" s="2">
        <v>2326660.0</v>
      </c>
    </row>
    <row r="1459">
      <c r="A1459" s="2">
        <v>2026.0</v>
      </c>
      <c r="B1459" s="1" t="s">
        <v>1069</v>
      </c>
      <c r="C1459" s="2" t="s">
        <v>143</v>
      </c>
      <c r="E1459" s="2" t="s">
        <v>32</v>
      </c>
      <c r="F1459" s="2">
        <v>87736.0</v>
      </c>
      <c r="G1459" s="2">
        <v>107516.0</v>
      </c>
      <c r="H1459" s="2">
        <v>195252.0</v>
      </c>
      <c r="I1459" s="2">
        <v>190348.0</v>
      </c>
      <c r="J1459" s="2">
        <v>4904.0</v>
      </c>
    </row>
    <row r="1460">
      <c r="A1460" s="2">
        <v>2026.0</v>
      </c>
      <c r="B1460" s="1" t="s">
        <v>1069</v>
      </c>
      <c r="C1460" s="2" t="s">
        <v>143</v>
      </c>
      <c r="E1460" s="2" t="s">
        <v>92</v>
      </c>
      <c r="F1460" s="2">
        <v>415815.0</v>
      </c>
      <c r="G1460" s="2">
        <v>2965272.0</v>
      </c>
      <c r="H1460" s="2">
        <v>3381087.0</v>
      </c>
      <c r="I1460" s="2">
        <v>2401226.0</v>
      </c>
      <c r="J1460" s="2">
        <v>979861.0</v>
      </c>
    </row>
    <row r="1461">
      <c r="A1461" s="2">
        <v>2026.0</v>
      </c>
      <c r="B1461" s="1" t="s">
        <v>1069</v>
      </c>
      <c r="C1461" s="2" t="s">
        <v>143</v>
      </c>
      <c r="D1461" s="2" t="s">
        <v>829</v>
      </c>
      <c r="E1461" s="2" t="s">
        <v>686</v>
      </c>
      <c r="F1461" s="2">
        <v>1263068.0</v>
      </c>
      <c r="G1461" s="2">
        <v>1919126.0</v>
      </c>
      <c r="H1461" s="2">
        <v>3182194.0</v>
      </c>
      <c r="I1461" s="2">
        <v>1597352.0</v>
      </c>
      <c r="J1461" s="2">
        <v>1584842.0</v>
      </c>
    </row>
    <row r="1462">
      <c r="A1462" s="2">
        <v>2026.0</v>
      </c>
      <c r="B1462" s="1" t="s">
        <v>1069</v>
      </c>
      <c r="C1462" s="2" t="s">
        <v>143</v>
      </c>
      <c r="E1462" s="2" t="s">
        <v>228</v>
      </c>
      <c r="F1462" s="2">
        <v>1744509.0</v>
      </c>
      <c r="G1462" s="2">
        <v>2254339.0</v>
      </c>
      <c r="H1462" s="2">
        <v>3998848.0</v>
      </c>
      <c r="I1462" s="2">
        <v>2745163.0</v>
      </c>
      <c r="J1462" s="2">
        <v>1253685.0</v>
      </c>
    </row>
    <row r="1463">
      <c r="A1463" s="2">
        <v>2026.0</v>
      </c>
      <c r="B1463" s="1" t="s">
        <v>1069</v>
      </c>
      <c r="C1463" s="2" t="s">
        <v>106</v>
      </c>
      <c r="D1463" s="2" t="s">
        <v>107</v>
      </c>
      <c r="E1463" s="2" t="s">
        <v>1081</v>
      </c>
      <c r="F1463" s="2">
        <v>151417.0</v>
      </c>
      <c r="G1463" s="2">
        <v>268498.0</v>
      </c>
      <c r="H1463" s="2">
        <v>419915.0</v>
      </c>
      <c r="I1463" s="2">
        <v>87009.0</v>
      </c>
      <c r="J1463" s="2">
        <v>332906.0</v>
      </c>
    </row>
    <row r="1464">
      <c r="A1464" s="2">
        <v>2026.0</v>
      </c>
      <c r="B1464" s="1" t="s">
        <v>1069</v>
      </c>
      <c r="C1464" s="2" t="s">
        <v>106</v>
      </c>
      <c r="E1464" s="2" t="s">
        <v>686</v>
      </c>
      <c r="F1464" s="2">
        <v>1354718.0</v>
      </c>
      <c r="G1464" s="2">
        <v>2537851.0</v>
      </c>
      <c r="H1464" s="2">
        <v>3892569.0</v>
      </c>
      <c r="I1464" s="2">
        <v>1216685.0</v>
      </c>
      <c r="J1464" s="2">
        <v>2675884.0</v>
      </c>
    </row>
    <row r="1465">
      <c r="A1465" s="2">
        <v>2026.0</v>
      </c>
      <c r="B1465" s="1" t="s">
        <v>1069</v>
      </c>
      <c r="C1465" s="2" t="s">
        <v>106</v>
      </c>
      <c r="E1465" s="2" t="s">
        <v>92</v>
      </c>
      <c r="F1465" s="2">
        <v>2527396.0</v>
      </c>
      <c r="G1465" s="2">
        <v>1191456.0</v>
      </c>
      <c r="H1465" s="2">
        <v>3718852.0</v>
      </c>
      <c r="I1465" s="2">
        <v>1052248.0</v>
      </c>
      <c r="J1465" s="2">
        <v>2666604.0</v>
      </c>
    </row>
    <row r="1466">
      <c r="A1466" s="2">
        <v>2026.0</v>
      </c>
      <c r="B1466" s="1" t="s">
        <v>1069</v>
      </c>
      <c r="C1466" s="2" t="s">
        <v>106</v>
      </c>
      <c r="D1466" s="2" t="s">
        <v>111</v>
      </c>
      <c r="E1466" s="2" t="s">
        <v>686</v>
      </c>
      <c r="F1466" s="2">
        <v>2344934.0</v>
      </c>
      <c r="G1466" s="2">
        <v>5759323.0</v>
      </c>
      <c r="H1466" s="2">
        <v>8104257.0</v>
      </c>
      <c r="I1466" s="2">
        <v>3480430.0</v>
      </c>
      <c r="J1466" s="2">
        <v>4623827.0</v>
      </c>
    </row>
    <row r="1467">
      <c r="A1467" s="2">
        <v>2026.0</v>
      </c>
      <c r="B1467" s="1" t="s">
        <v>1069</v>
      </c>
      <c r="C1467" s="2" t="s">
        <v>106</v>
      </c>
      <c r="E1467" s="2" t="s">
        <v>749</v>
      </c>
      <c r="F1467" s="2">
        <v>3955911.0</v>
      </c>
      <c r="G1467" s="2">
        <v>1942804.0</v>
      </c>
      <c r="H1467" s="2">
        <v>5898715.0</v>
      </c>
      <c r="I1467" s="2">
        <v>2267604.0</v>
      </c>
      <c r="J1467" s="2">
        <v>3631111.0</v>
      </c>
    </row>
    <row r="1468">
      <c r="A1468" s="2">
        <v>2026.0</v>
      </c>
      <c r="B1468" s="1" t="s">
        <v>1069</v>
      </c>
      <c r="C1468" s="2" t="s">
        <v>106</v>
      </c>
      <c r="E1468" s="2" t="s">
        <v>32</v>
      </c>
      <c r="F1468" s="2">
        <v>423503.0</v>
      </c>
      <c r="G1468" s="2">
        <v>2987725.0</v>
      </c>
      <c r="H1468" s="2">
        <v>3411228.0</v>
      </c>
      <c r="I1468" s="2">
        <v>2861530.0</v>
      </c>
      <c r="J1468" s="2">
        <v>549698.0</v>
      </c>
    </row>
    <row r="1469">
      <c r="A1469" s="2">
        <v>2026.0</v>
      </c>
      <c r="B1469" s="1" t="s">
        <v>1069</v>
      </c>
      <c r="C1469" s="2" t="s">
        <v>106</v>
      </c>
      <c r="D1469" s="2" t="s">
        <v>1090</v>
      </c>
      <c r="E1469" s="2" t="s">
        <v>686</v>
      </c>
      <c r="F1469" s="2">
        <v>2884323.0</v>
      </c>
      <c r="G1469" s="2">
        <v>6236298.0</v>
      </c>
      <c r="H1469" s="2">
        <v>9120621.0</v>
      </c>
      <c r="I1469" s="2">
        <v>3304736.0</v>
      </c>
      <c r="J1469" s="2">
        <v>5815885.0</v>
      </c>
    </row>
    <row r="1470">
      <c r="A1470" s="2">
        <v>2026.0</v>
      </c>
      <c r="B1470" s="1" t="s">
        <v>1069</v>
      </c>
      <c r="C1470" s="2" t="s">
        <v>106</v>
      </c>
      <c r="E1470" s="2" t="s">
        <v>32</v>
      </c>
      <c r="F1470" s="2">
        <v>300759.0</v>
      </c>
      <c r="G1470" s="2">
        <v>532422.0</v>
      </c>
      <c r="H1470" s="2">
        <v>833181.0</v>
      </c>
      <c r="I1470" s="2">
        <v>257224.0</v>
      </c>
      <c r="J1470" s="2">
        <v>575957.0</v>
      </c>
    </row>
    <row r="1471">
      <c r="A1471" s="2">
        <v>2026.0</v>
      </c>
      <c r="B1471" s="1" t="s">
        <v>1069</v>
      </c>
      <c r="C1471" s="2" t="s">
        <v>106</v>
      </c>
      <c r="E1471" s="2" t="s">
        <v>56</v>
      </c>
      <c r="F1471" s="2">
        <v>2086358.0</v>
      </c>
      <c r="G1471" s="2">
        <v>4615060.0</v>
      </c>
      <c r="H1471" s="2">
        <v>6701418.0</v>
      </c>
      <c r="I1471" s="2">
        <v>6156442.0</v>
      </c>
      <c r="J1471" s="2">
        <v>544976.0</v>
      </c>
    </row>
    <row r="1472">
      <c r="A1472" s="2">
        <v>2026.0</v>
      </c>
      <c r="B1472" s="1" t="s">
        <v>1069</v>
      </c>
      <c r="C1472" s="2" t="s">
        <v>1092</v>
      </c>
      <c r="D1472" s="2" t="s">
        <v>907</v>
      </c>
      <c r="E1472" s="2" t="s">
        <v>686</v>
      </c>
      <c r="F1472" s="2">
        <v>2247906.0</v>
      </c>
      <c r="G1472" s="2">
        <v>1445339.0</v>
      </c>
      <c r="H1472" s="2">
        <v>3693245.0</v>
      </c>
      <c r="I1472" s="2">
        <v>1972801.0</v>
      </c>
      <c r="J1472" s="2">
        <v>1720444.0</v>
      </c>
    </row>
    <row r="1473">
      <c r="A1473" s="2">
        <v>2026.0</v>
      </c>
      <c r="B1473" s="1" t="s">
        <v>1069</v>
      </c>
      <c r="C1473" s="2" t="s">
        <v>1092</v>
      </c>
      <c r="E1473" s="2" t="s">
        <v>27</v>
      </c>
      <c r="F1473" s="2">
        <v>530900.0</v>
      </c>
      <c r="G1473" s="2">
        <v>2749128.0</v>
      </c>
      <c r="H1473" s="2">
        <v>3280028.0</v>
      </c>
      <c r="I1473" s="2">
        <v>2823751.0</v>
      </c>
      <c r="J1473" s="2">
        <v>456277.0</v>
      </c>
    </row>
    <row r="1474">
      <c r="A1474" s="2">
        <v>2026.0</v>
      </c>
      <c r="B1474" s="1" t="s">
        <v>1069</v>
      </c>
      <c r="C1474" s="2" t="s">
        <v>1092</v>
      </c>
      <c r="E1474" s="2" t="s">
        <v>32</v>
      </c>
      <c r="F1474" s="2">
        <v>36854.0</v>
      </c>
      <c r="G1474" s="2">
        <v>84477.0</v>
      </c>
      <c r="H1474" s="2">
        <v>121331.0</v>
      </c>
      <c r="I1474" s="2">
        <v>74071.0</v>
      </c>
      <c r="J1474" s="2">
        <v>47260.0</v>
      </c>
    </row>
    <row r="1475">
      <c r="A1475" s="2">
        <v>2026.0</v>
      </c>
      <c r="B1475" s="1" t="s">
        <v>1069</v>
      </c>
      <c r="C1475" s="2" t="s">
        <v>1092</v>
      </c>
      <c r="E1475" s="2" t="s">
        <v>56</v>
      </c>
      <c r="F1475" s="2">
        <v>2955772.0</v>
      </c>
      <c r="G1475" s="2">
        <v>965035.0</v>
      </c>
      <c r="H1475" s="2">
        <v>3920807.0</v>
      </c>
      <c r="I1475" s="2">
        <v>1659628.0</v>
      </c>
      <c r="J1475" s="2">
        <v>2261179.0</v>
      </c>
    </row>
    <row r="1476">
      <c r="A1476" s="2">
        <v>2026.0</v>
      </c>
      <c r="B1476" s="1" t="s">
        <v>1069</v>
      </c>
      <c r="C1476" s="2" t="s">
        <v>1092</v>
      </c>
      <c r="D1476" s="2" t="s">
        <v>1094</v>
      </c>
      <c r="E1476" s="2" t="s">
        <v>686</v>
      </c>
      <c r="F1476" s="2">
        <v>1737449.0</v>
      </c>
      <c r="G1476" s="2">
        <v>1190045.0</v>
      </c>
      <c r="H1476" s="2">
        <v>2927494.0</v>
      </c>
      <c r="I1476" s="2">
        <v>884424.0</v>
      </c>
      <c r="J1476" s="2">
        <v>2043070.0</v>
      </c>
    </row>
    <row r="1477">
      <c r="A1477" s="2">
        <v>2026.0</v>
      </c>
      <c r="B1477" s="1" t="s">
        <v>1069</v>
      </c>
      <c r="C1477" s="2" t="s">
        <v>1092</v>
      </c>
      <c r="E1477" s="2" t="s">
        <v>27</v>
      </c>
      <c r="F1477" s="2">
        <v>651509.0</v>
      </c>
      <c r="G1477" s="2">
        <v>2561992.0</v>
      </c>
      <c r="H1477" s="2">
        <v>3213501.0</v>
      </c>
      <c r="I1477" s="2">
        <v>2984824.0</v>
      </c>
      <c r="J1477" s="2">
        <v>228677.0</v>
      </c>
    </row>
    <row r="1478">
      <c r="A1478" s="2">
        <v>2026.0</v>
      </c>
      <c r="B1478" s="1" t="s">
        <v>1069</v>
      </c>
      <c r="C1478" s="2" t="s">
        <v>1092</v>
      </c>
      <c r="E1478" s="2" t="s">
        <v>32</v>
      </c>
      <c r="F1478" s="2">
        <v>17792.0</v>
      </c>
      <c r="G1478" s="2">
        <v>170527.0</v>
      </c>
      <c r="H1478" s="2">
        <v>188319.0</v>
      </c>
      <c r="I1478" s="2">
        <v>91916.0</v>
      </c>
      <c r="J1478" s="2">
        <v>96403.0</v>
      </c>
    </row>
    <row r="1479">
      <c r="A1479" s="2">
        <v>2026.0</v>
      </c>
      <c r="B1479" s="1" t="s">
        <v>1069</v>
      </c>
      <c r="C1479" s="2" t="s">
        <v>1092</v>
      </c>
      <c r="E1479" s="2" t="s">
        <v>56</v>
      </c>
      <c r="F1479" s="2">
        <v>1124331.0</v>
      </c>
      <c r="G1479" s="2">
        <v>756914.0</v>
      </c>
      <c r="H1479" s="2">
        <v>1881245.0</v>
      </c>
      <c r="I1479" s="2">
        <v>1197862.0</v>
      </c>
      <c r="J1479" s="2">
        <v>683383.0</v>
      </c>
    </row>
    <row r="1480">
      <c r="A1480" s="2">
        <v>2026.0</v>
      </c>
      <c r="B1480" s="1" t="s">
        <v>1069</v>
      </c>
      <c r="C1480" s="2" t="s">
        <v>1092</v>
      </c>
      <c r="D1480" s="2" t="s">
        <v>916</v>
      </c>
      <c r="E1480" s="2" t="s">
        <v>686</v>
      </c>
      <c r="F1480" s="2">
        <v>2343372.0</v>
      </c>
      <c r="G1480" s="2">
        <v>1546147.0</v>
      </c>
      <c r="H1480" s="2">
        <v>3889519.0</v>
      </c>
      <c r="I1480" s="2">
        <v>979286.0</v>
      </c>
      <c r="J1480" s="2">
        <v>2910233.0</v>
      </c>
    </row>
    <row r="1481">
      <c r="A1481" s="2">
        <v>2026.0</v>
      </c>
      <c r="B1481" s="1" t="s">
        <v>1069</v>
      </c>
      <c r="C1481" s="2" t="s">
        <v>1092</v>
      </c>
      <c r="E1481" s="2" t="s">
        <v>394</v>
      </c>
      <c r="F1481" s="2">
        <v>3541499.0</v>
      </c>
      <c r="G1481" s="2">
        <v>3015130.0</v>
      </c>
      <c r="H1481" s="2">
        <v>6556629.0</v>
      </c>
      <c r="I1481" s="2">
        <v>3366365.0</v>
      </c>
      <c r="J1481" s="2">
        <v>3190264.0</v>
      </c>
    </row>
    <row r="1482">
      <c r="A1482" s="2">
        <v>2026.0</v>
      </c>
      <c r="B1482" s="1" t="s">
        <v>1069</v>
      </c>
      <c r="C1482" s="2" t="s">
        <v>1092</v>
      </c>
      <c r="D1482" s="2" t="s">
        <v>915</v>
      </c>
      <c r="E1482" s="2" t="s">
        <v>686</v>
      </c>
      <c r="F1482" s="2">
        <v>1580584.0</v>
      </c>
      <c r="G1482" s="2">
        <v>1708713.0</v>
      </c>
      <c r="H1482" s="2">
        <v>3289297.0</v>
      </c>
      <c r="I1482" s="2">
        <v>1112422.0</v>
      </c>
      <c r="J1482" s="2">
        <v>2176875.0</v>
      </c>
    </row>
    <row r="1483">
      <c r="A1483" s="2">
        <v>2026.0</v>
      </c>
      <c r="B1483" s="1" t="s">
        <v>1069</v>
      </c>
      <c r="C1483" s="2" t="s">
        <v>1092</v>
      </c>
      <c r="E1483" s="2" t="s">
        <v>32</v>
      </c>
      <c r="F1483" s="2">
        <v>60179.0</v>
      </c>
      <c r="G1483" s="2">
        <v>32510.0</v>
      </c>
      <c r="H1483" s="2">
        <v>92689.0</v>
      </c>
      <c r="I1483" s="2">
        <v>67534.0</v>
      </c>
      <c r="J1483" s="2">
        <v>25155.0</v>
      </c>
    </row>
    <row r="1484">
      <c r="A1484" s="2">
        <v>2026.0</v>
      </c>
      <c r="B1484" s="1" t="s">
        <v>1069</v>
      </c>
      <c r="C1484" s="2" t="s">
        <v>1092</v>
      </c>
      <c r="E1484" s="2" t="s">
        <v>56</v>
      </c>
      <c r="F1484" s="2">
        <v>3320624.0</v>
      </c>
      <c r="G1484" s="2">
        <v>2571574.0</v>
      </c>
      <c r="H1484" s="2">
        <v>5892198.0</v>
      </c>
      <c r="I1484" s="2">
        <v>2973507.0</v>
      </c>
      <c r="J1484" s="2">
        <v>2918691.0</v>
      </c>
    </row>
    <row r="1485">
      <c r="A1485" s="2">
        <v>2026.0</v>
      </c>
      <c r="B1485" s="1" t="s">
        <v>1069</v>
      </c>
      <c r="C1485" s="2" t="s">
        <v>1092</v>
      </c>
      <c r="D1485" s="2" t="s">
        <v>1098</v>
      </c>
      <c r="E1485" s="2" t="s">
        <v>686</v>
      </c>
      <c r="F1485" s="2">
        <v>934063.0</v>
      </c>
      <c r="G1485" s="2">
        <v>815156.0</v>
      </c>
      <c r="H1485" s="2">
        <v>1749219.0</v>
      </c>
      <c r="I1485" s="2">
        <v>684961.0</v>
      </c>
      <c r="J1485" s="2">
        <v>1064258.0</v>
      </c>
    </row>
    <row r="1486">
      <c r="A1486" s="2">
        <v>2026.0</v>
      </c>
      <c r="B1486" s="1" t="s">
        <v>1069</v>
      </c>
      <c r="C1486" s="2" t="s">
        <v>1092</v>
      </c>
      <c r="E1486" s="2" t="s">
        <v>27</v>
      </c>
      <c r="F1486" s="2">
        <v>344155.0</v>
      </c>
      <c r="G1486" s="2">
        <v>1518705.0</v>
      </c>
      <c r="H1486" s="2">
        <v>1862860.0</v>
      </c>
      <c r="I1486" s="2">
        <v>1687880.0</v>
      </c>
      <c r="J1486" s="2">
        <v>174980.0</v>
      </c>
    </row>
    <row r="1487">
      <c r="A1487" s="2">
        <v>2026.0</v>
      </c>
      <c r="B1487" s="1" t="s">
        <v>1069</v>
      </c>
      <c r="C1487" s="2" t="s">
        <v>1092</v>
      </c>
      <c r="E1487" s="2" t="s">
        <v>32</v>
      </c>
      <c r="F1487" s="2">
        <v>59141.0</v>
      </c>
      <c r="G1487" s="2">
        <v>21452.0</v>
      </c>
      <c r="H1487" s="2">
        <v>80593.0</v>
      </c>
      <c r="I1487" s="2">
        <v>1885.0</v>
      </c>
      <c r="J1487" s="2">
        <v>78708.0</v>
      </c>
    </row>
    <row r="1488">
      <c r="A1488" s="2">
        <v>2026.0</v>
      </c>
      <c r="B1488" s="1" t="s">
        <v>1069</v>
      </c>
      <c r="C1488" s="2" t="s">
        <v>1092</v>
      </c>
      <c r="E1488" s="2" t="s">
        <v>56</v>
      </c>
      <c r="F1488" s="2">
        <v>2315423.0</v>
      </c>
      <c r="G1488" s="2">
        <v>2192179.0</v>
      </c>
      <c r="H1488" s="2">
        <v>4507602.0</v>
      </c>
      <c r="I1488" s="2">
        <v>2246213.0</v>
      </c>
      <c r="J1488" s="2">
        <v>2261389.0</v>
      </c>
    </row>
    <row r="1489">
      <c r="A1489" s="2">
        <v>2026.0</v>
      </c>
      <c r="B1489" s="1" t="s">
        <v>1069</v>
      </c>
      <c r="C1489" s="2" t="s">
        <v>1092</v>
      </c>
      <c r="D1489" s="2" t="s">
        <v>909</v>
      </c>
      <c r="E1489" s="2" t="s">
        <v>686</v>
      </c>
      <c r="F1489" s="2">
        <v>596382.0</v>
      </c>
      <c r="G1489" s="2">
        <v>589667.0</v>
      </c>
      <c r="H1489" s="2">
        <v>1186049.0</v>
      </c>
      <c r="I1489" s="2">
        <v>606349.0</v>
      </c>
      <c r="J1489" s="2">
        <v>579700.0</v>
      </c>
    </row>
    <row r="1490">
      <c r="A1490" s="2">
        <v>2026.0</v>
      </c>
      <c r="B1490" s="1" t="s">
        <v>1069</v>
      </c>
      <c r="C1490" s="2" t="s">
        <v>1092</v>
      </c>
      <c r="E1490" s="2" t="s">
        <v>27</v>
      </c>
      <c r="F1490" s="2">
        <v>190744.0</v>
      </c>
      <c r="G1490" s="2">
        <v>654686.0</v>
      </c>
      <c r="H1490" s="2">
        <v>845430.0</v>
      </c>
      <c r="I1490" s="2">
        <v>676295.0</v>
      </c>
      <c r="J1490" s="2">
        <v>169135.0</v>
      </c>
    </row>
    <row r="1491">
      <c r="A1491" s="2">
        <v>2026.0</v>
      </c>
      <c r="B1491" s="1" t="s">
        <v>1069</v>
      </c>
      <c r="C1491" s="2" t="s">
        <v>1092</v>
      </c>
      <c r="E1491" s="2" t="s">
        <v>32</v>
      </c>
      <c r="F1491" s="2">
        <v>177182.0</v>
      </c>
      <c r="G1491" s="2">
        <v>80394.0</v>
      </c>
      <c r="H1491" s="2">
        <v>257576.0</v>
      </c>
      <c r="I1491" s="2">
        <v>33009.0</v>
      </c>
      <c r="J1491" s="2">
        <v>224567.0</v>
      </c>
    </row>
    <row r="1492">
      <c r="A1492" s="2">
        <v>2026.0</v>
      </c>
      <c r="B1492" s="1" t="s">
        <v>1069</v>
      </c>
      <c r="C1492" s="2" t="s">
        <v>1092</v>
      </c>
      <c r="E1492" s="2" t="s">
        <v>56</v>
      </c>
      <c r="F1492" s="2">
        <v>1770265.0</v>
      </c>
      <c r="G1492" s="2">
        <v>2435820.0</v>
      </c>
      <c r="H1492" s="2">
        <v>4206085.0</v>
      </c>
      <c r="I1492" s="2">
        <v>2966714.0</v>
      </c>
      <c r="J1492" s="2">
        <v>1239371.0</v>
      </c>
    </row>
    <row r="1493">
      <c r="A1493" s="2">
        <v>2026.0</v>
      </c>
      <c r="B1493" s="1" t="s">
        <v>1069</v>
      </c>
      <c r="C1493" s="2" t="s">
        <v>1092</v>
      </c>
      <c r="D1493" s="2" t="s">
        <v>911</v>
      </c>
      <c r="E1493" s="2" t="s">
        <v>686</v>
      </c>
      <c r="F1493" s="2">
        <v>933862.0</v>
      </c>
      <c r="G1493" s="2">
        <v>927311.0</v>
      </c>
      <c r="H1493" s="2">
        <v>1861173.0</v>
      </c>
      <c r="I1493" s="2">
        <v>918470.0</v>
      </c>
      <c r="J1493" s="2">
        <v>942703.0</v>
      </c>
    </row>
    <row r="1494">
      <c r="A1494" s="2">
        <v>2026.0</v>
      </c>
      <c r="B1494" s="1" t="s">
        <v>1069</v>
      </c>
      <c r="C1494" s="2" t="s">
        <v>1092</v>
      </c>
      <c r="E1494" s="2" t="s">
        <v>27</v>
      </c>
      <c r="F1494" s="2">
        <v>429396.0</v>
      </c>
      <c r="G1494" s="2">
        <v>1918353.0</v>
      </c>
      <c r="H1494" s="2">
        <v>2347749.0</v>
      </c>
      <c r="I1494" s="2">
        <v>1973994.0</v>
      </c>
      <c r="J1494" s="2">
        <v>373755.0</v>
      </c>
    </row>
    <row r="1495">
      <c r="A1495" s="2">
        <v>2026.0</v>
      </c>
      <c r="B1495" s="1" t="s">
        <v>1069</v>
      </c>
      <c r="C1495" s="2" t="s">
        <v>1092</v>
      </c>
      <c r="E1495" s="2" t="s">
        <v>988</v>
      </c>
      <c r="F1495" s="2">
        <v>40074.0</v>
      </c>
      <c r="G1495" s="2">
        <v>114816.0</v>
      </c>
      <c r="H1495" s="2">
        <v>154890.0</v>
      </c>
      <c r="I1495" s="2">
        <v>65379.0</v>
      </c>
      <c r="J1495" s="2">
        <v>89511.0</v>
      </c>
    </row>
    <row r="1496">
      <c r="A1496" s="2">
        <v>2026.0</v>
      </c>
      <c r="B1496" s="1" t="s">
        <v>1069</v>
      </c>
      <c r="C1496" s="2" t="s">
        <v>1092</v>
      </c>
      <c r="E1496" s="2" t="s">
        <v>989</v>
      </c>
      <c r="F1496" s="2">
        <v>0.0</v>
      </c>
      <c r="G1496" s="2">
        <v>176685.0</v>
      </c>
      <c r="H1496" s="2">
        <v>176685.0</v>
      </c>
      <c r="I1496" s="2">
        <v>0.0</v>
      </c>
      <c r="J1496" s="2">
        <v>176685.0</v>
      </c>
    </row>
    <row r="1497">
      <c r="A1497" s="2">
        <v>2026.0</v>
      </c>
      <c r="B1497" s="1" t="s">
        <v>1069</v>
      </c>
      <c r="C1497" s="2" t="s">
        <v>1092</v>
      </c>
      <c r="E1497" s="2" t="s">
        <v>56</v>
      </c>
      <c r="F1497" s="2">
        <v>2158917.0</v>
      </c>
      <c r="G1497" s="2">
        <v>1023306.0</v>
      </c>
      <c r="H1497" s="2">
        <v>3182223.0</v>
      </c>
      <c r="I1497" s="2">
        <v>765740.0</v>
      </c>
      <c r="J1497" s="2">
        <v>2416483.0</v>
      </c>
    </row>
    <row r="1498">
      <c r="A1498" s="2">
        <v>2026.0</v>
      </c>
      <c r="B1498" s="1" t="s">
        <v>1069</v>
      </c>
      <c r="C1498" s="2" t="s">
        <v>133</v>
      </c>
      <c r="D1498" s="2" t="s">
        <v>806</v>
      </c>
      <c r="E1498" s="2" t="s">
        <v>686</v>
      </c>
      <c r="F1498" s="2">
        <v>2354346.0</v>
      </c>
      <c r="G1498" s="2">
        <v>1696544.0</v>
      </c>
      <c r="H1498" s="2">
        <v>4050890.0</v>
      </c>
      <c r="I1498" s="2">
        <v>1116491.0</v>
      </c>
      <c r="J1498" s="2">
        <v>2934399.0</v>
      </c>
    </row>
    <row r="1499">
      <c r="A1499" s="2">
        <v>2026.0</v>
      </c>
      <c r="B1499" s="1" t="s">
        <v>1069</v>
      </c>
      <c r="C1499" s="2" t="s">
        <v>133</v>
      </c>
      <c r="E1499" s="2" t="s">
        <v>1102</v>
      </c>
      <c r="F1499" s="2">
        <v>1889373.0</v>
      </c>
      <c r="G1499" s="2">
        <v>3410895.0</v>
      </c>
      <c r="H1499" s="2">
        <v>5300268.0</v>
      </c>
      <c r="I1499" s="2">
        <v>4677341.0</v>
      </c>
      <c r="J1499" s="2">
        <v>622927.0</v>
      </c>
    </row>
    <row r="1500">
      <c r="A1500" s="2">
        <v>2026.0</v>
      </c>
      <c r="B1500" s="1" t="s">
        <v>1069</v>
      </c>
      <c r="C1500" s="2" t="s">
        <v>133</v>
      </c>
      <c r="E1500" s="2" t="s">
        <v>32</v>
      </c>
      <c r="F1500" s="2">
        <v>85128.0</v>
      </c>
      <c r="G1500" s="2">
        <v>111550.0</v>
      </c>
      <c r="H1500" s="2">
        <v>196678.0</v>
      </c>
      <c r="I1500" s="2">
        <v>89888.0</v>
      </c>
      <c r="J1500" s="2">
        <v>106790.0</v>
      </c>
    </row>
    <row r="1501">
      <c r="A1501" s="2">
        <v>2026.0</v>
      </c>
      <c r="B1501" s="1" t="s">
        <v>1069</v>
      </c>
      <c r="C1501" s="2" t="s">
        <v>133</v>
      </c>
      <c r="D1501" s="2" t="s">
        <v>142</v>
      </c>
      <c r="E1501" s="2" t="s">
        <v>686</v>
      </c>
      <c r="F1501" s="2">
        <v>2732981.0</v>
      </c>
      <c r="G1501" s="2">
        <v>2122953.0</v>
      </c>
      <c r="H1501" s="2">
        <v>4855934.0</v>
      </c>
      <c r="I1501" s="2">
        <v>1324359.0</v>
      </c>
      <c r="J1501" s="2">
        <v>3531575.0</v>
      </c>
    </row>
    <row r="1502">
      <c r="A1502" s="2">
        <v>2026.0</v>
      </c>
      <c r="B1502" s="1" t="s">
        <v>1069</v>
      </c>
      <c r="C1502" s="2" t="s">
        <v>133</v>
      </c>
      <c r="E1502" s="2" t="s">
        <v>749</v>
      </c>
      <c r="F1502" s="2">
        <v>2077354.0</v>
      </c>
      <c r="G1502" s="2">
        <v>4138000.0</v>
      </c>
      <c r="H1502" s="2">
        <v>6215354.0</v>
      </c>
      <c r="I1502" s="2">
        <v>5504232.0</v>
      </c>
      <c r="J1502" s="2">
        <v>711122.0</v>
      </c>
    </row>
    <row r="1503">
      <c r="A1503" s="2">
        <v>2026.0</v>
      </c>
      <c r="B1503" s="1" t="s">
        <v>1069</v>
      </c>
      <c r="C1503" s="2" t="s">
        <v>133</v>
      </c>
      <c r="E1503" s="2" t="s">
        <v>32</v>
      </c>
      <c r="F1503" s="2">
        <v>134315.0</v>
      </c>
      <c r="G1503" s="2">
        <v>382338.0</v>
      </c>
      <c r="H1503" s="2">
        <v>516653.0</v>
      </c>
      <c r="I1503" s="2">
        <v>408481.0</v>
      </c>
      <c r="J1503" s="2">
        <v>108172.0</v>
      </c>
    </row>
    <row r="1504">
      <c r="A1504" s="2">
        <v>2026.0</v>
      </c>
      <c r="B1504" s="1" t="s">
        <v>1069</v>
      </c>
      <c r="C1504" s="2" t="s">
        <v>133</v>
      </c>
      <c r="D1504" s="2" t="s">
        <v>809</v>
      </c>
      <c r="E1504" s="2" t="s">
        <v>686</v>
      </c>
      <c r="F1504" s="2">
        <v>2434988.0</v>
      </c>
      <c r="G1504" s="2">
        <v>2898200.0</v>
      </c>
      <c r="H1504" s="2">
        <v>5333188.0</v>
      </c>
      <c r="I1504" s="2">
        <v>2075857.0</v>
      </c>
      <c r="J1504" s="2">
        <v>3257331.0</v>
      </c>
    </row>
    <row r="1505">
      <c r="A1505" s="2">
        <v>2026.0</v>
      </c>
      <c r="B1505" s="1" t="s">
        <v>1069</v>
      </c>
      <c r="C1505" s="2" t="s">
        <v>133</v>
      </c>
      <c r="E1505" s="2" t="s">
        <v>1104</v>
      </c>
      <c r="F1505" s="2">
        <v>3368013.0</v>
      </c>
      <c r="G1505" s="2">
        <v>1020722.0</v>
      </c>
      <c r="H1505" s="2">
        <v>4388735.0</v>
      </c>
      <c r="I1505" s="2">
        <v>1694406.0</v>
      </c>
      <c r="J1505" s="2">
        <v>2694329.0</v>
      </c>
    </row>
    <row r="1506">
      <c r="A1506" s="2">
        <v>2026.0</v>
      </c>
      <c r="B1506" s="1" t="s">
        <v>1069</v>
      </c>
      <c r="C1506" s="2" t="s">
        <v>133</v>
      </c>
      <c r="E1506" s="2" t="s">
        <v>27</v>
      </c>
      <c r="F1506" s="2">
        <v>296843.0</v>
      </c>
      <c r="G1506" s="2">
        <v>1092944.0</v>
      </c>
      <c r="H1506" s="2">
        <v>1389787.0</v>
      </c>
      <c r="I1506" s="2">
        <v>1335524.0</v>
      </c>
      <c r="J1506" s="2">
        <v>54263.0</v>
      </c>
    </row>
    <row r="1507">
      <c r="A1507" s="2">
        <v>2026.0</v>
      </c>
      <c r="B1507" s="1" t="s">
        <v>1069</v>
      </c>
      <c r="C1507" s="2" t="s">
        <v>133</v>
      </c>
      <c r="E1507" s="2" t="s">
        <v>32</v>
      </c>
      <c r="F1507" s="2">
        <v>358640.0</v>
      </c>
      <c r="G1507" s="2">
        <v>62796.0</v>
      </c>
      <c r="H1507" s="2">
        <v>421436.0</v>
      </c>
      <c r="I1507" s="2">
        <v>273288.0</v>
      </c>
      <c r="J1507" s="2">
        <v>148148.0</v>
      </c>
    </row>
    <row r="1508">
      <c r="A1508" s="2">
        <v>2026.0</v>
      </c>
      <c r="B1508" s="1" t="s">
        <v>1069</v>
      </c>
      <c r="C1508" s="2" t="s">
        <v>133</v>
      </c>
      <c r="D1508" s="2" t="s">
        <v>1105</v>
      </c>
      <c r="E1508" s="2" t="s">
        <v>1106</v>
      </c>
      <c r="F1508" s="2">
        <v>412382.0</v>
      </c>
      <c r="G1508" s="2">
        <v>1237421.0</v>
      </c>
      <c r="H1508" s="2">
        <v>1649803.0</v>
      </c>
      <c r="I1508" s="2">
        <v>882993.0</v>
      </c>
      <c r="J1508" s="2">
        <v>766810.0</v>
      </c>
    </row>
    <row r="1509">
      <c r="A1509" s="2">
        <v>2026.0</v>
      </c>
      <c r="B1509" s="1" t="s">
        <v>1069</v>
      </c>
      <c r="C1509" s="2" t="s">
        <v>133</v>
      </c>
      <c r="E1509" s="2" t="s">
        <v>1107</v>
      </c>
      <c r="F1509" s="2">
        <v>661756.0</v>
      </c>
      <c r="G1509" s="2">
        <v>1810649.0</v>
      </c>
      <c r="H1509" s="2">
        <v>2472405.0</v>
      </c>
      <c r="I1509" s="2">
        <v>2376881.0</v>
      </c>
      <c r="J1509" s="2">
        <v>95524.0</v>
      </c>
    </row>
    <row r="1510">
      <c r="A1510" s="2">
        <v>2026.0</v>
      </c>
      <c r="B1510" s="1" t="s">
        <v>1069</v>
      </c>
      <c r="C1510" s="2" t="s">
        <v>133</v>
      </c>
      <c r="E1510" s="2" t="s">
        <v>32</v>
      </c>
      <c r="F1510" s="2">
        <v>24048.0</v>
      </c>
      <c r="G1510" s="2">
        <v>88067.0</v>
      </c>
      <c r="H1510" s="2">
        <v>112115.0</v>
      </c>
      <c r="I1510" s="2">
        <v>106954.0</v>
      </c>
      <c r="J1510" s="2">
        <v>5161.0</v>
      </c>
    </row>
    <row r="1511">
      <c r="A1511" s="2">
        <v>2026.0</v>
      </c>
      <c r="B1511" s="1" t="s">
        <v>1069</v>
      </c>
      <c r="C1511" s="2" t="s">
        <v>133</v>
      </c>
      <c r="D1511" s="2" t="s">
        <v>814</v>
      </c>
      <c r="E1511" s="2" t="s">
        <v>686</v>
      </c>
      <c r="F1511" s="2">
        <v>2878942.0</v>
      </c>
      <c r="G1511" s="2">
        <v>2802361.0</v>
      </c>
      <c r="H1511" s="2">
        <v>5681303.0</v>
      </c>
      <c r="I1511" s="2">
        <v>1075829.0</v>
      </c>
      <c r="J1511" s="2">
        <v>4605474.0</v>
      </c>
    </row>
    <row r="1512">
      <c r="A1512" s="2">
        <v>2026.0</v>
      </c>
      <c r="B1512" s="1" t="s">
        <v>1069</v>
      </c>
      <c r="C1512" s="2" t="s">
        <v>133</v>
      </c>
      <c r="E1512" s="2" t="s">
        <v>749</v>
      </c>
      <c r="F1512" s="2">
        <v>3443931.0</v>
      </c>
      <c r="G1512" s="2">
        <v>985912.0</v>
      </c>
      <c r="H1512" s="2">
        <v>4429843.0</v>
      </c>
      <c r="I1512" s="2">
        <v>950984.0</v>
      </c>
      <c r="J1512" s="2">
        <v>3478859.0</v>
      </c>
    </row>
    <row r="1513">
      <c r="A1513" s="2">
        <v>2026.0</v>
      </c>
      <c r="B1513" s="1" t="s">
        <v>1069</v>
      </c>
      <c r="C1513" s="2" t="s">
        <v>133</v>
      </c>
      <c r="E1513" s="2" t="s">
        <v>27</v>
      </c>
      <c r="F1513" s="2">
        <v>250732.0</v>
      </c>
      <c r="G1513" s="2">
        <v>2451001.0</v>
      </c>
      <c r="H1513" s="2">
        <v>2701733.0</v>
      </c>
      <c r="I1513" s="2">
        <v>2487856.0</v>
      </c>
      <c r="J1513" s="2">
        <v>213877.0</v>
      </c>
    </row>
    <row r="1514">
      <c r="A1514" s="2">
        <v>2026.0</v>
      </c>
      <c r="B1514" s="1" t="s">
        <v>1069</v>
      </c>
      <c r="C1514" s="2" t="s">
        <v>133</v>
      </c>
      <c r="E1514" s="2" t="s">
        <v>32</v>
      </c>
      <c r="F1514" s="2">
        <v>488269.0</v>
      </c>
      <c r="G1514" s="2">
        <v>408253.0</v>
      </c>
      <c r="H1514" s="2">
        <v>896522.0</v>
      </c>
      <c r="I1514" s="2">
        <v>779917.0</v>
      </c>
      <c r="J1514" s="2">
        <v>116605.0</v>
      </c>
    </row>
    <row r="1515">
      <c r="A1515" s="2">
        <v>2026.0</v>
      </c>
      <c r="B1515" s="1" t="s">
        <v>1069</v>
      </c>
      <c r="C1515" s="2" t="s">
        <v>133</v>
      </c>
      <c r="D1515" s="2" t="s">
        <v>816</v>
      </c>
      <c r="E1515" s="2" t="s">
        <v>686</v>
      </c>
      <c r="F1515" s="2">
        <v>481503.0</v>
      </c>
      <c r="G1515" s="2">
        <v>1448721.0</v>
      </c>
      <c r="H1515" s="2">
        <v>1930224.0</v>
      </c>
      <c r="I1515" s="2">
        <v>389741.0</v>
      </c>
      <c r="J1515" s="2">
        <v>1540483.0</v>
      </c>
    </row>
    <row r="1516">
      <c r="A1516" s="2">
        <v>2026.0</v>
      </c>
      <c r="B1516" s="1" t="s">
        <v>1069</v>
      </c>
      <c r="C1516" s="2" t="s">
        <v>133</v>
      </c>
      <c r="E1516" s="2" t="s">
        <v>32</v>
      </c>
      <c r="F1516" s="2">
        <v>136398.0</v>
      </c>
      <c r="G1516" s="2">
        <v>250341.0</v>
      </c>
      <c r="H1516" s="2">
        <v>386739.0</v>
      </c>
      <c r="I1516" s="2">
        <v>134721.0</v>
      </c>
      <c r="J1516" s="2">
        <v>252018.0</v>
      </c>
    </row>
    <row r="1517">
      <c r="A1517" s="2">
        <v>2026.0</v>
      </c>
      <c r="B1517" s="1" t="s">
        <v>1069</v>
      </c>
      <c r="C1517" s="2" t="s">
        <v>133</v>
      </c>
      <c r="E1517" s="2" t="s">
        <v>56</v>
      </c>
      <c r="F1517" s="2">
        <v>806778.0</v>
      </c>
      <c r="G1517" s="2">
        <v>2184702.0</v>
      </c>
      <c r="H1517" s="2">
        <v>2991480.0</v>
      </c>
      <c r="I1517" s="2">
        <v>2054491.0</v>
      </c>
      <c r="J1517" s="2">
        <v>936989.0</v>
      </c>
    </row>
    <row r="1518">
      <c r="A1518" s="2">
        <v>2026.0</v>
      </c>
      <c r="B1518" s="1" t="s">
        <v>1069</v>
      </c>
      <c r="C1518" s="2" t="s">
        <v>133</v>
      </c>
      <c r="D1518" s="2" t="s">
        <v>139</v>
      </c>
      <c r="E1518" s="2" t="s">
        <v>686</v>
      </c>
      <c r="F1518" s="2">
        <v>2949396.0</v>
      </c>
      <c r="G1518" s="2">
        <v>85381.0</v>
      </c>
      <c r="H1518" s="2">
        <v>3034777.0</v>
      </c>
      <c r="I1518" s="2">
        <v>1350454.0</v>
      </c>
      <c r="J1518" s="2">
        <v>1684323.0</v>
      </c>
    </row>
    <row r="1519">
      <c r="A1519" s="2">
        <v>2026.0</v>
      </c>
      <c r="B1519" s="1" t="s">
        <v>1069</v>
      </c>
      <c r="C1519" s="2" t="s">
        <v>133</v>
      </c>
      <c r="E1519" s="2" t="s">
        <v>32</v>
      </c>
      <c r="F1519" s="2">
        <v>116577.0</v>
      </c>
      <c r="G1519" s="2">
        <v>165140.0</v>
      </c>
      <c r="H1519" s="2">
        <v>281717.0</v>
      </c>
      <c r="I1519" s="2">
        <v>32521.0</v>
      </c>
      <c r="J1519" s="2">
        <v>249196.0</v>
      </c>
    </row>
    <row r="1520">
      <c r="A1520" s="2">
        <v>2026.0</v>
      </c>
      <c r="B1520" s="1" t="s">
        <v>1069</v>
      </c>
      <c r="C1520" s="2" t="s">
        <v>133</v>
      </c>
      <c r="E1520" s="2" t="s">
        <v>56</v>
      </c>
      <c r="F1520" s="2">
        <v>4024559.0</v>
      </c>
      <c r="G1520" s="2">
        <v>3574922.0</v>
      </c>
      <c r="H1520" s="2">
        <v>7599481.0</v>
      </c>
      <c r="I1520" s="2">
        <v>4250295.0</v>
      </c>
      <c r="J1520" s="2">
        <v>3349186.0</v>
      </c>
    </row>
    <row r="1521">
      <c r="A1521" s="2">
        <v>2026.0</v>
      </c>
      <c r="B1521" s="1" t="s">
        <v>1069</v>
      </c>
      <c r="C1521" s="2" t="s">
        <v>133</v>
      </c>
      <c r="D1521" s="2" t="s">
        <v>820</v>
      </c>
      <c r="E1521" s="2" t="s">
        <v>686</v>
      </c>
      <c r="F1521" s="2">
        <v>2576054.0</v>
      </c>
      <c r="G1521" s="2">
        <v>1796888.0</v>
      </c>
      <c r="H1521" s="2">
        <v>4372942.0</v>
      </c>
      <c r="I1521" s="2">
        <v>412600.0</v>
      </c>
      <c r="J1521" s="2">
        <v>3960342.0</v>
      </c>
    </row>
    <row r="1522">
      <c r="A1522" s="2">
        <v>2026.0</v>
      </c>
      <c r="B1522" s="1" t="s">
        <v>1069</v>
      </c>
      <c r="C1522" s="2" t="s">
        <v>133</v>
      </c>
      <c r="E1522" s="2" t="s">
        <v>394</v>
      </c>
      <c r="F1522" s="2">
        <v>2829663.0</v>
      </c>
      <c r="G1522" s="2">
        <v>5342771.0</v>
      </c>
      <c r="H1522" s="2">
        <v>8172434.0</v>
      </c>
      <c r="I1522" s="2">
        <v>5105284.0</v>
      </c>
      <c r="J1522" s="2">
        <v>3067150.0</v>
      </c>
    </row>
    <row r="1523">
      <c r="A1523" s="2">
        <v>2026.0</v>
      </c>
      <c r="B1523" s="1" t="s">
        <v>1069</v>
      </c>
      <c r="C1523" s="2" t="s">
        <v>157</v>
      </c>
      <c r="D1523" s="2" t="s">
        <v>1110</v>
      </c>
      <c r="E1523" s="2" t="s">
        <v>686</v>
      </c>
      <c r="F1523" s="2">
        <v>523793.0</v>
      </c>
      <c r="G1523" s="2">
        <v>1573435.0</v>
      </c>
      <c r="H1523" s="2">
        <v>2097228.0</v>
      </c>
      <c r="I1523" s="2">
        <v>338911.0</v>
      </c>
      <c r="J1523" s="2">
        <v>1758317.0</v>
      </c>
    </row>
    <row r="1524">
      <c r="A1524" s="2">
        <v>2026.0</v>
      </c>
      <c r="B1524" s="1" t="s">
        <v>1069</v>
      </c>
      <c r="C1524" s="2" t="s">
        <v>157</v>
      </c>
      <c r="E1524" s="2" t="s">
        <v>394</v>
      </c>
      <c r="F1524" s="2">
        <v>1342271.0</v>
      </c>
      <c r="G1524" s="2">
        <v>2087632.0</v>
      </c>
      <c r="H1524" s="2">
        <v>3429903.0</v>
      </c>
      <c r="I1524" s="2">
        <v>2279224.0</v>
      </c>
      <c r="J1524" s="2">
        <v>1150679.0</v>
      </c>
    </row>
    <row r="1525">
      <c r="A1525" s="2">
        <v>2026.0</v>
      </c>
      <c r="B1525" s="1" t="s">
        <v>1069</v>
      </c>
      <c r="C1525" s="2" t="s">
        <v>157</v>
      </c>
      <c r="D1525" s="2" t="s">
        <v>774</v>
      </c>
      <c r="E1525" s="2" t="s">
        <v>686</v>
      </c>
      <c r="F1525" s="2">
        <v>2137442.0</v>
      </c>
      <c r="G1525" s="2">
        <v>2869305.0</v>
      </c>
      <c r="H1525" s="2">
        <v>5006747.0</v>
      </c>
      <c r="I1525" s="2">
        <v>1350086.0</v>
      </c>
      <c r="J1525" s="2">
        <v>3656661.0</v>
      </c>
    </row>
    <row r="1526">
      <c r="A1526" s="2">
        <v>2026.0</v>
      </c>
      <c r="B1526" s="1" t="s">
        <v>1069</v>
      </c>
      <c r="C1526" s="2" t="s">
        <v>157</v>
      </c>
      <c r="E1526" s="2" t="s">
        <v>1112</v>
      </c>
      <c r="F1526" s="2">
        <v>1973503.0</v>
      </c>
      <c r="G1526" s="2">
        <v>3219809.0</v>
      </c>
      <c r="H1526" s="2">
        <v>5193312.0</v>
      </c>
      <c r="I1526" s="2">
        <v>4127891.0</v>
      </c>
      <c r="J1526" s="2">
        <v>1065421.0</v>
      </c>
    </row>
    <row r="1527">
      <c r="A1527" s="2">
        <v>2026.0</v>
      </c>
      <c r="B1527" s="1" t="s">
        <v>1069</v>
      </c>
      <c r="C1527" s="2" t="s">
        <v>157</v>
      </c>
      <c r="E1527" s="2" t="s">
        <v>32</v>
      </c>
      <c r="F1527" s="2">
        <v>397620.0</v>
      </c>
      <c r="G1527" s="2">
        <v>258410.0</v>
      </c>
      <c r="H1527" s="2">
        <v>656030.0</v>
      </c>
      <c r="I1527" s="2">
        <v>10958.0</v>
      </c>
      <c r="J1527" s="2">
        <v>645072.0</v>
      </c>
    </row>
    <row r="1528">
      <c r="A1528" s="2">
        <v>2026.0</v>
      </c>
      <c r="B1528" s="1" t="s">
        <v>1069</v>
      </c>
      <c r="C1528" s="2" t="s">
        <v>157</v>
      </c>
      <c r="D1528" s="2" t="s">
        <v>753</v>
      </c>
      <c r="E1528" s="2" t="s">
        <v>686</v>
      </c>
      <c r="F1528" s="2">
        <v>1214956.0</v>
      </c>
      <c r="G1528" s="2">
        <v>1803814.0</v>
      </c>
      <c r="H1528" s="2">
        <v>3018770.0</v>
      </c>
      <c r="I1528" s="2">
        <v>1026139.0</v>
      </c>
      <c r="J1528" s="2">
        <v>1992631.0</v>
      </c>
    </row>
    <row r="1529">
      <c r="A1529" s="2">
        <v>2026.0</v>
      </c>
      <c r="B1529" s="1" t="s">
        <v>1069</v>
      </c>
      <c r="C1529" s="2" t="s">
        <v>157</v>
      </c>
      <c r="E1529" s="2" t="s">
        <v>1114</v>
      </c>
      <c r="F1529" s="2">
        <v>1886792.0</v>
      </c>
      <c r="G1529" s="2">
        <v>2708066.0</v>
      </c>
      <c r="H1529" s="2">
        <v>4594858.0</v>
      </c>
      <c r="I1529" s="2">
        <v>3448622.0</v>
      </c>
      <c r="J1529" s="2">
        <v>1146236.0</v>
      </c>
    </row>
    <row r="1530">
      <c r="A1530" s="2">
        <v>2026.0</v>
      </c>
      <c r="B1530" s="1" t="s">
        <v>1069</v>
      </c>
      <c r="C1530" s="2" t="s">
        <v>157</v>
      </c>
      <c r="E1530" s="2" t="s">
        <v>32</v>
      </c>
      <c r="F1530" s="2">
        <v>128323.0</v>
      </c>
      <c r="G1530" s="2">
        <v>37802.0</v>
      </c>
      <c r="H1530" s="2">
        <v>166125.0</v>
      </c>
      <c r="I1530" s="2">
        <v>63245.0</v>
      </c>
      <c r="J1530" s="2">
        <v>102880.0</v>
      </c>
    </row>
    <row r="1531">
      <c r="A1531" s="2">
        <v>2026.0</v>
      </c>
      <c r="B1531" s="1" t="s">
        <v>1069</v>
      </c>
      <c r="C1531" s="2" t="s">
        <v>157</v>
      </c>
      <c r="E1531" s="2" t="s">
        <v>1115</v>
      </c>
      <c r="F1531" s="2">
        <v>1148.0</v>
      </c>
      <c r="G1531" s="2">
        <v>19593.0</v>
      </c>
      <c r="H1531" s="2">
        <v>20741.0</v>
      </c>
      <c r="I1531" s="2">
        <v>17341.0</v>
      </c>
      <c r="J1531" s="2">
        <v>3400.0</v>
      </c>
    </row>
    <row r="1532">
      <c r="A1532" s="2">
        <v>2026.0</v>
      </c>
      <c r="B1532" s="1" t="s">
        <v>1069</v>
      </c>
      <c r="C1532" s="2" t="s">
        <v>157</v>
      </c>
      <c r="E1532" s="2" t="s">
        <v>1116</v>
      </c>
      <c r="F1532" s="2">
        <v>22840.0</v>
      </c>
      <c r="G1532" s="2">
        <v>43447.0</v>
      </c>
      <c r="H1532" s="2">
        <v>66287.0</v>
      </c>
      <c r="I1532" s="2">
        <v>39056.0</v>
      </c>
      <c r="J1532" s="2">
        <v>27231.0</v>
      </c>
    </row>
    <row r="1533">
      <c r="A1533" s="2">
        <v>2026.0</v>
      </c>
      <c r="B1533" s="1" t="s">
        <v>1069</v>
      </c>
      <c r="C1533" s="2" t="s">
        <v>157</v>
      </c>
      <c r="D1533" s="2" t="s">
        <v>772</v>
      </c>
      <c r="E1533" s="2" t="s">
        <v>686</v>
      </c>
      <c r="F1533" s="2">
        <v>1139139.0</v>
      </c>
      <c r="G1533" s="2">
        <v>1194934.0</v>
      </c>
      <c r="H1533" s="2">
        <v>2334073.0</v>
      </c>
      <c r="I1533" s="2">
        <v>494077.0</v>
      </c>
      <c r="J1533" s="2">
        <v>1839996.0</v>
      </c>
    </row>
    <row r="1534">
      <c r="A1534" s="2">
        <v>2026.0</v>
      </c>
      <c r="B1534" s="1" t="s">
        <v>1069</v>
      </c>
      <c r="C1534" s="2" t="s">
        <v>157</v>
      </c>
      <c r="E1534" s="2" t="s">
        <v>749</v>
      </c>
      <c r="F1534" s="2">
        <v>2284236.0</v>
      </c>
      <c r="G1534" s="2">
        <v>768000.0</v>
      </c>
      <c r="H1534" s="2">
        <v>3052236.0</v>
      </c>
      <c r="I1534" s="2">
        <v>486396.0</v>
      </c>
      <c r="J1534" s="2">
        <v>2565840.0</v>
      </c>
    </row>
    <row r="1535">
      <c r="A1535" s="2">
        <v>2026.0</v>
      </c>
      <c r="B1535" s="1" t="s">
        <v>1069</v>
      </c>
      <c r="C1535" s="2" t="s">
        <v>157</v>
      </c>
      <c r="D1535" s="2" t="s">
        <v>1117</v>
      </c>
      <c r="E1535" s="2" t="s">
        <v>686</v>
      </c>
      <c r="F1535" s="2">
        <v>2823342.0</v>
      </c>
      <c r="G1535" s="2">
        <v>1587396.0</v>
      </c>
      <c r="H1535" s="2">
        <v>4410738.0</v>
      </c>
      <c r="I1535" s="2">
        <v>2072119.0</v>
      </c>
      <c r="J1535" s="2">
        <v>2338619.0</v>
      </c>
    </row>
    <row r="1536">
      <c r="A1536" s="2">
        <v>2026.0</v>
      </c>
      <c r="B1536" s="1" t="s">
        <v>1069</v>
      </c>
      <c r="C1536" s="2" t="s">
        <v>157</v>
      </c>
      <c r="E1536" s="2" t="s">
        <v>1118</v>
      </c>
      <c r="F1536" s="2">
        <v>5545909.0</v>
      </c>
      <c r="G1536" s="2">
        <v>4731607.0</v>
      </c>
      <c r="H1536" s="2">
        <v>1.0277516E7</v>
      </c>
      <c r="I1536" s="2">
        <v>5972551.0</v>
      </c>
      <c r="J1536" s="2">
        <v>4304965.0</v>
      </c>
    </row>
    <row r="1537">
      <c r="A1537" s="2">
        <v>2026.0</v>
      </c>
      <c r="B1537" s="1" t="s">
        <v>1069</v>
      </c>
      <c r="C1537" s="2" t="s">
        <v>157</v>
      </c>
      <c r="E1537" s="2" t="s">
        <v>32</v>
      </c>
      <c r="F1537" s="2">
        <v>51536.0</v>
      </c>
      <c r="G1537" s="2">
        <v>69035.0</v>
      </c>
      <c r="H1537" s="2">
        <v>120571.0</v>
      </c>
      <c r="I1537" s="2">
        <v>98980.0</v>
      </c>
      <c r="J1537" s="2">
        <v>21591.0</v>
      </c>
    </row>
    <row r="1538">
      <c r="A1538" s="2">
        <v>2026.0</v>
      </c>
      <c r="B1538" s="1" t="s">
        <v>1069</v>
      </c>
      <c r="C1538" s="2" t="s">
        <v>157</v>
      </c>
      <c r="E1538" s="2" t="s">
        <v>56</v>
      </c>
      <c r="F1538" s="2">
        <v>2671031.0</v>
      </c>
      <c r="G1538" s="2">
        <v>3075176.0</v>
      </c>
      <c r="H1538" s="2">
        <v>5746207.0</v>
      </c>
      <c r="I1538" s="2">
        <v>3801452.0</v>
      </c>
      <c r="J1538" s="2">
        <v>1944755.0</v>
      </c>
    </row>
    <row r="1539">
      <c r="A1539" s="2">
        <v>2026.0</v>
      </c>
      <c r="B1539" s="1" t="s">
        <v>1069</v>
      </c>
      <c r="C1539" s="2" t="s">
        <v>877</v>
      </c>
      <c r="D1539" s="2" t="s">
        <v>604</v>
      </c>
      <c r="E1539" s="2" t="s">
        <v>686</v>
      </c>
      <c r="F1539" s="2">
        <v>886167.0</v>
      </c>
      <c r="G1539" s="2">
        <v>974846.0</v>
      </c>
      <c r="H1539" s="2">
        <v>1861013.0</v>
      </c>
      <c r="I1539" s="2">
        <v>1050629.0</v>
      </c>
      <c r="J1539" s="2">
        <v>810384.0</v>
      </c>
    </row>
    <row r="1540">
      <c r="A1540" s="2">
        <v>2026.0</v>
      </c>
      <c r="B1540" s="1" t="s">
        <v>1069</v>
      </c>
      <c r="C1540" s="2" t="s">
        <v>877</v>
      </c>
      <c r="E1540" s="2" t="s">
        <v>27</v>
      </c>
      <c r="F1540" s="2">
        <v>502620.0</v>
      </c>
      <c r="G1540" s="2">
        <v>2008922.0</v>
      </c>
      <c r="H1540" s="2">
        <v>2511542.0</v>
      </c>
      <c r="I1540" s="2">
        <v>2313024.0</v>
      </c>
      <c r="J1540" s="2">
        <v>198518.0</v>
      </c>
    </row>
    <row r="1541">
      <c r="A1541" s="2">
        <v>2026.0</v>
      </c>
      <c r="B1541" s="1" t="s">
        <v>1069</v>
      </c>
      <c r="C1541" s="2" t="s">
        <v>877</v>
      </c>
      <c r="E1541" s="2" t="s">
        <v>32</v>
      </c>
      <c r="F1541" s="2">
        <v>449378.0</v>
      </c>
      <c r="G1541" s="2">
        <v>123605.0</v>
      </c>
      <c r="H1541" s="2">
        <v>572983.0</v>
      </c>
      <c r="I1541" s="2">
        <v>95042.0</v>
      </c>
      <c r="J1541" s="2">
        <v>477941.0</v>
      </c>
    </row>
    <row r="1542">
      <c r="A1542" s="2">
        <v>2026.0</v>
      </c>
      <c r="B1542" s="1" t="s">
        <v>1069</v>
      </c>
      <c r="C1542" s="2" t="s">
        <v>877</v>
      </c>
      <c r="E1542" s="2" t="s">
        <v>56</v>
      </c>
      <c r="F1542" s="2">
        <v>829575.0</v>
      </c>
      <c r="G1542" s="2">
        <v>333558.0</v>
      </c>
      <c r="H1542" s="2">
        <v>1163133.0</v>
      </c>
      <c r="I1542" s="2">
        <v>310321.0</v>
      </c>
      <c r="J1542" s="2">
        <v>852812.0</v>
      </c>
    </row>
    <row r="1543">
      <c r="A1543" s="2">
        <v>2026.0</v>
      </c>
      <c r="B1543" s="1" t="s">
        <v>1069</v>
      </c>
      <c r="C1543" s="2" t="s">
        <v>877</v>
      </c>
      <c r="D1543" s="2" t="s">
        <v>84</v>
      </c>
      <c r="E1543" s="2" t="s">
        <v>686</v>
      </c>
      <c r="F1543" s="2">
        <v>2062693.0</v>
      </c>
      <c r="G1543" s="2">
        <v>972413.0</v>
      </c>
      <c r="H1543" s="2">
        <v>3035106.0</v>
      </c>
      <c r="I1543" s="2">
        <v>650304.0</v>
      </c>
      <c r="J1543" s="2">
        <v>2384802.0</v>
      </c>
    </row>
    <row r="1544">
      <c r="A1544" s="2">
        <v>2026.0</v>
      </c>
      <c r="B1544" s="1" t="s">
        <v>1069</v>
      </c>
      <c r="C1544" s="2" t="s">
        <v>877</v>
      </c>
      <c r="E1544" s="2" t="s">
        <v>27</v>
      </c>
      <c r="F1544" s="2">
        <v>568560.0</v>
      </c>
      <c r="G1544" s="2">
        <v>1520017.0</v>
      </c>
      <c r="H1544" s="2">
        <v>2088577.0</v>
      </c>
      <c r="I1544" s="2">
        <v>1509550.0</v>
      </c>
      <c r="J1544" s="2">
        <v>579027.0</v>
      </c>
    </row>
    <row r="1545">
      <c r="A1545" s="2">
        <v>2026.0</v>
      </c>
      <c r="B1545" s="1" t="s">
        <v>1069</v>
      </c>
      <c r="C1545" s="2" t="s">
        <v>877</v>
      </c>
      <c r="E1545" s="2" t="s">
        <v>32</v>
      </c>
      <c r="F1545" s="2">
        <v>295989.0</v>
      </c>
      <c r="G1545" s="2">
        <v>277434.0</v>
      </c>
      <c r="H1545" s="2">
        <v>573423.0</v>
      </c>
      <c r="I1545" s="2">
        <v>446677.0</v>
      </c>
      <c r="J1545" s="2">
        <v>126746.0</v>
      </c>
    </row>
    <row r="1546">
      <c r="A1546" s="2">
        <v>2026.0</v>
      </c>
      <c r="B1546" s="1" t="s">
        <v>1069</v>
      </c>
      <c r="C1546" s="2" t="s">
        <v>877</v>
      </c>
      <c r="E1546" s="2" t="s">
        <v>56</v>
      </c>
      <c r="F1546" s="2">
        <v>2259297.0</v>
      </c>
      <c r="G1546" s="2">
        <v>1060663.0</v>
      </c>
      <c r="H1546" s="2">
        <v>3319960.0</v>
      </c>
      <c r="I1546" s="2">
        <v>759341.0</v>
      </c>
      <c r="J1546" s="2">
        <v>2560619.0</v>
      </c>
    </row>
    <row r="1547">
      <c r="A1547" s="2">
        <v>2026.0</v>
      </c>
      <c r="B1547" s="1" t="s">
        <v>1069</v>
      </c>
      <c r="C1547" s="2" t="s">
        <v>877</v>
      </c>
      <c r="D1547" s="2" t="s">
        <v>847</v>
      </c>
      <c r="E1547" s="2" t="s">
        <v>686</v>
      </c>
      <c r="F1547" s="2">
        <v>1064729.0</v>
      </c>
      <c r="G1547" s="2">
        <v>952149.0</v>
      </c>
      <c r="H1547" s="2">
        <v>2016878.0</v>
      </c>
      <c r="I1547" s="2">
        <v>460200.0</v>
      </c>
      <c r="J1547" s="2">
        <v>1556678.0</v>
      </c>
    </row>
    <row r="1548">
      <c r="A1548" s="2">
        <v>2026.0</v>
      </c>
      <c r="B1548" s="1" t="s">
        <v>1069</v>
      </c>
      <c r="C1548" s="2" t="s">
        <v>877</v>
      </c>
      <c r="E1548" s="2" t="s">
        <v>279</v>
      </c>
      <c r="F1548" s="2">
        <v>1722554.0</v>
      </c>
      <c r="G1548" s="2">
        <v>1425629.0</v>
      </c>
      <c r="H1548" s="2">
        <v>3148183.0</v>
      </c>
      <c r="I1548" s="2">
        <v>2043646.0</v>
      </c>
      <c r="J1548" s="2">
        <v>1104537.0</v>
      </c>
    </row>
    <row r="1549">
      <c r="A1549" s="2">
        <v>2026.0</v>
      </c>
      <c r="B1549" s="1" t="s">
        <v>1069</v>
      </c>
      <c r="C1549" s="2" t="s">
        <v>877</v>
      </c>
      <c r="E1549" s="2" t="s">
        <v>32</v>
      </c>
      <c r="F1549" s="2">
        <v>36126.0</v>
      </c>
      <c r="G1549" s="2">
        <v>94979.0</v>
      </c>
      <c r="H1549" s="2">
        <v>131105.0</v>
      </c>
      <c r="I1549" s="2">
        <v>0.0</v>
      </c>
      <c r="J1549" s="2">
        <v>131105.0</v>
      </c>
    </row>
    <row r="1550">
      <c r="A1550" s="2">
        <v>2026.0</v>
      </c>
      <c r="B1550" s="1" t="s">
        <v>1069</v>
      </c>
      <c r="C1550" s="2" t="s">
        <v>877</v>
      </c>
      <c r="D1550" s="2" t="s">
        <v>615</v>
      </c>
      <c r="E1550" s="2" t="s">
        <v>686</v>
      </c>
      <c r="F1550" s="2">
        <v>1370892.0</v>
      </c>
      <c r="G1550" s="2">
        <v>1706668.0</v>
      </c>
      <c r="H1550" s="2">
        <v>3077560.0</v>
      </c>
      <c r="I1550" s="2">
        <v>1166290.0</v>
      </c>
      <c r="J1550" s="2">
        <v>1911270.0</v>
      </c>
    </row>
    <row r="1551">
      <c r="A1551" s="2">
        <v>2026.0</v>
      </c>
      <c r="B1551" s="1" t="s">
        <v>1069</v>
      </c>
      <c r="C1551" s="2" t="s">
        <v>877</v>
      </c>
      <c r="E1551" s="2" t="s">
        <v>749</v>
      </c>
      <c r="F1551" s="2">
        <v>657993.0</v>
      </c>
      <c r="G1551" s="2">
        <v>740126.0</v>
      </c>
      <c r="H1551" s="2">
        <v>1398119.0</v>
      </c>
      <c r="I1551" s="2">
        <v>844025.0</v>
      </c>
      <c r="J1551" s="2">
        <v>554094.0</v>
      </c>
    </row>
    <row r="1552">
      <c r="A1552" s="2">
        <v>2026.0</v>
      </c>
      <c r="B1552" s="1" t="s">
        <v>1069</v>
      </c>
      <c r="C1552" s="2" t="s">
        <v>877</v>
      </c>
      <c r="E1552" s="2" t="s">
        <v>32</v>
      </c>
      <c r="F1552" s="2">
        <v>58101.0</v>
      </c>
      <c r="G1552" s="2">
        <v>78711.0</v>
      </c>
      <c r="H1552" s="2">
        <v>136812.0</v>
      </c>
      <c r="I1552" s="2">
        <v>95574.0</v>
      </c>
      <c r="J1552" s="2">
        <v>41238.0</v>
      </c>
    </row>
    <row r="1553">
      <c r="A1553" s="2">
        <v>2026.0</v>
      </c>
      <c r="B1553" s="1" t="s">
        <v>1069</v>
      </c>
      <c r="C1553" s="2" t="s">
        <v>877</v>
      </c>
      <c r="E1553" s="2" t="s">
        <v>1119</v>
      </c>
      <c r="F1553" s="2">
        <v>403411.0</v>
      </c>
      <c r="G1553" s="2">
        <v>3037118.0</v>
      </c>
      <c r="H1553" s="2">
        <v>3440529.0</v>
      </c>
      <c r="I1553" s="2">
        <v>3406528.0</v>
      </c>
      <c r="J1553" s="2">
        <v>34001.0</v>
      </c>
    </row>
    <row r="1554">
      <c r="A1554" s="2">
        <v>2026.0</v>
      </c>
      <c r="B1554" s="1" t="s">
        <v>1069</v>
      </c>
      <c r="C1554" s="2" t="s">
        <v>877</v>
      </c>
      <c r="D1554" s="2" t="s">
        <v>1120</v>
      </c>
      <c r="E1554" s="2" t="s">
        <v>686</v>
      </c>
      <c r="F1554" s="2">
        <v>789997.0</v>
      </c>
      <c r="G1554" s="2">
        <v>1139835.0</v>
      </c>
      <c r="H1554" s="2">
        <v>1929832.0</v>
      </c>
      <c r="I1554" s="2">
        <v>743531.0</v>
      </c>
      <c r="J1554" s="2">
        <v>1186301.0</v>
      </c>
    </row>
    <row r="1555">
      <c r="A1555" s="2">
        <v>2026.0</v>
      </c>
      <c r="B1555" s="1" t="s">
        <v>1069</v>
      </c>
      <c r="C1555" s="2" t="s">
        <v>877</v>
      </c>
      <c r="E1555" s="2" t="s">
        <v>794</v>
      </c>
      <c r="F1555" s="2">
        <v>163272.0</v>
      </c>
      <c r="G1555" s="2">
        <v>0.0</v>
      </c>
      <c r="H1555" s="2">
        <v>163272.0</v>
      </c>
      <c r="I1555" s="2">
        <v>180.0</v>
      </c>
      <c r="J1555" s="2">
        <v>163092.0</v>
      </c>
    </row>
    <row r="1556">
      <c r="A1556" s="2">
        <v>2026.0</v>
      </c>
      <c r="B1556" s="1" t="s">
        <v>1069</v>
      </c>
      <c r="C1556" s="2" t="s">
        <v>877</v>
      </c>
      <c r="E1556" s="2" t="s">
        <v>749</v>
      </c>
      <c r="F1556" s="2">
        <v>1267405.0</v>
      </c>
      <c r="G1556" s="2">
        <v>363000.0</v>
      </c>
      <c r="H1556" s="2">
        <v>1630405.0</v>
      </c>
      <c r="I1556" s="2">
        <v>721618.0</v>
      </c>
      <c r="J1556" s="2">
        <v>908787.0</v>
      </c>
    </row>
    <row r="1557">
      <c r="A1557" s="2">
        <v>2026.0</v>
      </c>
      <c r="B1557" s="1" t="s">
        <v>1069</v>
      </c>
      <c r="C1557" s="2" t="s">
        <v>877</v>
      </c>
      <c r="E1557" s="2" t="s">
        <v>27</v>
      </c>
      <c r="F1557" s="2">
        <v>921567.0</v>
      </c>
      <c r="G1557" s="2">
        <v>1669786.0</v>
      </c>
      <c r="H1557" s="2">
        <v>2591353.0</v>
      </c>
      <c r="I1557" s="2">
        <v>1779038.0</v>
      </c>
      <c r="J1557" s="2">
        <v>812315.0</v>
      </c>
    </row>
    <row r="1558">
      <c r="A1558" s="2">
        <v>2026.0</v>
      </c>
      <c r="B1558" s="1" t="s">
        <v>1069</v>
      </c>
      <c r="C1558" s="2" t="s">
        <v>877</v>
      </c>
      <c r="E1558" s="2" t="s">
        <v>32</v>
      </c>
      <c r="F1558" s="2">
        <v>466630.0</v>
      </c>
      <c r="G1558" s="2">
        <v>109305.0</v>
      </c>
      <c r="H1558" s="2">
        <v>575935.0</v>
      </c>
      <c r="I1558" s="2">
        <v>128473.0</v>
      </c>
      <c r="J1558" s="2">
        <v>447462.0</v>
      </c>
    </row>
    <row r="1559">
      <c r="A1559" s="2">
        <v>2026.0</v>
      </c>
      <c r="B1559" s="1" t="s">
        <v>1069</v>
      </c>
      <c r="C1559" s="2" t="s">
        <v>877</v>
      </c>
      <c r="E1559" s="2" t="s">
        <v>459</v>
      </c>
      <c r="F1559" s="2">
        <v>501447.0</v>
      </c>
      <c r="G1559" s="2">
        <v>365000.0</v>
      </c>
      <c r="H1559" s="2">
        <v>866447.0</v>
      </c>
      <c r="I1559" s="2">
        <v>279035.0</v>
      </c>
      <c r="J1559" s="2">
        <v>587412.0</v>
      </c>
    </row>
    <row r="1560">
      <c r="A1560" s="2">
        <v>2026.0</v>
      </c>
      <c r="B1560" s="1" t="s">
        <v>1069</v>
      </c>
      <c r="C1560" s="2" t="s">
        <v>877</v>
      </c>
      <c r="D1560" s="2" t="s">
        <v>607</v>
      </c>
      <c r="E1560" s="2" t="s">
        <v>686</v>
      </c>
      <c r="F1560" s="2">
        <v>4188952.0</v>
      </c>
      <c r="G1560" s="2">
        <v>3009207.0</v>
      </c>
      <c r="H1560" s="2">
        <v>7198159.0</v>
      </c>
      <c r="I1560" s="2">
        <v>2334954.0</v>
      </c>
      <c r="J1560" s="2">
        <v>4863205.0</v>
      </c>
    </row>
    <row r="1561">
      <c r="A1561" s="2">
        <v>2026.0</v>
      </c>
      <c r="B1561" s="1" t="s">
        <v>1069</v>
      </c>
      <c r="C1561" s="2" t="s">
        <v>877</v>
      </c>
      <c r="E1561" s="2" t="s">
        <v>1121</v>
      </c>
      <c r="F1561" s="2">
        <v>5013594.0</v>
      </c>
      <c r="G1561" s="2">
        <v>3115914.0</v>
      </c>
      <c r="H1561" s="2">
        <v>8129508.0</v>
      </c>
      <c r="I1561" s="2">
        <v>3407840.0</v>
      </c>
      <c r="J1561" s="2">
        <v>4721668.0</v>
      </c>
    </row>
    <row r="1562">
      <c r="A1562" s="2">
        <v>2026.0</v>
      </c>
      <c r="B1562" s="1" t="s">
        <v>1069</v>
      </c>
      <c r="C1562" s="2" t="s">
        <v>877</v>
      </c>
      <c r="D1562" s="2" t="s">
        <v>895</v>
      </c>
      <c r="E1562" s="2" t="s">
        <v>686</v>
      </c>
      <c r="F1562" s="2">
        <v>886167.0</v>
      </c>
      <c r="G1562" s="2">
        <v>974846.0</v>
      </c>
      <c r="H1562" s="2">
        <v>1861013.0</v>
      </c>
      <c r="I1562" s="2">
        <v>1050629.0</v>
      </c>
      <c r="J1562" s="2">
        <v>810384.0</v>
      </c>
    </row>
    <row r="1563">
      <c r="A1563" s="2">
        <v>2026.0</v>
      </c>
      <c r="B1563" s="1" t="s">
        <v>1069</v>
      </c>
      <c r="C1563" s="2" t="s">
        <v>877</v>
      </c>
      <c r="E1563" s="2" t="s">
        <v>27</v>
      </c>
      <c r="F1563" s="2">
        <v>502620.0</v>
      </c>
      <c r="G1563" s="2">
        <v>2008922.0</v>
      </c>
      <c r="H1563" s="2">
        <v>2511542.0</v>
      </c>
      <c r="I1563" s="2">
        <v>2313024.0</v>
      </c>
      <c r="J1563" s="2">
        <v>198518.0</v>
      </c>
    </row>
    <row r="1564">
      <c r="A1564" s="2">
        <v>2026.0</v>
      </c>
      <c r="B1564" s="1" t="s">
        <v>1069</v>
      </c>
      <c r="C1564" s="2" t="s">
        <v>877</v>
      </c>
      <c r="E1564" s="2" t="s">
        <v>32</v>
      </c>
      <c r="F1564" s="2">
        <v>224968.0</v>
      </c>
      <c r="G1564" s="2">
        <v>115253.0</v>
      </c>
      <c r="H1564" s="2">
        <v>340221.0</v>
      </c>
      <c r="I1564" s="2">
        <v>0.0</v>
      </c>
      <c r="J1564" s="2">
        <v>340221.0</v>
      </c>
    </row>
    <row r="1565">
      <c r="A1565" s="2">
        <v>2026.0</v>
      </c>
      <c r="B1565" s="1" t="s">
        <v>1069</v>
      </c>
      <c r="C1565" s="2" t="s">
        <v>877</v>
      </c>
      <c r="E1565" s="2" t="s">
        <v>1122</v>
      </c>
      <c r="F1565" s="2">
        <v>224410.0</v>
      </c>
      <c r="G1565" s="2">
        <v>8352.0</v>
      </c>
      <c r="H1565" s="2">
        <v>232762.0</v>
      </c>
      <c r="I1565" s="2">
        <v>95042.0</v>
      </c>
      <c r="J1565" s="2">
        <v>137720.0</v>
      </c>
    </row>
    <row r="1566">
      <c r="A1566" s="2">
        <v>2026.0</v>
      </c>
      <c r="B1566" s="1" t="s">
        <v>1069</v>
      </c>
      <c r="C1566" s="2" t="s">
        <v>877</v>
      </c>
      <c r="E1566" s="2" t="s">
        <v>56</v>
      </c>
      <c r="F1566" s="2">
        <v>829575.0</v>
      </c>
      <c r="G1566" s="2">
        <v>333558.0</v>
      </c>
      <c r="H1566" s="2">
        <v>1163133.0</v>
      </c>
      <c r="I1566" s="2">
        <v>310321.0</v>
      </c>
      <c r="J1566" s="2">
        <v>852812.0</v>
      </c>
    </row>
    <row r="1567">
      <c r="A1567" s="2">
        <v>2026.0</v>
      </c>
      <c r="B1567" s="1" t="s">
        <v>1069</v>
      </c>
      <c r="C1567" s="2" t="s">
        <v>165</v>
      </c>
      <c r="D1567" s="2" t="s">
        <v>782</v>
      </c>
      <c r="E1567" s="2" t="s">
        <v>686</v>
      </c>
      <c r="F1567" s="2">
        <v>593072.0</v>
      </c>
      <c r="G1567" s="2">
        <v>1766670.0</v>
      </c>
      <c r="H1567" s="2">
        <v>2359742.0</v>
      </c>
      <c r="I1567" s="2">
        <v>682596.0</v>
      </c>
      <c r="J1567" s="2">
        <v>1677146.0</v>
      </c>
    </row>
    <row r="1568">
      <c r="A1568" s="2">
        <v>2026.0</v>
      </c>
      <c r="B1568" s="1" t="s">
        <v>1069</v>
      </c>
      <c r="C1568" s="2" t="s">
        <v>165</v>
      </c>
      <c r="E1568" s="2" t="s">
        <v>27</v>
      </c>
      <c r="F1568" s="2">
        <v>33069.0</v>
      </c>
      <c r="G1568" s="2">
        <v>1861656.0</v>
      </c>
      <c r="H1568" s="2">
        <v>1894725.0</v>
      </c>
      <c r="I1568" s="2">
        <v>1814591.0</v>
      </c>
      <c r="J1568" s="2">
        <v>80134.0</v>
      </c>
    </row>
    <row r="1569">
      <c r="A1569" s="2">
        <v>2026.0</v>
      </c>
      <c r="B1569" s="1" t="s">
        <v>1069</v>
      </c>
      <c r="C1569" s="2" t="s">
        <v>165</v>
      </c>
      <c r="E1569" s="2" t="s">
        <v>32</v>
      </c>
      <c r="F1569" s="2">
        <v>1161520.0</v>
      </c>
      <c r="G1569" s="2">
        <v>1154060.0</v>
      </c>
      <c r="H1569" s="2">
        <v>2315580.0</v>
      </c>
      <c r="I1569" s="2">
        <v>1312765.0</v>
      </c>
      <c r="J1569" s="2">
        <v>1002815.0</v>
      </c>
    </row>
    <row r="1570">
      <c r="A1570" s="2">
        <v>2026.0</v>
      </c>
      <c r="B1570" s="1" t="s">
        <v>1069</v>
      </c>
      <c r="C1570" s="2" t="s">
        <v>165</v>
      </c>
      <c r="D1570" s="2" t="s">
        <v>175</v>
      </c>
      <c r="E1570" s="2" t="s">
        <v>1123</v>
      </c>
      <c r="F1570" s="2">
        <v>2276.0</v>
      </c>
      <c r="G1570" s="2">
        <v>75.0</v>
      </c>
      <c r="H1570" s="2">
        <v>2351.0</v>
      </c>
      <c r="I1570" s="2">
        <v>0.0</v>
      </c>
      <c r="J1570" s="2">
        <v>2351.0</v>
      </c>
    </row>
    <row r="1571">
      <c r="A1571" s="2">
        <v>2026.0</v>
      </c>
      <c r="B1571" s="1" t="s">
        <v>1069</v>
      </c>
      <c r="C1571" s="2" t="s">
        <v>165</v>
      </c>
      <c r="E1571" s="2" t="s">
        <v>686</v>
      </c>
      <c r="F1571" s="2">
        <v>489248.0</v>
      </c>
      <c r="G1571" s="2">
        <v>1193355.0</v>
      </c>
      <c r="H1571" s="2">
        <v>1682603.0</v>
      </c>
      <c r="I1571" s="2">
        <v>460311.0</v>
      </c>
      <c r="J1571" s="2">
        <v>1222292.0</v>
      </c>
    </row>
    <row r="1572">
      <c r="A1572" s="2">
        <v>2026.0</v>
      </c>
      <c r="B1572" s="1" t="s">
        <v>1069</v>
      </c>
      <c r="C1572" s="2" t="s">
        <v>165</v>
      </c>
      <c r="E1572" s="2" t="s">
        <v>779</v>
      </c>
      <c r="F1572" s="2">
        <v>90924.0</v>
      </c>
      <c r="G1572" s="2">
        <v>2986.0</v>
      </c>
      <c r="H1572" s="2">
        <v>93910.0</v>
      </c>
      <c r="I1572" s="2">
        <v>0.0</v>
      </c>
      <c r="J1572" s="2">
        <v>93910.0</v>
      </c>
    </row>
    <row r="1573">
      <c r="A1573" s="2">
        <v>2026.0</v>
      </c>
      <c r="B1573" s="1" t="s">
        <v>1069</v>
      </c>
      <c r="C1573" s="2" t="s">
        <v>165</v>
      </c>
      <c r="E1573" s="2" t="s">
        <v>1124</v>
      </c>
      <c r="F1573" s="2">
        <v>1912283.0</v>
      </c>
      <c r="G1573" s="2">
        <v>1940224.0</v>
      </c>
      <c r="H1573" s="2">
        <v>3852507.0</v>
      </c>
      <c r="I1573" s="2">
        <v>1995201.0</v>
      </c>
      <c r="J1573" s="2">
        <v>1857306.0</v>
      </c>
    </row>
    <row r="1574">
      <c r="A1574" s="2">
        <v>2026.0</v>
      </c>
      <c r="B1574" s="1" t="s">
        <v>1069</v>
      </c>
      <c r="C1574" s="2" t="s">
        <v>165</v>
      </c>
      <c r="E1574" s="2" t="s">
        <v>32</v>
      </c>
      <c r="F1574" s="2">
        <v>524334.0</v>
      </c>
      <c r="G1574" s="2">
        <v>195928.0</v>
      </c>
      <c r="H1574" s="2">
        <v>720262.0</v>
      </c>
      <c r="I1574" s="2">
        <v>241510.0</v>
      </c>
      <c r="J1574" s="2">
        <v>478752.0</v>
      </c>
    </row>
    <row r="1575">
      <c r="A1575" s="2">
        <v>2026.0</v>
      </c>
      <c r="B1575" s="1" t="s">
        <v>1069</v>
      </c>
      <c r="C1575" s="2" t="s">
        <v>165</v>
      </c>
      <c r="D1575" s="2" t="s">
        <v>784</v>
      </c>
      <c r="E1575" s="2" t="s">
        <v>686</v>
      </c>
      <c r="F1575" s="2">
        <v>2416920.0</v>
      </c>
      <c r="G1575" s="2">
        <v>1726061.0</v>
      </c>
      <c r="H1575" s="2">
        <v>4142981.0</v>
      </c>
      <c r="I1575" s="2">
        <v>1965570.0</v>
      </c>
      <c r="J1575" s="2">
        <v>2177411.0</v>
      </c>
    </row>
    <row r="1576">
      <c r="A1576" s="2">
        <v>2026.0</v>
      </c>
      <c r="B1576" s="1" t="s">
        <v>1069</v>
      </c>
      <c r="C1576" s="2" t="s">
        <v>165</v>
      </c>
      <c r="E1576" s="2" t="s">
        <v>1125</v>
      </c>
      <c r="F1576" s="2">
        <v>2911434.0</v>
      </c>
      <c r="G1576" s="2">
        <v>3277429.0</v>
      </c>
      <c r="H1576" s="2">
        <v>6188863.0</v>
      </c>
      <c r="I1576" s="2">
        <v>4518723.0</v>
      </c>
      <c r="J1576" s="2">
        <v>1670140.0</v>
      </c>
    </row>
    <row r="1577">
      <c r="A1577" s="2">
        <v>2026.0</v>
      </c>
      <c r="B1577" s="1" t="s">
        <v>1069</v>
      </c>
      <c r="C1577" s="2" t="s">
        <v>165</v>
      </c>
      <c r="E1577" s="2" t="s">
        <v>32</v>
      </c>
      <c r="F1577" s="2">
        <v>407029.0</v>
      </c>
      <c r="G1577" s="2">
        <v>557190.0</v>
      </c>
      <c r="H1577" s="2">
        <v>964219.0</v>
      </c>
      <c r="I1577" s="2">
        <v>688721.0</v>
      </c>
      <c r="J1577" s="2">
        <v>275498.0</v>
      </c>
    </row>
    <row r="1578">
      <c r="A1578" s="2">
        <v>2026.0</v>
      </c>
      <c r="B1578" s="1" t="s">
        <v>1069</v>
      </c>
      <c r="C1578" s="2" t="s">
        <v>165</v>
      </c>
      <c r="D1578" s="2" t="s">
        <v>785</v>
      </c>
      <c r="E1578" s="2" t="s">
        <v>686</v>
      </c>
      <c r="F1578" s="2">
        <v>986373.0</v>
      </c>
      <c r="G1578" s="2">
        <v>2639651.0</v>
      </c>
      <c r="H1578" s="2">
        <v>3626024.0</v>
      </c>
      <c r="I1578" s="2">
        <v>1667454.0</v>
      </c>
      <c r="J1578" s="2">
        <v>1958570.0</v>
      </c>
    </row>
    <row r="1579">
      <c r="A1579" s="2">
        <v>2026.0</v>
      </c>
      <c r="B1579" s="1" t="s">
        <v>1069</v>
      </c>
      <c r="C1579" s="2" t="s">
        <v>165</v>
      </c>
      <c r="E1579" s="2" t="s">
        <v>32</v>
      </c>
      <c r="F1579" s="2">
        <v>63852.0</v>
      </c>
      <c r="G1579" s="2">
        <v>155186.0</v>
      </c>
      <c r="H1579" s="2">
        <v>219038.0</v>
      </c>
      <c r="I1579" s="2">
        <v>215828.0</v>
      </c>
      <c r="J1579" s="2">
        <v>3210.0</v>
      </c>
    </row>
    <row r="1580">
      <c r="A1580" s="2">
        <v>2026.0</v>
      </c>
      <c r="B1580" s="1" t="s">
        <v>1069</v>
      </c>
      <c r="C1580" s="2" t="s">
        <v>165</v>
      </c>
      <c r="E1580" s="2" t="s">
        <v>56</v>
      </c>
      <c r="F1580" s="2">
        <v>1899802.0</v>
      </c>
      <c r="G1580" s="2">
        <v>2773380.0</v>
      </c>
      <c r="H1580" s="2">
        <v>4673182.0</v>
      </c>
      <c r="I1580" s="2">
        <v>3472810.0</v>
      </c>
      <c r="J1580" s="2">
        <v>1200372.0</v>
      </c>
    </row>
    <row r="1581">
      <c r="A1581" s="2">
        <v>2026.0</v>
      </c>
      <c r="B1581" s="1" t="s">
        <v>1069</v>
      </c>
      <c r="C1581" s="2" t="s">
        <v>165</v>
      </c>
      <c r="D1581" s="2" t="s">
        <v>171</v>
      </c>
      <c r="E1581" s="2" t="s">
        <v>1126</v>
      </c>
      <c r="F1581" s="2">
        <v>1449948.0</v>
      </c>
      <c r="G1581" s="2">
        <v>2659006.0</v>
      </c>
      <c r="H1581" s="2">
        <v>4108954.0</v>
      </c>
      <c r="I1581" s="2">
        <v>1162001.0</v>
      </c>
      <c r="J1581" s="2">
        <v>2946953.0</v>
      </c>
    </row>
    <row r="1582">
      <c r="A1582" s="2">
        <v>2026.0</v>
      </c>
      <c r="B1582" s="1" t="s">
        <v>1069</v>
      </c>
      <c r="C1582" s="2" t="s">
        <v>165</v>
      </c>
      <c r="E1582" s="2" t="s">
        <v>1127</v>
      </c>
      <c r="F1582" s="2">
        <v>3494802.0</v>
      </c>
      <c r="G1582" s="2">
        <v>2570461.0</v>
      </c>
      <c r="H1582" s="2">
        <v>6065263.0</v>
      </c>
      <c r="I1582" s="2">
        <v>3434833.0</v>
      </c>
      <c r="J1582" s="2">
        <v>2630430.0</v>
      </c>
    </row>
    <row r="1583">
      <c r="A1583" s="2">
        <v>2026.0</v>
      </c>
      <c r="B1583" s="1" t="s">
        <v>1069</v>
      </c>
      <c r="C1583" s="2" t="s">
        <v>165</v>
      </c>
      <c r="E1583" s="2" t="s">
        <v>1128</v>
      </c>
      <c r="F1583" s="2">
        <v>92406.0</v>
      </c>
      <c r="G1583" s="2">
        <v>3498.0</v>
      </c>
      <c r="H1583" s="2">
        <v>95904.0</v>
      </c>
      <c r="I1583" s="2">
        <v>100.0</v>
      </c>
      <c r="J1583" s="2">
        <v>95804.0</v>
      </c>
    </row>
    <row r="1584">
      <c r="A1584" s="2">
        <v>2026.0</v>
      </c>
      <c r="B1584" s="1" t="s">
        <v>1069</v>
      </c>
      <c r="C1584" s="2" t="s">
        <v>165</v>
      </c>
      <c r="E1584" s="2" t="s">
        <v>32</v>
      </c>
      <c r="F1584" s="2">
        <v>173230.0</v>
      </c>
      <c r="G1584" s="2">
        <v>442295.0</v>
      </c>
      <c r="H1584" s="2">
        <v>615525.0</v>
      </c>
      <c r="I1584" s="2">
        <v>450473.0</v>
      </c>
      <c r="J1584" s="2">
        <v>165052.0</v>
      </c>
    </row>
    <row r="1585">
      <c r="A1585" s="2">
        <v>2026.0</v>
      </c>
      <c r="B1585" s="1" t="s">
        <v>1069</v>
      </c>
      <c r="C1585" s="2" t="s">
        <v>165</v>
      </c>
      <c r="E1585" s="2" t="s">
        <v>1129</v>
      </c>
      <c r="F1585" s="2">
        <v>3793.0</v>
      </c>
      <c r="G1585" s="2">
        <v>140.0</v>
      </c>
      <c r="H1585" s="2">
        <v>3933.0</v>
      </c>
      <c r="I1585" s="2">
        <v>150.0</v>
      </c>
      <c r="J1585" s="2">
        <v>3783.0</v>
      </c>
    </row>
    <row r="1586">
      <c r="A1586" s="2">
        <v>2026.0</v>
      </c>
      <c r="B1586" s="1" t="s">
        <v>1069</v>
      </c>
      <c r="C1586" s="2" t="s">
        <v>28</v>
      </c>
      <c r="D1586" s="2" t="s">
        <v>993</v>
      </c>
      <c r="E1586" s="2" t="s">
        <v>686</v>
      </c>
      <c r="F1586" s="2">
        <v>1820977.0</v>
      </c>
      <c r="G1586" s="2">
        <v>2534564.0</v>
      </c>
      <c r="H1586" s="2">
        <v>4355541.0</v>
      </c>
      <c r="I1586" s="2">
        <v>361103.0</v>
      </c>
      <c r="J1586" s="2">
        <v>3994438.0</v>
      </c>
    </row>
    <row r="1587">
      <c r="A1587" s="2">
        <v>2026.0</v>
      </c>
      <c r="B1587" s="1" t="s">
        <v>1069</v>
      </c>
      <c r="C1587" s="2" t="s">
        <v>28</v>
      </c>
      <c r="E1587" s="2" t="s">
        <v>1130</v>
      </c>
      <c r="F1587" s="2">
        <v>2913304.0</v>
      </c>
      <c r="G1587" s="2">
        <v>900114.0</v>
      </c>
      <c r="H1587" s="2">
        <v>3813418.0</v>
      </c>
      <c r="I1587" s="2">
        <v>1576331.0</v>
      </c>
      <c r="J1587" s="2">
        <v>2237087.0</v>
      </c>
    </row>
    <row r="1588">
      <c r="A1588" s="2">
        <v>2026.0</v>
      </c>
      <c r="B1588" s="1" t="s">
        <v>1069</v>
      </c>
      <c r="C1588" s="2" t="s">
        <v>28</v>
      </c>
      <c r="E1588" s="2" t="s">
        <v>27</v>
      </c>
      <c r="F1588" s="2">
        <v>156971.0</v>
      </c>
      <c r="G1588" s="2">
        <v>1418033.0</v>
      </c>
      <c r="H1588" s="2">
        <v>1575004.0</v>
      </c>
      <c r="I1588" s="2">
        <v>1452129.0</v>
      </c>
      <c r="J1588" s="2">
        <v>122875.0</v>
      </c>
    </row>
    <row r="1589">
      <c r="A1589" s="2">
        <v>2026.0</v>
      </c>
      <c r="B1589" s="1" t="s">
        <v>1069</v>
      </c>
      <c r="C1589" s="2" t="s">
        <v>28</v>
      </c>
      <c r="E1589" s="2" t="s">
        <v>805</v>
      </c>
      <c r="F1589" s="2">
        <v>7951.0</v>
      </c>
      <c r="G1589" s="2">
        <v>731.0</v>
      </c>
      <c r="H1589" s="2">
        <v>8682.0</v>
      </c>
      <c r="I1589" s="2">
        <v>8682.0</v>
      </c>
      <c r="J1589" s="2">
        <v>0.0</v>
      </c>
    </row>
    <row r="1590">
      <c r="A1590" s="2">
        <v>2026.0</v>
      </c>
      <c r="B1590" s="1" t="s">
        <v>1069</v>
      </c>
      <c r="C1590" s="2" t="s">
        <v>28</v>
      </c>
      <c r="E1590" s="2" t="s">
        <v>1131</v>
      </c>
      <c r="F1590" s="2">
        <v>572330.0</v>
      </c>
      <c r="G1590" s="2">
        <v>221319.0</v>
      </c>
      <c r="H1590" s="2">
        <v>793649.0</v>
      </c>
      <c r="I1590" s="2">
        <v>225006.0</v>
      </c>
      <c r="J1590" s="2">
        <v>568643.0</v>
      </c>
    </row>
    <row r="1591">
      <c r="A1591" s="2">
        <v>2026.0</v>
      </c>
      <c r="B1591" s="1" t="s">
        <v>1069</v>
      </c>
      <c r="C1591" s="2" t="s">
        <v>28</v>
      </c>
      <c r="D1591" s="2" t="s">
        <v>36</v>
      </c>
      <c r="E1591" s="2" t="s">
        <v>76</v>
      </c>
      <c r="F1591" s="2">
        <v>7063.0</v>
      </c>
      <c r="G1591" s="2">
        <v>214.0</v>
      </c>
      <c r="H1591" s="2">
        <v>7277.0</v>
      </c>
      <c r="I1591" s="2">
        <v>0.0</v>
      </c>
      <c r="J1591" s="2">
        <v>7277.0</v>
      </c>
    </row>
    <row r="1592">
      <c r="A1592" s="2">
        <v>2026.0</v>
      </c>
      <c r="B1592" s="1" t="s">
        <v>1069</v>
      </c>
      <c r="C1592" s="2" t="s">
        <v>28</v>
      </c>
      <c r="E1592" s="2" t="s">
        <v>686</v>
      </c>
      <c r="F1592" s="2">
        <v>3471644.0</v>
      </c>
      <c r="G1592" s="2">
        <v>2086985.0</v>
      </c>
      <c r="H1592" s="2">
        <v>5558629.0</v>
      </c>
      <c r="I1592" s="2">
        <v>632244.0</v>
      </c>
      <c r="J1592" s="2">
        <v>4926385.0</v>
      </c>
    </row>
    <row r="1593">
      <c r="A1593" s="2">
        <v>2026.0</v>
      </c>
      <c r="B1593" s="1" t="s">
        <v>1069</v>
      </c>
      <c r="C1593" s="2" t="s">
        <v>28</v>
      </c>
      <c r="E1593" s="2" t="s">
        <v>749</v>
      </c>
      <c r="F1593" s="2">
        <v>1648032.0</v>
      </c>
      <c r="G1593" s="2">
        <v>698182.0</v>
      </c>
      <c r="H1593" s="2">
        <v>2346214.0</v>
      </c>
      <c r="I1593" s="2">
        <v>494591.0</v>
      </c>
      <c r="J1593" s="2">
        <v>1851623.0</v>
      </c>
    </row>
    <row r="1594">
      <c r="A1594" s="2">
        <v>2026.0</v>
      </c>
      <c r="B1594" s="1" t="s">
        <v>1069</v>
      </c>
      <c r="C1594" s="2" t="s">
        <v>28</v>
      </c>
      <c r="E1594" s="2" t="s">
        <v>27</v>
      </c>
      <c r="F1594" s="2">
        <v>250420.0</v>
      </c>
      <c r="G1594" s="2">
        <v>2972024.0</v>
      </c>
      <c r="H1594" s="2">
        <v>3222444.0</v>
      </c>
      <c r="I1594" s="2">
        <v>2969007.0</v>
      </c>
      <c r="J1594" s="2">
        <v>253437.0</v>
      </c>
    </row>
    <row r="1595">
      <c r="A1595" s="2">
        <v>2026.0</v>
      </c>
      <c r="B1595" s="1" t="s">
        <v>1069</v>
      </c>
      <c r="C1595" s="2" t="s">
        <v>28</v>
      </c>
      <c r="E1595" s="2" t="s">
        <v>775</v>
      </c>
      <c r="F1595" s="2">
        <v>55208.0</v>
      </c>
      <c r="G1595" s="2">
        <v>159159.0</v>
      </c>
      <c r="H1595" s="2">
        <v>214367.0</v>
      </c>
      <c r="I1595" s="2">
        <v>13433.0</v>
      </c>
      <c r="J1595" s="2">
        <v>200934.0</v>
      </c>
    </row>
    <row r="1596">
      <c r="A1596" s="2">
        <v>2026.0</v>
      </c>
      <c r="B1596" s="1" t="s">
        <v>1069</v>
      </c>
      <c r="C1596" s="2" t="s">
        <v>28</v>
      </c>
      <c r="E1596" s="2" t="s">
        <v>805</v>
      </c>
      <c r="F1596" s="2">
        <v>171589.0</v>
      </c>
      <c r="G1596" s="2">
        <v>58007.0</v>
      </c>
      <c r="H1596" s="2">
        <v>229596.0</v>
      </c>
      <c r="I1596" s="2">
        <v>213767.0</v>
      </c>
      <c r="J1596" s="2">
        <v>15829.0</v>
      </c>
    </row>
    <row r="1597">
      <c r="A1597" s="2">
        <v>2026.0</v>
      </c>
      <c r="B1597" s="1" t="s">
        <v>1069</v>
      </c>
      <c r="C1597" s="2" t="s">
        <v>28</v>
      </c>
      <c r="D1597" s="2" t="s">
        <v>28</v>
      </c>
      <c r="E1597" s="2" t="s">
        <v>686</v>
      </c>
      <c r="F1597" s="2">
        <v>4264933.0</v>
      </c>
      <c r="G1597" s="2">
        <v>2745230.0</v>
      </c>
      <c r="H1597" s="2">
        <v>7010163.0</v>
      </c>
      <c r="I1597" s="2">
        <v>310180.0</v>
      </c>
      <c r="J1597" s="2">
        <v>6699983.0</v>
      </c>
    </row>
    <row r="1598">
      <c r="A1598" s="2">
        <v>2026.0</v>
      </c>
      <c r="B1598" s="1" t="s">
        <v>1069</v>
      </c>
      <c r="C1598" s="2" t="s">
        <v>28</v>
      </c>
      <c r="E1598" s="2" t="s">
        <v>27</v>
      </c>
      <c r="F1598" s="2">
        <v>273926.0</v>
      </c>
      <c r="G1598" s="2">
        <v>3272832.0</v>
      </c>
      <c r="H1598" s="2">
        <v>3546758.0</v>
      </c>
      <c r="I1598" s="2">
        <v>3253710.0</v>
      </c>
      <c r="J1598" s="2">
        <v>293048.0</v>
      </c>
    </row>
    <row r="1599">
      <c r="A1599" s="2">
        <v>2026.0</v>
      </c>
      <c r="B1599" s="1" t="s">
        <v>1069</v>
      </c>
      <c r="C1599" s="2" t="s">
        <v>28</v>
      </c>
      <c r="E1599" s="2" t="s">
        <v>32</v>
      </c>
      <c r="F1599" s="2">
        <v>525933.0</v>
      </c>
      <c r="G1599" s="2">
        <v>47889.0</v>
      </c>
      <c r="H1599" s="2">
        <v>573822.0</v>
      </c>
      <c r="I1599" s="2">
        <v>336725.0</v>
      </c>
      <c r="J1599" s="2">
        <v>237097.0</v>
      </c>
    </row>
    <row r="1600">
      <c r="A1600" s="2">
        <v>2026.0</v>
      </c>
      <c r="B1600" s="1" t="s">
        <v>1069</v>
      </c>
      <c r="C1600" s="2" t="s">
        <v>28</v>
      </c>
      <c r="E1600" s="2" t="s">
        <v>56</v>
      </c>
      <c r="F1600" s="2">
        <v>2576397.0</v>
      </c>
      <c r="G1600" s="2">
        <v>925664.0</v>
      </c>
      <c r="H1600" s="2">
        <v>3502061.0</v>
      </c>
      <c r="I1600" s="2">
        <v>1046175.0</v>
      </c>
      <c r="J1600" s="2">
        <v>2455886.0</v>
      </c>
    </row>
    <row r="1601">
      <c r="A1601" s="2">
        <v>2026.0</v>
      </c>
      <c r="B1601" s="1" t="s">
        <v>1069</v>
      </c>
      <c r="C1601" s="2" t="s">
        <v>28</v>
      </c>
      <c r="E1601" s="2" t="s">
        <v>69</v>
      </c>
      <c r="F1601" s="2">
        <v>114693.0</v>
      </c>
      <c r="G1601" s="2">
        <v>38947.0</v>
      </c>
      <c r="H1601" s="2">
        <v>153640.0</v>
      </c>
      <c r="I1601" s="2">
        <v>0.0</v>
      </c>
      <c r="J1601" s="2">
        <v>153640.0</v>
      </c>
    </row>
    <row r="1602">
      <c r="A1602" s="2">
        <v>2026.0</v>
      </c>
      <c r="B1602" s="1" t="s">
        <v>1069</v>
      </c>
      <c r="C1602" s="2" t="s">
        <v>28</v>
      </c>
      <c r="D1602" s="2" t="s">
        <v>48</v>
      </c>
      <c r="E1602" s="2" t="s">
        <v>1132</v>
      </c>
      <c r="F1602" s="2">
        <v>271000.0</v>
      </c>
      <c r="G1602" s="2">
        <v>2151346.0</v>
      </c>
      <c r="H1602" s="2">
        <v>2422346.0</v>
      </c>
      <c r="I1602" s="2">
        <v>624450.0</v>
      </c>
      <c r="J1602" s="2">
        <v>1797896.0</v>
      </c>
    </row>
    <row r="1603">
      <c r="A1603" s="2">
        <v>2026.0</v>
      </c>
      <c r="B1603" s="1" t="s">
        <v>1069</v>
      </c>
      <c r="C1603" s="2" t="s">
        <v>28</v>
      </c>
      <c r="E1603" s="2" t="s">
        <v>1133</v>
      </c>
      <c r="F1603" s="2">
        <v>1382833.0</v>
      </c>
      <c r="G1603" s="2">
        <v>569020.0</v>
      </c>
      <c r="H1603" s="2">
        <v>1951853.0</v>
      </c>
      <c r="I1603" s="2">
        <v>1576720.0</v>
      </c>
      <c r="J1603" s="2">
        <v>375133.0</v>
      </c>
    </row>
    <row r="1604">
      <c r="A1604" s="2">
        <v>2026.0</v>
      </c>
      <c r="B1604" s="1" t="s">
        <v>1069</v>
      </c>
      <c r="C1604" s="2" t="s">
        <v>28</v>
      </c>
      <c r="E1604" s="2" t="s">
        <v>1134</v>
      </c>
      <c r="F1604" s="2">
        <v>1424048.0</v>
      </c>
      <c r="G1604" s="2">
        <v>572462.0</v>
      </c>
      <c r="H1604" s="2">
        <v>1996510.0</v>
      </c>
      <c r="I1604" s="2">
        <v>1835277.0</v>
      </c>
      <c r="J1604" s="2">
        <v>161233.0</v>
      </c>
    </row>
    <row r="1605">
      <c r="A1605" s="2">
        <v>2026.0</v>
      </c>
      <c r="B1605" s="1" t="s">
        <v>1069</v>
      </c>
      <c r="C1605" s="2" t="s">
        <v>28</v>
      </c>
      <c r="E1605" s="2" t="s">
        <v>1136</v>
      </c>
      <c r="F1605" s="2">
        <v>532412.0</v>
      </c>
      <c r="G1605" s="2">
        <v>448781.0</v>
      </c>
      <c r="H1605" s="2">
        <v>981193.0</v>
      </c>
      <c r="I1605" s="2">
        <v>530474.0</v>
      </c>
      <c r="J1605" s="2">
        <v>450719.0</v>
      </c>
    </row>
    <row r="1606">
      <c r="A1606" s="2">
        <v>2026.0</v>
      </c>
      <c r="B1606" s="1" t="s">
        <v>1069</v>
      </c>
      <c r="C1606" s="2" t="s">
        <v>28</v>
      </c>
      <c r="E1606" s="2" t="s">
        <v>32</v>
      </c>
      <c r="F1606" s="2">
        <v>139059.0</v>
      </c>
      <c r="G1606" s="2">
        <v>29159.0</v>
      </c>
      <c r="H1606" s="2">
        <v>168218.0</v>
      </c>
      <c r="I1606" s="2">
        <v>1416.0</v>
      </c>
      <c r="J1606" s="2">
        <v>166802.0</v>
      </c>
    </row>
    <row r="1607">
      <c r="A1607" s="2">
        <v>2026.0</v>
      </c>
      <c r="B1607" s="1" t="s">
        <v>1069</v>
      </c>
      <c r="C1607" s="2" t="s">
        <v>28</v>
      </c>
      <c r="E1607" s="2" t="s">
        <v>124</v>
      </c>
      <c r="F1607" s="2">
        <v>261315.0</v>
      </c>
      <c r="G1607" s="2">
        <v>2745550.0</v>
      </c>
      <c r="H1607" s="2">
        <v>3006865.0</v>
      </c>
      <c r="I1607" s="2">
        <v>2731923.0</v>
      </c>
      <c r="J1607" s="2">
        <v>274942.0</v>
      </c>
    </row>
    <row r="1608">
      <c r="A1608" s="2">
        <v>2026.0</v>
      </c>
      <c r="B1608" s="1" t="s">
        <v>1069</v>
      </c>
      <c r="C1608" s="2" t="s">
        <v>28</v>
      </c>
      <c r="D1608" s="2" t="s">
        <v>998</v>
      </c>
      <c r="E1608" s="2" t="s">
        <v>686</v>
      </c>
      <c r="F1608" s="2">
        <v>2279826.0</v>
      </c>
      <c r="G1608" s="2">
        <v>2552720.0</v>
      </c>
      <c r="H1608" s="2">
        <v>4832546.0</v>
      </c>
      <c r="I1608" s="2">
        <v>453370.0</v>
      </c>
      <c r="J1608" s="2">
        <v>4379176.0</v>
      </c>
    </row>
    <row r="1609">
      <c r="A1609" s="2">
        <v>2026.0</v>
      </c>
      <c r="B1609" s="1" t="s">
        <v>1069</v>
      </c>
      <c r="C1609" s="2" t="s">
        <v>28</v>
      </c>
      <c r="E1609" s="2" t="s">
        <v>27</v>
      </c>
      <c r="F1609" s="2">
        <v>165625.0</v>
      </c>
      <c r="G1609" s="2">
        <v>1969155.0</v>
      </c>
      <c r="H1609" s="2">
        <v>2134780.0</v>
      </c>
      <c r="I1609" s="2">
        <v>2061578.0</v>
      </c>
      <c r="J1609" s="2">
        <v>73202.0</v>
      </c>
    </row>
    <row r="1610">
      <c r="A1610" s="2">
        <v>2026.0</v>
      </c>
      <c r="B1610" s="1" t="s">
        <v>1069</v>
      </c>
      <c r="C1610" s="2" t="s">
        <v>28</v>
      </c>
      <c r="E1610" s="2" t="s">
        <v>32</v>
      </c>
      <c r="F1610" s="2">
        <v>73043.0</v>
      </c>
      <c r="G1610" s="2">
        <v>105943.0</v>
      </c>
      <c r="H1610" s="2">
        <v>178986.0</v>
      </c>
      <c r="I1610" s="2">
        <v>100106.0</v>
      </c>
      <c r="J1610" s="2">
        <v>78880.0</v>
      </c>
    </row>
    <row r="1611">
      <c r="A1611" s="2">
        <v>2026.0</v>
      </c>
      <c r="B1611" s="1" t="s">
        <v>1069</v>
      </c>
      <c r="C1611" s="2" t="s">
        <v>28</v>
      </c>
      <c r="E1611" s="2" t="s">
        <v>56</v>
      </c>
      <c r="F1611" s="2">
        <v>1613458.0</v>
      </c>
      <c r="G1611" s="2">
        <v>852222.0</v>
      </c>
      <c r="H1611" s="2">
        <v>2465680.0</v>
      </c>
      <c r="I1611" s="2">
        <v>1690967.0</v>
      </c>
      <c r="J1611" s="2">
        <v>774713.0</v>
      </c>
    </row>
    <row r="1612">
      <c r="A1612" s="2">
        <v>2026.0</v>
      </c>
      <c r="B1612" s="1" t="s">
        <v>1069</v>
      </c>
      <c r="C1612" s="2" t="s">
        <v>1137</v>
      </c>
      <c r="D1612" s="2" t="s">
        <v>766</v>
      </c>
      <c r="E1612" s="2" t="s">
        <v>686</v>
      </c>
      <c r="F1612" s="2">
        <v>1716626.0</v>
      </c>
      <c r="G1612" s="2">
        <v>1415328.0</v>
      </c>
      <c r="H1612" s="2">
        <v>3131954.0</v>
      </c>
      <c r="I1612" s="2">
        <v>866455.0</v>
      </c>
      <c r="J1612" s="2">
        <v>2265499.0</v>
      </c>
    </row>
    <row r="1613">
      <c r="A1613" s="2">
        <v>2026.0</v>
      </c>
      <c r="B1613" s="1" t="s">
        <v>1069</v>
      </c>
      <c r="C1613" s="2" t="s">
        <v>1137</v>
      </c>
      <c r="E1613" s="2" t="s">
        <v>32</v>
      </c>
      <c r="F1613" s="2">
        <v>47666.0</v>
      </c>
      <c r="G1613" s="2">
        <v>1004.0</v>
      </c>
      <c r="H1613" s="2">
        <v>48670.0</v>
      </c>
      <c r="I1613" s="2">
        <v>46000.0</v>
      </c>
      <c r="J1613" s="2">
        <v>2670.0</v>
      </c>
    </row>
    <row r="1614">
      <c r="A1614" s="2">
        <v>2026.0</v>
      </c>
      <c r="B1614" s="1" t="s">
        <v>1069</v>
      </c>
      <c r="C1614" s="2" t="s">
        <v>1137</v>
      </c>
      <c r="E1614" s="2" t="s">
        <v>92</v>
      </c>
      <c r="F1614" s="2">
        <v>1345750.0</v>
      </c>
      <c r="G1614" s="2">
        <v>2779965.0</v>
      </c>
      <c r="H1614" s="2">
        <v>4125715.0</v>
      </c>
      <c r="I1614" s="2">
        <v>2954496.0</v>
      </c>
      <c r="J1614" s="2">
        <v>1171219.0</v>
      </c>
    </row>
    <row r="1615">
      <c r="A1615" s="2">
        <v>2026.0</v>
      </c>
      <c r="B1615" s="1" t="s">
        <v>1069</v>
      </c>
      <c r="C1615" s="2" t="s">
        <v>1137</v>
      </c>
      <c r="D1615" s="2" t="s">
        <v>763</v>
      </c>
      <c r="E1615" s="2" t="s">
        <v>686</v>
      </c>
      <c r="F1615" s="2">
        <v>1541226.0</v>
      </c>
      <c r="G1615" s="2">
        <v>1258745.0</v>
      </c>
      <c r="H1615" s="2">
        <v>2799971.0</v>
      </c>
      <c r="I1615" s="2">
        <v>1034257.0</v>
      </c>
      <c r="J1615" s="2">
        <v>1765714.0</v>
      </c>
    </row>
    <row r="1616">
      <c r="A1616" s="2">
        <v>2026.0</v>
      </c>
      <c r="B1616" s="1" t="s">
        <v>1069</v>
      </c>
      <c r="C1616" s="2" t="s">
        <v>1137</v>
      </c>
      <c r="E1616" s="2" t="s">
        <v>228</v>
      </c>
      <c r="F1616" s="2">
        <v>2766569.0</v>
      </c>
      <c r="G1616" s="2">
        <v>2260491.0</v>
      </c>
      <c r="H1616" s="2">
        <v>5027060.0</v>
      </c>
      <c r="I1616" s="2">
        <v>2075584.0</v>
      </c>
      <c r="J1616" s="2">
        <v>2951476.0</v>
      </c>
    </row>
    <row r="1617">
      <c r="A1617" s="2">
        <v>2026.0</v>
      </c>
      <c r="B1617" s="1" t="s">
        <v>1069</v>
      </c>
      <c r="C1617" s="2" t="s">
        <v>1137</v>
      </c>
      <c r="D1617" s="2" t="s">
        <v>761</v>
      </c>
      <c r="E1617" s="2" t="s">
        <v>686</v>
      </c>
      <c r="F1617" s="2">
        <v>3708460.0</v>
      </c>
      <c r="G1617" s="2">
        <v>2853782.0</v>
      </c>
      <c r="H1617" s="2">
        <v>6562242.0</v>
      </c>
      <c r="I1617" s="2">
        <v>2032990.0</v>
      </c>
      <c r="J1617" s="2">
        <v>4529252.0</v>
      </c>
    </row>
    <row r="1618">
      <c r="A1618" s="2">
        <v>2026.0</v>
      </c>
      <c r="B1618" s="1" t="s">
        <v>1069</v>
      </c>
      <c r="C1618" s="2" t="s">
        <v>1137</v>
      </c>
      <c r="E1618" s="2" t="s">
        <v>32</v>
      </c>
      <c r="F1618" s="2">
        <v>41961.0</v>
      </c>
      <c r="G1618" s="2">
        <v>487041.0</v>
      </c>
      <c r="H1618" s="2">
        <v>529002.0</v>
      </c>
      <c r="I1618" s="2">
        <v>499224.0</v>
      </c>
      <c r="J1618" s="2">
        <v>29778.0</v>
      </c>
    </row>
    <row r="1619">
      <c r="A1619" s="2">
        <v>2026.0</v>
      </c>
      <c r="B1619" s="1" t="s">
        <v>1069</v>
      </c>
      <c r="C1619" s="2" t="s">
        <v>1137</v>
      </c>
      <c r="E1619" s="2" t="s">
        <v>92</v>
      </c>
      <c r="F1619" s="2">
        <v>2602570.0</v>
      </c>
      <c r="G1619" s="2">
        <v>3033523.0</v>
      </c>
      <c r="H1619" s="2">
        <v>5636093.0</v>
      </c>
      <c r="I1619" s="2">
        <v>3362538.0</v>
      </c>
      <c r="J1619" s="2">
        <v>2273555.0</v>
      </c>
    </row>
    <row r="1620">
      <c r="A1620" s="2">
        <v>2026.0</v>
      </c>
      <c r="B1620" s="1" t="s">
        <v>1069</v>
      </c>
      <c r="C1620" s="2" t="s">
        <v>1137</v>
      </c>
      <c r="D1620" s="2" t="s">
        <v>1138</v>
      </c>
      <c r="E1620" s="2" t="s">
        <v>686</v>
      </c>
      <c r="F1620" s="2">
        <v>2896170.0</v>
      </c>
      <c r="G1620" s="2">
        <v>2036765.0</v>
      </c>
      <c r="H1620" s="2">
        <v>4932935.0</v>
      </c>
      <c r="I1620" s="2">
        <v>962201.0</v>
      </c>
      <c r="J1620" s="2">
        <v>3970734.0</v>
      </c>
    </row>
    <row r="1621">
      <c r="A1621" s="2">
        <v>2026.0</v>
      </c>
      <c r="B1621" s="1" t="s">
        <v>1069</v>
      </c>
      <c r="C1621" s="2" t="s">
        <v>1137</v>
      </c>
      <c r="E1621" s="2" t="s">
        <v>27</v>
      </c>
      <c r="F1621" s="2">
        <v>135731.0</v>
      </c>
      <c r="G1621" s="2">
        <v>1703395.0</v>
      </c>
      <c r="H1621" s="2">
        <v>1839126.0</v>
      </c>
      <c r="I1621" s="2">
        <v>1695070.0</v>
      </c>
      <c r="J1621" s="2">
        <v>144056.0</v>
      </c>
    </row>
    <row r="1622">
      <c r="A1622" s="2">
        <v>2026.0</v>
      </c>
      <c r="B1622" s="1" t="s">
        <v>1069</v>
      </c>
      <c r="C1622" s="2" t="s">
        <v>1137</v>
      </c>
      <c r="E1622" s="2" t="s">
        <v>92</v>
      </c>
      <c r="F1622" s="2">
        <v>3826265.0</v>
      </c>
      <c r="G1622" s="2">
        <v>1860235.0</v>
      </c>
      <c r="H1622" s="2">
        <v>5686500.0</v>
      </c>
      <c r="I1622" s="2">
        <v>1833117.0</v>
      </c>
      <c r="J1622" s="2">
        <v>3853383.0</v>
      </c>
    </row>
    <row r="1623">
      <c r="A1623" s="2">
        <v>2026.0</v>
      </c>
      <c r="B1623" s="1" t="s">
        <v>1069</v>
      </c>
      <c r="C1623" s="2" t="s">
        <v>308</v>
      </c>
      <c r="D1623" s="2" t="s">
        <v>903</v>
      </c>
      <c r="E1623" s="2" t="s">
        <v>686</v>
      </c>
      <c r="F1623" s="2">
        <v>637760.0</v>
      </c>
      <c r="G1623" s="2">
        <v>2015810.0</v>
      </c>
      <c r="H1623" s="2">
        <v>2653570.0</v>
      </c>
      <c r="I1623" s="2">
        <v>1654818.0</v>
      </c>
      <c r="J1623" s="2">
        <v>998752.0</v>
      </c>
    </row>
    <row r="1624">
      <c r="A1624" s="2">
        <v>2026.0</v>
      </c>
      <c r="B1624" s="1" t="s">
        <v>1069</v>
      </c>
      <c r="C1624" s="2" t="s">
        <v>308</v>
      </c>
      <c r="E1624" s="2" t="s">
        <v>1104</v>
      </c>
      <c r="F1624" s="2">
        <v>1047471.0</v>
      </c>
      <c r="G1624" s="2">
        <v>3095625.0</v>
      </c>
      <c r="H1624" s="2">
        <v>4143096.0</v>
      </c>
      <c r="I1624" s="2">
        <v>4118389.0</v>
      </c>
      <c r="J1624" s="2">
        <v>24707.0</v>
      </c>
    </row>
    <row r="1625">
      <c r="A1625" s="2">
        <v>2026.0</v>
      </c>
      <c r="B1625" s="1" t="s">
        <v>1069</v>
      </c>
      <c r="C1625" s="2" t="s">
        <v>308</v>
      </c>
      <c r="E1625" s="2" t="s">
        <v>32</v>
      </c>
      <c r="F1625" s="2">
        <v>268405.0</v>
      </c>
      <c r="G1625" s="2">
        <v>161049.0</v>
      </c>
      <c r="H1625" s="2">
        <v>429454.0</v>
      </c>
      <c r="I1625" s="2">
        <v>111416.0</v>
      </c>
      <c r="J1625" s="2">
        <v>318038.0</v>
      </c>
    </row>
    <row r="1626">
      <c r="A1626" s="2">
        <v>2026.0</v>
      </c>
      <c r="B1626" s="1" t="s">
        <v>1069</v>
      </c>
      <c r="C1626" s="2" t="s">
        <v>308</v>
      </c>
      <c r="D1626" s="2" t="s">
        <v>904</v>
      </c>
      <c r="E1626" s="2" t="s">
        <v>686</v>
      </c>
      <c r="F1626" s="2">
        <v>341413.0</v>
      </c>
      <c r="G1626" s="2">
        <v>1314727.0</v>
      </c>
      <c r="H1626" s="2">
        <v>1656140.0</v>
      </c>
      <c r="I1626" s="2">
        <v>462613.0</v>
      </c>
      <c r="J1626" s="2">
        <v>1193527.0</v>
      </c>
    </row>
    <row r="1627">
      <c r="A1627" s="2">
        <v>2026.0</v>
      </c>
      <c r="B1627" s="1" t="s">
        <v>1069</v>
      </c>
      <c r="C1627" s="2" t="s">
        <v>308</v>
      </c>
      <c r="E1627" s="2" t="s">
        <v>749</v>
      </c>
      <c r="F1627" s="2">
        <v>506541.0</v>
      </c>
      <c r="G1627" s="2">
        <v>852085.0</v>
      </c>
      <c r="H1627" s="2">
        <v>1358626.0</v>
      </c>
      <c r="I1627" s="2">
        <v>1355161.0</v>
      </c>
      <c r="J1627" s="2">
        <v>3465.0</v>
      </c>
    </row>
    <row r="1628">
      <c r="A1628" s="2">
        <v>2026.0</v>
      </c>
      <c r="B1628" s="1" t="s">
        <v>1069</v>
      </c>
      <c r="C1628" s="2" t="s">
        <v>308</v>
      </c>
      <c r="E1628" s="2" t="s">
        <v>27</v>
      </c>
      <c r="F1628" s="2">
        <v>25177.0</v>
      </c>
      <c r="G1628" s="2">
        <v>1845806.0</v>
      </c>
      <c r="H1628" s="2">
        <v>1870983.0</v>
      </c>
      <c r="I1628" s="2">
        <v>1839766.0</v>
      </c>
      <c r="J1628" s="2">
        <v>31217.0</v>
      </c>
    </row>
    <row r="1629">
      <c r="A1629" s="2">
        <v>2026.0</v>
      </c>
      <c r="B1629" s="1" t="s">
        <v>1069</v>
      </c>
      <c r="C1629" s="2" t="s">
        <v>308</v>
      </c>
      <c r="E1629" s="2" t="s">
        <v>32</v>
      </c>
      <c r="F1629" s="2">
        <v>86610.0</v>
      </c>
      <c r="G1629" s="2">
        <v>38192.0</v>
      </c>
      <c r="H1629" s="2">
        <v>124802.0</v>
      </c>
      <c r="I1629" s="2">
        <v>41416.0</v>
      </c>
      <c r="J1629" s="2">
        <v>83386.0</v>
      </c>
    </row>
    <row r="1630">
      <c r="A1630" s="2">
        <v>2026.0</v>
      </c>
      <c r="B1630" s="1" t="s">
        <v>1069</v>
      </c>
      <c r="C1630" s="2" t="s">
        <v>308</v>
      </c>
      <c r="D1630" s="2" t="s">
        <v>897</v>
      </c>
      <c r="E1630" s="2" t="s">
        <v>686</v>
      </c>
      <c r="F1630" s="2">
        <v>789860.0</v>
      </c>
      <c r="G1630" s="2">
        <v>1038769.0</v>
      </c>
      <c r="H1630" s="2">
        <v>1828629.0</v>
      </c>
      <c r="I1630" s="2">
        <v>972812.0</v>
      </c>
      <c r="J1630" s="2">
        <v>855817.0</v>
      </c>
    </row>
    <row r="1631">
      <c r="A1631" s="2">
        <v>2026.0</v>
      </c>
      <c r="B1631" s="1" t="s">
        <v>1069</v>
      </c>
      <c r="C1631" s="2" t="s">
        <v>308</v>
      </c>
      <c r="E1631" s="2" t="s">
        <v>1104</v>
      </c>
      <c r="F1631" s="2">
        <v>2391219.0</v>
      </c>
      <c r="G1631" s="2">
        <v>4053081.0</v>
      </c>
      <c r="H1631" s="2">
        <v>6444300.0</v>
      </c>
      <c r="I1631" s="2">
        <v>4243750.0</v>
      </c>
      <c r="J1631" s="2">
        <v>2200550.0</v>
      </c>
    </row>
    <row r="1632">
      <c r="A1632" s="2">
        <v>2026.0</v>
      </c>
      <c r="B1632" s="1" t="s">
        <v>1069</v>
      </c>
      <c r="C1632" s="2" t="s">
        <v>308</v>
      </c>
      <c r="E1632" s="2" t="s">
        <v>32</v>
      </c>
      <c r="F1632" s="2">
        <v>161206.0</v>
      </c>
      <c r="G1632" s="2">
        <v>95904.0</v>
      </c>
      <c r="H1632" s="2">
        <v>257110.0</v>
      </c>
      <c r="I1632" s="2">
        <v>82654.0</v>
      </c>
      <c r="J1632" s="2">
        <v>174456.0</v>
      </c>
    </row>
    <row r="1633">
      <c r="A1633" s="2">
        <v>2026.0</v>
      </c>
      <c r="B1633" s="1" t="s">
        <v>1069</v>
      </c>
      <c r="C1633" s="2" t="s">
        <v>308</v>
      </c>
      <c r="D1633" s="2" t="s">
        <v>899</v>
      </c>
      <c r="E1633" s="2" t="s">
        <v>686</v>
      </c>
      <c r="F1633" s="2">
        <v>1405090.0</v>
      </c>
      <c r="G1633" s="2">
        <v>2268511.0</v>
      </c>
      <c r="H1633" s="2">
        <v>3673601.0</v>
      </c>
      <c r="I1633" s="2">
        <v>1598121.0</v>
      </c>
      <c r="J1633" s="2">
        <v>2075480.0</v>
      </c>
    </row>
    <row r="1634">
      <c r="A1634" s="2">
        <v>2026.0</v>
      </c>
      <c r="B1634" s="1" t="s">
        <v>1069</v>
      </c>
      <c r="C1634" s="2" t="s">
        <v>308</v>
      </c>
      <c r="E1634" s="2" t="s">
        <v>27</v>
      </c>
      <c r="F1634" s="2">
        <v>0.0</v>
      </c>
      <c r="G1634" s="2">
        <v>2985357.0</v>
      </c>
      <c r="H1634" s="2">
        <v>2985357.0</v>
      </c>
      <c r="I1634" s="2">
        <v>2985357.0</v>
      </c>
      <c r="J1634" s="2">
        <v>0.0</v>
      </c>
    </row>
    <row r="1635">
      <c r="A1635" s="2">
        <v>2026.0</v>
      </c>
      <c r="B1635" s="1" t="s">
        <v>1069</v>
      </c>
      <c r="C1635" s="2" t="s">
        <v>308</v>
      </c>
      <c r="E1635" s="2" t="s">
        <v>32</v>
      </c>
      <c r="F1635" s="2">
        <v>48336.0</v>
      </c>
      <c r="G1635" s="2">
        <v>687854.0</v>
      </c>
      <c r="H1635" s="2">
        <v>736190.0</v>
      </c>
      <c r="I1635" s="2">
        <v>536492.0</v>
      </c>
      <c r="J1635" s="2">
        <v>199698.0</v>
      </c>
    </row>
    <row r="1636">
      <c r="A1636" s="2">
        <v>2026.0</v>
      </c>
      <c r="B1636" s="1" t="s">
        <v>1069</v>
      </c>
      <c r="C1636" s="2" t="s">
        <v>308</v>
      </c>
      <c r="E1636" s="2" t="s">
        <v>56</v>
      </c>
      <c r="F1636" s="2">
        <v>1379992.0</v>
      </c>
      <c r="G1636" s="2">
        <v>759328.0</v>
      </c>
      <c r="H1636" s="2">
        <v>2139320.0</v>
      </c>
      <c r="I1636" s="2">
        <v>993707.0</v>
      </c>
      <c r="J1636" s="2">
        <v>1145613.0</v>
      </c>
    </row>
    <row r="1637">
      <c r="A1637" s="2">
        <v>2026.0</v>
      </c>
      <c r="B1637" s="1" t="s">
        <v>1069</v>
      </c>
      <c r="C1637" s="2" t="s">
        <v>308</v>
      </c>
      <c r="D1637" s="2" t="s">
        <v>324</v>
      </c>
      <c r="E1637" s="2" t="s">
        <v>686</v>
      </c>
      <c r="F1637" s="2">
        <v>2503722.0</v>
      </c>
      <c r="G1637" s="2">
        <v>2462119.0</v>
      </c>
      <c r="H1637" s="2">
        <v>4965841.0</v>
      </c>
      <c r="I1637" s="2">
        <v>1178257.0</v>
      </c>
      <c r="J1637" s="2">
        <v>3787584.0</v>
      </c>
    </row>
    <row r="1638">
      <c r="A1638" s="2">
        <v>2026.0</v>
      </c>
      <c r="B1638" s="1" t="s">
        <v>1069</v>
      </c>
      <c r="C1638" s="2" t="s">
        <v>308</v>
      </c>
      <c r="E1638" s="2" t="s">
        <v>1140</v>
      </c>
      <c r="F1638" s="2">
        <v>3297095.0</v>
      </c>
      <c r="G1638" s="2">
        <v>3195882.0</v>
      </c>
      <c r="H1638" s="2">
        <v>6492977.0</v>
      </c>
      <c r="I1638" s="2">
        <v>3634820.0</v>
      </c>
      <c r="J1638" s="2">
        <v>2858157.0</v>
      </c>
    </row>
    <row r="1639">
      <c r="A1639" s="2">
        <v>2026.0</v>
      </c>
      <c r="B1639" s="1" t="s">
        <v>1069</v>
      </c>
      <c r="C1639" s="2" t="s">
        <v>308</v>
      </c>
      <c r="E1639" s="2" t="s">
        <v>32</v>
      </c>
      <c r="F1639" s="2">
        <v>293621.0</v>
      </c>
      <c r="G1639" s="2">
        <v>452774.0</v>
      </c>
      <c r="H1639" s="2">
        <v>746395.0</v>
      </c>
      <c r="I1639" s="2">
        <v>425959.0</v>
      </c>
      <c r="J1639" s="2">
        <v>320436.0</v>
      </c>
    </row>
    <row r="1640">
      <c r="A1640" s="2">
        <v>2026.0</v>
      </c>
      <c r="B1640" s="1" t="s">
        <v>1069</v>
      </c>
      <c r="C1640" s="2" t="s">
        <v>308</v>
      </c>
      <c r="D1640" s="2" t="s">
        <v>901</v>
      </c>
      <c r="E1640" s="2" t="s">
        <v>686</v>
      </c>
      <c r="F1640" s="2">
        <v>682812.0</v>
      </c>
      <c r="G1640" s="2">
        <v>1961286.0</v>
      </c>
      <c r="H1640" s="2">
        <v>2644098.0</v>
      </c>
      <c r="I1640" s="2">
        <v>2197644.0</v>
      </c>
      <c r="J1640" s="2">
        <v>446454.0</v>
      </c>
    </row>
    <row r="1641">
      <c r="A1641" s="2">
        <v>2026.0</v>
      </c>
      <c r="B1641" s="1" t="s">
        <v>1069</v>
      </c>
      <c r="C1641" s="2" t="s">
        <v>308</v>
      </c>
      <c r="E1641" s="2" t="s">
        <v>1141</v>
      </c>
      <c r="F1641" s="2">
        <v>513717.0</v>
      </c>
      <c r="G1641" s="2">
        <v>2820484.0</v>
      </c>
      <c r="H1641" s="2">
        <v>3334201.0</v>
      </c>
      <c r="I1641" s="2">
        <v>3317008.0</v>
      </c>
      <c r="J1641" s="2">
        <v>17193.0</v>
      </c>
    </row>
    <row r="1642">
      <c r="A1642" s="2">
        <v>2026.0</v>
      </c>
      <c r="B1642" s="1" t="s">
        <v>1069</v>
      </c>
      <c r="C1642" s="2" t="s">
        <v>308</v>
      </c>
      <c r="E1642" s="2" t="s">
        <v>32</v>
      </c>
      <c r="F1642" s="2">
        <v>105943.0</v>
      </c>
      <c r="G1642" s="2">
        <v>212038.0</v>
      </c>
      <c r="H1642" s="2">
        <v>317981.0</v>
      </c>
      <c r="I1642" s="2">
        <v>217116.0</v>
      </c>
      <c r="J1642" s="2">
        <v>100865.0</v>
      </c>
    </row>
    <row r="1643">
      <c r="A1643" s="2">
        <v>2026.0</v>
      </c>
      <c r="B1643" s="1" t="s">
        <v>1069</v>
      </c>
      <c r="C1643" s="2" t="s">
        <v>308</v>
      </c>
      <c r="D1643" s="2" t="s">
        <v>326</v>
      </c>
      <c r="E1643" s="2" t="s">
        <v>686</v>
      </c>
      <c r="F1643" s="2">
        <v>2169323.0</v>
      </c>
      <c r="G1643" s="2">
        <v>1862723.0</v>
      </c>
      <c r="H1643" s="2">
        <v>4032046.0</v>
      </c>
      <c r="I1643" s="2">
        <v>1125636.0</v>
      </c>
      <c r="J1643" s="2">
        <v>2906410.0</v>
      </c>
    </row>
    <row r="1644">
      <c r="A1644" s="2">
        <v>2026.0</v>
      </c>
      <c r="B1644" s="1" t="s">
        <v>1069</v>
      </c>
      <c r="C1644" s="2" t="s">
        <v>308</v>
      </c>
      <c r="E1644" s="2" t="s">
        <v>1127</v>
      </c>
      <c r="F1644" s="2">
        <v>2493216.0</v>
      </c>
      <c r="G1644" s="2">
        <v>4033301.0</v>
      </c>
      <c r="H1644" s="2">
        <v>6526517.0</v>
      </c>
      <c r="I1644" s="2">
        <v>4084946.0</v>
      </c>
      <c r="J1644" s="2">
        <v>2441571.0</v>
      </c>
    </row>
    <row r="1645">
      <c r="A1645" s="2">
        <v>2026.0</v>
      </c>
      <c r="B1645" s="1" t="s">
        <v>1069</v>
      </c>
      <c r="C1645" s="2" t="s">
        <v>308</v>
      </c>
      <c r="E1645" s="2" t="s">
        <v>32</v>
      </c>
      <c r="F1645" s="2">
        <v>225428.0</v>
      </c>
      <c r="G1645" s="2">
        <v>79277.0</v>
      </c>
      <c r="H1645" s="2">
        <v>304705.0</v>
      </c>
      <c r="I1645" s="2">
        <v>92995.0</v>
      </c>
      <c r="J1645" s="2">
        <v>211710.0</v>
      </c>
    </row>
    <row r="1646">
      <c r="A1646" s="2">
        <v>2026.0</v>
      </c>
      <c r="B1646" s="1" t="s">
        <v>1069</v>
      </c>
      <c r="C1646" s="2" t="s">
        <v>753</v>
      </c>
      <c r="D1646" s="2" t="s">
        <v>984</v>
      </c>
      <c r="E1646" s="2" t="s">
        <v>686</v>
      </c>
      <c r="F1646" s="2">
        <v>1483850.0</v>
      </c>
      <c r="G1646" s="2">
        <v>3161947.0</v>
      </c>
      <c r="H1646" s="2">
        <v>4645797.0</v>
      </c>
      <c r="I1646" s="2">
        <v>2220136.0</v>
      </c>
      <c r="J1646" s="2">
        <v>2425661.0</v>
      </c>
    </row>
    <row r="1647">
      <c r="A1647" s="2">
        <v>2026.0</v>
      </c>
      <c r="B1647" s="1" t="s">
        <v>1069</v>
      </c>
      <c r="C1647" s="2" t="s">
        <v>753</v>
      </c>
      <c r="E1647" s="2" t="s">
        <v>27</v>
      </c>
      <c r="F1647" s="2">
        <v>166259.0</v>
      </c>
      <c r="G1647" s="2">
        <v>2136670.0</v>
      </c>
      <c r="H1647" s="2">
        <v>2302929.0</v>
      </c>
      <c r="I1647" s="2">
        <v>1956376.0</v>
      </c>
      <c r="J1647" s="2">
        <v>180294.0</v>
      </c>
    </row>
    <row r="1648">
      <c r="A1648" s="2">
        <v>2026.0</v>
      </c>
      <c r="B1648" s="1" t="s">
        <v>1069</v>
      </c>
      <c r="C1648" s="2" t="s">
        <v>753</v>
      </c>
      <c r="E1648" s="2" t="s">
        <v>32</v>
      </c>
      <c r="F1648" s="2">
        <v>130869.0</v>
      </c>
      <c r="G1648" s="2">
        <v>340504.0</v>
      </c>
      <c r="H1648" s="2">
        <v>471373.0</v>
      </c>
      <c r="I1648" s="2">
        <v>159945.0</v>
      </c>
      <c r="J1648" s="2">
        <v>311428.0</v>
      </c>
    </row>
    <row r="1649">
      <c r="A1649" s="2">
        <v>2026.0</v>
      </c>
      <c r="B1649" s="1" t="s">
        <v>1069</v>
      </c>
      <c r="C1649" s="2" t="s">
        <v>753</v>
      </c>
      <c r="E1649" s="2" t="s">
        <v>56</v>
      </c>
      <c r="F1649" s="2">
        <v>1255250.0</v>
      </c>
      <c r="G1649" s="2">
        <v>1040678.0</v>
      </c>
      <c r="H1649" s="2">
        <v>2295928.0</v>
      </c>
      <c r="I1649" s="2">
        <v>1448279.0</v>
      </c>
      <c r="J1649" s="2">
        <v>847649.0</v>
      </c>
    </row>
    <row r="1650">
      <c r="A1650" s="2">
        <v>2026.0</v>
      </c>
      <c r="B1650" s="1" t="s">
        <v>1069</v>
      </c>
      <c r="C1650" s="2" t="s">
        <v>753</v>
      </c>
      <c r="D1650" s="2" t="s">
        <v>756</v>
      </c>
      <c r="E1650" s="2" t="s">
        <v>686</v>
      </c>
      <c r="F1650" s="2">
        <v>2628275.0</v>
      </c>
      <c r="G1650" s="2">
        <v>4169370.0</v>
      </c>
      <c r="H1650" s="2">
        <v>6797645.0</v>
      </c>
      <c r="I1650" s="2">
        <v>1773218.0</v>
      </c>
      <c r="J1650" s="2">
        <v>5024427.0</v>
      </c>
    </row>
    <row r="1651">
      <c r="A1651" s="2">
        <v>2026.0</v>
      </c>
      <c r="B1651" s="1" t="s">
        <v>1069</v>
      </c>
      <c r="C1651" s="2" t="s">
        <v>753</v>
      </c>
      <c r="E1651" s="2" t="s">
        <v>27</v>
      </c>
      <c r="F1651" s="2">
        <v>466913.0</v>
      </c>
      <c r="G1651" s="2">
        <v>1861922.0</v>
      </c>
      <c r="H1651" s="2">
        <v>2328835.0</v>
      </c>
      <c r="I1651" s="2">
        <v>1944433.0</v>
      </c>
      <c r="J1651" s="2">
        <v>384402.0</v>
      </c>
    </row>
    <row r="1652">
      <c r="A1652" s="2">
        <v>2026.0</v>
      </c>
      <c r="B1652" s="1" t="s">
        <v>1069</v>
      </c>
      <c r="C1652" s="2" t="s">
        <v>753</v>
      </c>
      <c r="E1652" s="2" t="s">
        <v>32</v>
      </c>
      <c r="F1652" s="2">
        <v>87547.0</v>
      </c>
      <c r="G1652" s="2">
        <v>120688.0</v>
      </c>
      <c r="H1652" s="2">
        <v>208235.0</v>
      </c>
      <c r="I1652" s="2">
        <v>153095.0</v>
      </c>
      <c r="J1652" s="2">
        <v>55140.0</v>
      </c>
    </row>
    <row r="1653">
      <c r="A1653" s="2">
        <v>2026.0</v>
      </c>
      <c r="B1653" s="1" t="s">
        <v>1069</v>
      </c>
      <c r="C1653" s="2" t="s">
        <v>753</v>
      </c>
      <c r="E1653" s="2" t="s">
        <v>56</v>
      </c>
      <c r="F1653" s="2">
        <v>3123498.0</v>
      </c>
      <c r="G1653" s="2">
        <v>1326000.0</v>
      </c>
      <c r="H1653" s="2">
        <v>4449498.0</v>
      </c>
      <c r="I1653" s="2">
        <v>1899915.0</v>
      </c>
      <c r="J1653" s="2">
        <v>2549583.0</v>
      </c>
    </row>
    <row r="1654">
      <c r="A1654" s="2">
        <v>2026.0</v>
      </c>
      <c r="B1654" s="1" t="s">
        <v>1069</v>
      </c>
      <c r="C1654" s="2" t="s">
        <v>753</v>
      </c>
      <c r="D1654" s="2" t="s">
        <v>758</v>
      </c>
      <c r="E1654" s="2" t="s">
        <v>686</v>
      </c>
      <c r="F1654" s="2">
        <v>1684155.0</v>
      </c>
      <c r="G1654" s="2">
        <v>2533351.0</v>
      </c>
      <c r="H1654" s="2">
        <v>4217506.0</v>
      </c>
      <c r="I1654" s="2">
        <v>2214432.0</v>
      </c>
      <c r="J1654" s="2">
        <v>2003074.0</v>
      </c>
    </row>
    <row r="1655">
      <c r="A1655" s="2">
        <v>2026.0</v>
      </c>
      <c r="B1655" s="1" t="s">
        <v>1069</v>
      </c>
      <c r="C1655" s="2" t="s">
        <v>753</v>
      </c>
      <c r="E1655" s="2" t="s">
        <v>749</v>
      </c>
      <c r="F1655" s="2">
        <v>962591.0</v>
      </c>
      <c r="G1655" s="2">
        <v>867585.0</v>
      </c>
      <c r="H1655" s="2">
        <v>1830176.0</v>
      </c>
      <c r="I1655" s="2">
        <v>909000.0</v>
      </c>
      <c r="J1655" s="2">
        <v>921176.0</v>
      </c>
    </row>
    <row r="1656">
      <c r="A1656" s="2">
        <v>2026.0</v>
      </c>
      <c r="B1656" s="1" t="s">
        <v>1069</v>
      </c>
      <c r="C1656" s="2" t="s">
        <v>753</v>
      </c>
      <c r="E1656" s="2" t="s">
        <v>27</v>
      </c>
      <c r="F1656" s="2">
        <v>83381.0</v>
      </c>
      <c r="G1656" s="2">
        <v>1397752.0</v>
      </c>
      <c r="H1656" s="2">
        <v>1481133.0</v>
      </c>
      <c r="I1656" s="2">
        <v>1458811.0</v>
      </c>
      <c r="J1656" s="2">
        <v>22322.0</v>
      </c>
    </row>
    <row r="1657">
      <c r="A1657" s="2">
        <v>2026.0</v>
      </c>
      <c r="B1657" s="1" t="s">
        <v>1069</v>
      </c>
      <c r="C1657" s="2" t="s">
        <v>753</v>
      </c>
      <c r="E1657" s="2" t="s">
        <v>32</v>
      </c>
      <c r="F1657" s="2">
        <v>32280.0</v>
      </c>
      <c r="G1657" s="2">
        <v>1083445.0</v>
      </c>
      <c r="H1657" s="2">
        <v>1115725.0</v>
      </c>
      <c r="I1657" s="2">
        <v>1030911.0</v>
      </c>
      <c r="J1657" s="2">
        <v>52534.0</v>
      </c>
    </row>
    <row r="1658">
      <c r="A1658" s="2">
        <v>2026.0</v>
      </c>
      <c r="B1658" s="1" t="s">
        <v>1069</v>
      </c>
      <c r="C1658" s="2" t="s">
        <v>753</v>
      </c>
      <c r="D1658" s="2" t="s">
        <v>1145</v>
      </c>
      <c r="E1658" s="2" t="s">
        <v>686</v>
      </c>
      <c r="F1658" s="2">
        <v>957296.0</v>
      </c>
      <c r="G1658" s="2">
        <v>2380831.0</v>
      </c>
      <c r="H1658" s="2">
        <v>3338127.0</v>
      </c>
      <c r="I1658" s="2">
        <v>1055732.0</v>
      </c>
      <c r="J1658" s="2">
        <v>2282395.0</v>
      </c>
    </row>
    <row r="1659">
      <c r="A1659" s="2">
        <v>2026.0</v>
      </c>
      <c r="B1659" s="1" t="s">
        <v>1069</v>
      </c>
      <c r="C1659" s="2" t="s">
        <v>753</v>
      </c>
      <c r="E1659" s="2" t="s">
        <v>749</v>
      </c>
      <c r="F1659" s="2">
        <v>1078240.0</v>
      </c>
      <c r="G1659" s="2">
        <v>830497.0</v>
      </c>
      <c r="H1659" s="2">
        <v>1908737.0</v>
      </c>
      <c r="I1659" s="2">
        <v>1212542.0</v>
      </c>
      <c r="J1659" s="2">
        <v>696195.0</v>
      </c>
    </row>
    <row r="1660">
      <c r="A1660" s="2">
        <v>2026.0</v>
      </c>
      <c r="B1660" s="1" t="s">
        <v>1069</v>
      </c>
      <c r="C1660" s="2" t="s">
        <v>753</v>
      </c>
      <c r="E1660" s="2" t="s">
        <v>27</v>
      </c>
      <c r="F1660" s="2">
        <v>191024.0</v>
      </c>
      <c r="G1660" s="2">
        <v>1837529.0</v>
      </c>
      <c r="H1660" s="2">
        <v>2028553.0</v>
      </c>
      <c r="I1660" s="2">
        <v>1902179.0</v>
      </c>
      <c r="J1660" s="2">
        <v>126374.0</v>
      </c>
    </row>
    <row r="1661">
      <c r="A1661" s="2">
        <v>2026.0</v>
      </c>
      <c r="B1661" s="1" t="s">
        <v>1069</v>
      </c>
      <c r="C1661" s="2" t="s">
        <v>753</v>
      </c>
      <c r="E1661" s="2" t="s">
        <v>32</v>
      </c>
      <c r="F1661" s="2">
        <v>85811.0</v>
      </c>
      <c r="G1661" s="2">
        <v>1228161.0</v>
      </c>
      <c r="H1661" s="2">
        <v>1313972.0</v>
      </c>
      <c r="I1661" s="2">
        <v>965610.0</v>
      </c>
      <c r="J1661" s="2">
        <v>348362.0</v>
      </c>
    </row>
    <row r="1662">
      <c r="A1662" s="2">
        <v>2026.0</v>
      </c>
      <c r="B1662" s="1" t="s">
        <v>1069</v>
      </c>
      <c r="C1662" s="2" t="s">
        <v>836</v>
      </c>
      <c r="D1662" s="2" t="s">
        <v>1147</v>
      </c>
      <c r="E1662" s="2" t="s">
        <v>686</v>
      </c>
      <c r="F1662" s="2">
        <v>1788505.0</v>
      </c>
      <c r="G1662" s="2">
        <v>1599954.0</v>
      </c>
      <c r="H1662" s="2">
        <v>3388459.0</v>
      </c>
      <c r="I1662" s="2">
        <v>491638.0</v>
      </c>
      <c r="J1662" s="2">
        <v>2896821.0</v>
      </c>
    </row>
    <row r="1663">
      <c r="A1663" s="2">
        <v>2026.0</v>
      </c>
      <c r="B1663" s="1" t="s">
        <v>1069</v>
      </c>
      <c r="C1663" s="2" t="s">
        <v>836</v>
      </c>
      <c r="E1663" s="2" t="s">
        <v>779</v>
      </c>
      <c r="F1663" s="2">
        <v>64016.0</v>
      </c>
      <c r="G1663" s="2">
        <v>9441.0</v>
      </c>
      <c r="H1663" s="2">
        <v>73457.0</v>
      </c>
      <c r="I1663" s="2">
        <v>7000.0</v>
      </c>
      <c r="J1663" s="2">
        <v>66457.0</v>
      </c>
    </row>
    <row r="1664">
      <c r="A1664" s="2">
        <v>2026.0</v>
      </c>
      <c r="B1664" s="1" t="s">
        <v>1069</v>
      </c>
      <c r="C1664" s="2" t="s">
        <v>836</v>
      </c>
      <c r="E1664" s="2" t="s">
        <v>27</v>
      </c>
      <c r="F1664" s="2">
        <v>41697.0</v>
      </c>
      <c r="G1664" s="2">
        <v>1579.0</v>
      </c>
      <c r="H1664" s="2">
        <v>43276.0</v>
      </c>
      <c r="I1664" s="2">
        <v>0.0</v>
      </c>
      <c r="J1664" s="2">
        <v>43276.0</v>
      </c>
    </row>
    <row r="1665">
      <c r="A1665" s="2">
        <v>2026.0</v>
      </c>
      <c r="B1665" s="1" t="s">
        <v>1069</v>
      </c>
      <c r="C1665" s="2" t="s">
        <v>836</v>
      </c>
      <c r="E1665" s="2" t="s">
        <v>32</v>
      </c>
      <c r="F1665" s="2">
        <v>98816.0</v>
      </c>
      <c r="G1665" s="2">
        <v>375766.0</v>
      </c>
      <c r="H1665" s="2">
        <v>474582.0</v>
      </c>
      <c r="I1665" s="2">
        <v>142819.0</v>
      </c>
      <c r="J1665" s="2">
        <v>331763.0</v>
      </c>
    </row>
    <row r="1666">
      <c r="A1666" s="2">
        <v>2026.0</v>
      </c>
      <c r="B1666" s="1" t="s">
        <v>1069</v>
      </c>
      <c r="C1666" s="2" t="s">
        <v>836</v>
      </c>
      <c r="E1666" s="2" t="s">
        <v>56</v>
      </c>
      <c r="F1666" s="2">
        <v>3206420.0</v>
      </c>
      <c r="G1666" s="2">
        <v>3177698.0</v>
      </c>
      <c r="H1666" s="2">
        <v>6384118.0</v>
      </c>
      <c r="I1666" s="2">
        <v>3051672.0</v>
      </c>
      <c r="J1666" s="2">
        <v>3332446.0</v>
      </c>
    </row>
    <row r="1667">
      <c r="A1667" s="2">
        <v>2026.0</v>
      </c>
      <c r="B1667" s="1" t="s">
        <v>1069</v>
      </c>
      <c r="C1667" s="2" t="s">
        <v>836</v>
      </c>
      <c r="D1667" s="2" t="s">
        <v>1148</v>
      </c>
      <c r="E1667" s="2" t="s">
        <v>686</v>
      </c>
      <c r="F1667" s="2">
        <v>3557380.0</v>
      </c>
      <c r="G1667" s="2">
        <v>4801462.0</v>
      </c>
      <c r="H1667" s="2">
        <v>8358842.0</v>
      </c>
      <c r="I1667" s="2">
        <v>3950214.0</v>
      </c>
      <c r="J1667" s="2">
        <v>4408628.0</v>
      </c>
    </row>
    <row r="1668">
      <c r="A1668" s="2">
        <v>2026.0</v>
      </c>
      <c r="B1668" s="1" t="s">
        <v>1069</v>
      </c>
      <c r="C1668" s="2" t="s">
        <v>836</v>
      </c>
      <c r="E1668" s="2" t="s">
        <v>32</v>
      </c>
      <c r="F1668" s="2">
        <v>49303.0</v>
      </c>
      <c r="G1668" s="2">
        <v>937170.0</v>
      </c>
      <c r="H1668" s="2">
        <v>986473.0</v>
      </c>
      <c r="I1668" s="2">
        <v>910570.0</v>
      </c>
      <c r="J1668" s="2">
        <v>75903.0</v>
      </c>
    </row>
    <row r="1669">
      <c r="A1669" s="2">
        <v>2026.0</v>
      </c>
      <c r="B1669" s="1" t="s">
        <v>1069</v>
      </c>
      <c r="C1669" s="2" t="s">
        <v>836</v>
      </c>
      <c r="E1669" s="2" t="s">
        <v>56</v>
      </c>
      <c r="F1669" s="2">
        <v>758130.0</v>
      </c>
      <c r="G1669" s="2">
        <v>5042215.0</v>
      </c>
      <c r="H1669" s="2">
        <v>5800345.0</v>
      </c>
      <c r="I1669" s="2">
        <v>5537337.0</v>
      </c>
      <c r="J1669" s="2">
        <v>263008.0</v>
      </c>
    </row>
    <row r="1670">
      <c r="A1670" s="2">
        <v>2026.0</v>
      </c>
      <c r="B1670" s="1" t="s">
        <v>1069</v>
      </c>
      <c r="C1670" s="2" t="s">
        <v>836</v>
      </c>
      <c r="D1670" s="2" t="s">
        <v>842</v>
      </c>
      <c r="E1670" s="2" t="s">
        <v>686</v>
      </c>
      <c r="F1670" s="2">
        <v>342286.0</v>
      </c>
      <c r="G1670" s="2">
        <v>1919518.0</v>
      </c>
      <c r="H1670" s="2">
        <v>2261804.0</v>
      </c>
      <c r="I1670" s="2">
        <v>0.0</v>
      </c>
      <c r="J1670" s="2">
        <v>2261804.0</v>
      </c>
    </row>
    <row r="1671">
      <c r="A1671" s="2">
        <v>2026.0</v>
      </c>
      <c r="B1671" s="1" t="s">
        <v>1069</v>
      </c>
      <c r="C1671" s="2" t="s">
        <v>836</v>
      </c>
      <c r="E1671" s="2" t="s">
        <v>32</v>
      </c>
      <c r="F1671" s="2">
        <v>348528.0</v>
      </c>
      <c r="G1671" s="2">
        <v>321621.0</v>
      </c>
      <c r="H1671" s="2">
        <v>670149.0</v>
      </c>
      <c r="I1671" s="2">
        <v>308652.0</v>
      </c>
      <c r="J1671" s="2">
        <v>361497.0</v>
      </c>
    </row>
    <row r="1672">
      <c r="A1672" s="2">
        <v>2026.0</v>
      </c>
      <c r="B1672" s="1" t="s">
        <v>1069</v>
      </c>
      <c r="C1672" s="2" t="s">
        <v>836</v>
      </c>
      <c r="E1672" s="2" t="s">
        <v>56</v>
      </c>
      <c r="F1672" s="2">
        <v>1458315.0</v>
      </c>
      <c r="G1672" s="2">
        <v>1947022.0</v>
      </c>
      <c r="H1672" s="2">
        <v>3405337.0</v>
      </c>
      <c r="I1672" s="2">
        <v>1870244.0</v>
      </c>
      <c r="J1672" s="2">
        <v>1535093.0</v>
      </c>
    </row>
    <row r="1673">
      <c r="A1673" s="2">
        <v>2026.0</v>
      </c>
      <c r="B1673" s="1" t="s">
        <v>1069</v>
      </c>
      <c r="C1673" s="2" t="s">
        <v>836</v>
      </c>
      <c r="D1673" s="2" t="s">
        <v>841</v>
      </c>
      <c r="E1673" s="2" t="s">
        <v>686</v>
      </c>
      <c r="F1673" s="2">
        <v>6189362.0</v>
      </c>
      <c r="G1673" s="2">
        <v>2160085.0</v>
      </c>
      <c r="H1673" s="2">
        <v>8349447.0</v>
      </c>
      <c r="I1673" s="2">
        <v>1877543.0</v>
      </c>
      <c r="J1673" s="2">
        <v>6471904.0</v>
      </c>
    </row>
    <row r="1674">
      <c r="A1674" s="2">
        <v>2026.0</v>
      </c>
      <c r="B1674" s="1" t="s">
        <v>1069</v>
      </c>
      <c r="C1674" s="2" t="s">
        <v>836</v>
      </c>
      <c r="E1674" s="2" t="s">
        <v>32</v>
      </c>
      <c r="F1674" s="2">
        <v>1821217.0</v>
      </c>
      <c r="G1674" s="2">
        <v>986340.0</v>
      </c>
      <c r="H1674" s="2">
        <v>2807557.0</v>
      </c>
      <c r="I1674" s="2">
        <v>630415.0</v>
      </c>
      <c r="J1674" s="2">
        <v>2177142.0</v>
      </c>
    </row>
    <row r="1675">
      <c r="A1675" s="2">
        <v>2026.0</v>
      </c>
      <c r="B1675" s="1" t="s">
        <v>1069</v>
      </c>
      <c r="C1675" s="2" t="s">
        <v>836</v>
      </c>
      <c r="E1675" s="2" t="s">
        <v>56</v>
      </c>
      <c r="F1675" s="2">
        <v>7716168.0</v>
      </c>
      <c r="G1675" s="2">
        <v>3150172.0</v>
      </c>
      <c r="H1675" s="2">
        <v>1.086634E7</v>
      </c>
      <c r="I1675" s="2">
        <v>3980564.0</v>
      </c>
      <c r="J1675" s="2">
        <v>6885776.0</v>
      </c>
    </row>
    <row r="1676">
      <c r="A1676" s="2">
        <v>2026.0</v>
      </c>
      <c r="B1676" s="1" t="s">
        <v>1069</v>
      </c>
      <c r="C1676" s="2" t="s">
        <v>836</v>
      </c>
      <c r="D1676" s="2" t="s">
        <v>839</v>
      </c>
      <c r="E1676" s="2" t="s">
        <v>686</v>
      </c>
      <c r="F1676" s="2">
        <v>3707269.0</v>
      </c>
      <c r="G1676" s="2">
        <v>2197544.0</v>
      </c>
      <c r="H1676" s="2">
        <v>5904813.0</v>
      </c>
      <c r="I1676" s="2">
        <v>1012028.0</v>
      </c>
      <c r="J1676" s="2">
        <v>4892785.0</v>
      </c>
    </row>
    <row r="1677">
      <c r="A1677" s="2">
        <v>2026.0</v>
      </c>
      <c r="B1677" s="1" t="s">
        <v>1069</v>
      </c>
      <c r="C1677" s="2" t="s">
        <v>836</v>
      </c>
      <c r="E1677" s="2" t="s">
        <v>32</v>
      </c>
      <c r="F1677" s="2">
        <v>76442.0</v>
      </c>
      <c r="G1677" s="2">
        <v>178700.0</v>
      </c>
      <c r="H1677" s="2">
        <v>255142.0</v>
      </c>
      <c r="I1677" s="2">
        <v>217007.0</v>
      </c>
      <c r="J1677" s="2">
        <v>38135.0</v>
      </c>
    </row>
    <row r="1678">
      <c r="A1678" s="2">
        <v>2026.0</v>
      </c>
      <c r="B1678" s="1" t="s">
        <v>1069</v>
      </c>
      <c r="C1678" s="2" t="s">
        <v>836</v>
      </c>
      <c r="E1678" s="2" t="s">
        <v>56</v>
      </c>
      <c r="F1678" s="2">
        <v>3122579.0</v>
      </c>
      <c r="G1678" s="2">
        <v>2263298.0</v>
      </c>
      <c r="H1678" s="2">
        <v>5385877.0</v>
      </c>
      <c r="I1678" s="2">
        <v>2727257.0</v>
      </c>
      <c r="J1678" s="2">
        <v>2658620.0</v>
      </c>
    </row>
    <row r="1679">
      <c r="A1679" s="2">
        <v>2026.0</v>
      </c>
      <c r="B1679" s="1" t="s">
        <v>1069</v>
      </c>
      <c r="C1679" s="2" t="s">
        <v>836</v>
      </c>
      <c r="D1679" s="2" t="s">
        <v>838</v>
      </c>
      <c r="E1679" s="2" t="s">
        <v>686</v>
      </c>
      <c r="F1679" s="2">
        <v>4793097.0</v>
      </c>
      <c r="G1679" s="2">
        <v>2674111.0</v>
      </c>
      <c r="H1679" s="2">
        <v>7467208.0</v>
      </c>
      <c r="I1679" s="2">
        <v>1049388.0</v>
      </c>
      <c r="J1679" s="2">
        <v>6417820.0</v>
      </c>
    </row>
    <row r="1680">
      <c r="A1680" s="2">
        <v>2026.0</v>
      </c>
      <c r="B1680" s="1" t="s">
        <v>1069</v>
      </c>
      <c r="C1680" s="2" t="s">
        <v>836</v>
      </c>
      <c r="E1680" s="2" t="s">
        <v>779</v>
      </c>
      <c r="F1680" s="2">
        <v>63536.0</v>
      </c>
      <c r="G1680" s="2">
        <v>1924.0</v>
      </c>
      <c r="H1680" s="2">
        <v>65460.0</v>
      </c>
      <c r="I1680" s="2">
        <v>0.0</v>
      </c>
      <c r="J1680" s="2">
        <v>65460.0</v>
      </c>
    </row>
    <row r="1681">
      <c r="A1681" s="2">
        <v>2026.0</v>
      </c>
      <c r="B1681" s="1" t="s">
        <v>1069</v>
      </c>
      <c r="C1681" s="2" t="s">
        <v>836</v>
      </c>
      <c r="E1681" s="2" t="s">
        <v>32</v>
      </c>
      <c r="F1681" s="2">
        <v>326912.0</v>
      </c>
      <c r="G1681" s="2">
        <v>179283.0</v>
      </c>
      <c r="H1681" s="2">
        <v>506195.0</v>
      </c>
      <c r="I1681" s="2">
        <v>472281.0</v>
      </c>
      <c r="J1681" s="2">
        <v>33914.0</v>
      </c>
    </row>
    <row r="1682">
      <c r="A1682" s="2">
        <v>2026.0</v>
      </c>
      <c r="B1682" s="1" t="s">
        <v>1069</v>
      </c>
      <c r="C1682" s="2" t="s">
        <v>836</v>
      </c>
      <c r="E1682" s="2" t="s">
        <v>1151</v>
      </c>
      <c r="F1682" s="2">
        <v>136294.0</v>
      </c>
      <c r="G1682" s="2">
        <v>5159.0</v>
      </c>
      <c r="H1682" s="2">
        <v>141453.0</v>
      </c>
      <c r="I1682" s="2">
        <v>0.0</v>
      </c>
      <c r="J1682" s="2">
        <v>141453.0</v>
      </c>
    </row>
    <row r="1683">
      <c r="A1683" s="2">
        <v>2026.0</v>
      </c>
      <c r="B1683" s="1" t="s">
        <v>1069</v>
      </c>
      <c r="C1683" s="2" t="s">
        <v>836</v>
      </c>
      <c r="E1683" s="2" t="s">
        <v>1048</v>
      </c>
      <c r="F1683" s="2">
        <v>3252320.0</v>
      </c>
      <c r="G1683" s="2">
        <v>3091277.0</v>
      </c>
      <c r="H1683" s="2">
        <v>6343597.0</v>
      </c>
      <c r="I1683" s="2">
        <v>3527242.0</v>
      </c>
      <c r="J1683" s="2">
        <v>2816355.0</v>
      </c>
    </row>
    <row r="1684">
      <c r="A1684" s="2">
        <v>2026.0</v>
      </c>
      <c r="B1684" s="1" t="s">
        <v>1069</v>
      </c>
      <c r="C1684" s="2" t="s">
        <v>836</v>
      </c>
      <c r="E1684" s="2" t="s">
        <v>460</v>
      </c>
      <c r="F1684" s="2">
        <v>233741.0</v>
      </c>
      <c r="G1684" s="2">
        <v>98394.0</v>
      </c>
      <c r="H1684" s="2">
        <v>332135.0</v>
      </c>
      <c r="I1684" s="2">
        <v>58585.0</v>
      </c>
      <c r="J1684" s="2">
        <v>273550.0</v>
      </c>
    </row>
    <row r="1685">
      <c r="A1685" s="2">
        <v>2026.0</v>
      </c>
      <c r="B1685" s="1" t="s">
        <v>1069</v>
      </c>
      <c r="C1685" s="2" t="s">
        <v>1017</v>
      </c>
      <c r="D1685" s="2" t="s">
        <v>1023</v>
      </c>
      <c r="E1685" s="2" t="s">
        <v>686</v>
      </c>
      <c r="F1685" s="2">
        <v>2544695.0</v>
      </c>
      <c r="G1685" s="2">
        <v>3856535.0</v>
      </c>
      <c r="H1685" s="2">
        <v>6401230.0</v>
      </c>
      <c r="I1685" s="2">
        <v>1756200.0</v>
      </c>
      <c r="J1685" s="2">
        <v>4645030.0</v>
      </c>
    </row>
    <row r="1686">
      <c r="A1686" s="2">
        <v>2026.0</v>
      </c>
      <c r="B1686" s="1" t="s">
        <v>1069</v>
      </c>
      <c r="C1686" s="2" t="s">
        <v>1017</v>
      </c>
      <c r="E1686" s="2" t="s">
        <v>749</v>
      </c>
      <c r="F1686" s="2">
        <v>3779021.0</v>
      </c>
      <c r="G1686" s="2">
        <v>2563528.0</v>
      </c>
      <c r="H1686" s="2">
        <v>6342549.0</v>
      </c>
      <c r="I1686" s="2">
        <v>4776559.0</v>
      </c>
      <c r="J1686" s="2">
        <v>1565990.0</v>
      </c>
    </row>
    <row r="1687">
      <c r="A1687" s="2">
        <v>2026.0</v>
      </c>
      <c r="B1687" s="1" t="s">
        <v>1069</v>
      </c>
      <c r="C1687" s="2" t="s">
        <v>1017</v>
      </c>
      <c r="E1687" s="2" t="s">
        <v>32</v>
      </c>
      <c r="F1687" s="2">
        <v>1593050.0</v>
      </c>
      <c r="G1687" s="2">
        <v>1208740.0</v>
      </c>
      <c r="H1687" s="2">
        <v>2801790.0</v>
      </c>
      <c r="I1687" s="2">
        <v>2740491.0</v>
      </c>
      <c r="J1687" s="2">
        <v>61299.0</v>
      </c>
    </row>
    <row r="1688">
      <c r="A1688" s="2">
        <v>2026.0</v>
      </c>
      <c r="B1688" s="1" t="s">
        <v>1069</v>
      </c>
      <c r="C1688" s="2" t="s">
        <v>1017</v>
      </c>
      <c r="D1688" s="2" t="s">
        <v>64</v>
      </c>
      <c r="E1688" s="2" t="s">
        <v>686</v>
      </c>
      <c r="F1688" s="2">
        <v>2221878.0</v>
      </c>
      <c r="G1688" s="2">
        <v>3454766.0</v>
      </c>
      <c r="H1688" s="2">
        <v>5676644.0</v>
      </c>
      <c r="I1688" s="2">
        <v>1115667.0</v>
      </c>
      <c r="J1688" s="2">
        <v>4560977.0</v>
      </c>
    </row>
    <row r="1689">
      <c r="A1689" s="2">
        <v>2026.0</v>
      </c>
      <c r="B1689" s="1" t="s">
        <v>1069</v>
      </c>
      <c r="C1689" s="2" t="s">
        <v>1017</v>
      </c>
      <c r="E1689" s="2" t="s">
        <v>749</v>
      </c>
      <c r="F1689" s="2">
        <v>2782143.0</v>
      </c>
      <c r="G1689" s="2">
        <v>1169662.0</v>
      </c>
      <c r="H1689" s="2">
        <v>3951805.0</v>
      </c>
      <c r="I1689" s="2">
        <v>845873.0</v>
      </c>
      <c r="J1689" s="2">
        <v>3105932.0</v>
      </c>
    </row>
    <row r="1690">
      <c r="A1690" s="2">
        <v>2026.0</v>
      </c>
      <c r="B1690" s="1" t="s">
        <v>1069</v>
      </c>
      <c r="C1690" s="2" t="s">
        <v>1017</v>
      </c>
      <c r="E1690" s="2" t="s">
        <v>27</v>
      </c>
      <c r="F1690" s="2">
        <v>199635.0</v>
      </c>
      <c r="G1690" s="2">
        <v>1845501.0</v>
      </c>
      <c r="H1690" s="2">
        <v>2045136.0</v>
      </c>
      <c r="I1690" s="2">
        <v>1790951.0</v>
      </c>
      <c r="J1690" s="2">
        <v>254185.0</v>
      </c>
    </row>
    <row r="1691">
      <c r="A1691" s="2">
        <v>2026.0</v>
      </c>
      <c r="B1691" s="1" t="s">
        <v>1069</v>
      </c>
      <c r="C1691" s="2" t="s">
        <v>1017</v>
      </c>
      <c r="E1691" s="2" t="s">
        <v>1153</v>
      </c>
      <c r="F1691" s="2">
        <v>296086.0</v>
      </c>
      <c r="G1691" s="2">
        <v>866051.0</v>
      </c>
      <c r="H1691" s="2">
        <v>1162137.0</v>
      </c>
      <c r="I1691" s="2">
        <v>360637.0</v>
      </c>
      <c r="J1691" s="2">
        <v>801500.0</v>
      </c>
    </row>
    <row r="1692">
      <c r="A1692" s="2">
        <v>2026.0</v>
      </c>
      <c r="B1692" s="1" t="s">
        <v>1069</v>
      </c>
      <c r="C1692" s="2" t="s">
        <v>1017</v>
      </c>
      <c r="E1692" s="2" t="s">
        <v>1154</v>
      </c>
      <c r="F1692" s="2">
        <v>1180.0</v>
      </c>
      <c r="G1692" s="2">
        <v>40.0</v>
      </c>
      <c r="H1692" s="2">
        <v>1220.0</v>
      </c>
      <c r="I1692" s="2">
        <v>118.0</v>
      </c>
      <c r="J1692" s="2">
        <v>1102.0</v>
      </c>
    </row>
    <row r="1693">
      <c r="A1693" s="2">
        <v>2026.0</v>
      </c>
      <c r="B1693" s="1" t="s">
        <v>1069</v>
      </c>
      <c r="C1693" s="2" t="s">
        <v>1017</v>
      </c>
      <c r="D1693" s="2" t="s">
        <v>1017</v>
      </c>
      <c r="E1693" s="2" t="s">
        <v>686</v>
      </c>
      <c r="F1693" s="2">
        <v>4998918.0</v>
      </c>
      <c r="G1693" s="2">
        <v>4774649.0</v>
      </c>
      <c r="H1693" s="2">
        <v>9773567.0</v>
      </c>
      <c r="I1693" s="2">
        <v>2607190.0</v>
      </c>
      <c r="J1693" s="2">
        <v>7166377.0</v>
      </c>
    </row>
    <row r="1694">
      <c r="A1694" s="2">
        <v>2026.0</v>
      </c>
      <c r="B1694" s="1" t="s">
        <v>1069</v>
      </c>
      <c r="C1694" s="2" t="s">
        <v>1017</v>
      </c>
      <c r="E1694" s="2" t="s">
        <v>1153</v>
      </c>
      <c r="F1694" s="2">
        <v>488991.0</v>
      </c>
      <c r="G1694" s="2">
        <v>1244746.0</v>
      </c>
      <c r="H1694" s="2">
        <v>1733737.0</v>
      </c>
      <c r="I1694" s="2">
        <v>1355592.0</v>
      </c>
      <c r="J1694" s="2">
        <v>378145.0</v>
      </c>
    </row>
    <row r="1695">
      <c r="A1695" s="2">
        <v>2026.0</v>
      </c>
      <c r="B1695" s="1" t="s">
        <v>1069</v>
      </c>
      <c r="C1695" s="2" t="s">
        <v>1017</v>
      </c>
      <c r="E1695" s="2" t="s">
        <v>92</v>
      </c>
      <c r="F1695" s="2">
        <v>5188711.0</v>
      </c>
      <c r="G1695" s="2">
        <v>4641429.0</v>
      </c>
      <c r="H1695" s="2">
        <v>9830140.0</v>
      </c>
      <c r="I1695" s="2">
        <v>6324209.0</v>
      </c>
      <c r="J1695" s="2">
        <v>3505931.0</v>
      </c>
    </row>
    <row r="1696">
      <c r="A1696" s="2">
        <v>2026.0</v>
      </c>
      <c r="B1696" s="1" t="s">
        <v>1069</v>
      </c>
      <c r="C1696" s="2" t="s">
        <v>1017</v>
      </c>
      <c r="D1696" s="2" t="s">
        <v>116</v>
      </c>
      <c r="E1696" s="2" t="s">
        <v>686</v>
      </c>
      <c r="F1696" s="2">
        <v>2588956.0</v>
      </c>
      <c r="G1696" s="2">
        <v>2637579.0</v>
      </c>
      <c r="H1696" s="2">
        <v>5226535.0</v>
      </c>
      <c r="I1696" s="2">
        <v>1240452.0</v>
      </c>
      <c r="J1696" s="2">
        <v>3986083.0</v>
      </c>
    </row>
    <row r="1697">
      <c r="A1697" s="2">
        <v>2026.0</v>
      </c>
      <c r="B1697" s="1" t="s">
        <v>1069</v>
      </c>
      <c r="C1697" s="2" t="s">
        <v>1017</v>
      </c>
      <c r="E1697" s="2" t="s">
        <v>749</v>
      </c>
      <c r="F1697" s="2">
        <v>1084346.0</v>
      </c>
      <c r="G1697" s="2">
        <v>3898047.0</v>
      </c>
      <c r="H1697" s="2">
        <v>4982393.0</v>
      </c>
      <c r="I1697" s="2">
        <v>2981936.0</v>
      </c>
      <c r="J1697" s="2">
        <v>2000457.0</v>
      </c>
    </row>
    <row r="1698">
      <c r="A1698" s="2">
        <v>2026.0</v>
      </c>
      <c r="B1698" s="1" t="s">
        <v>1069</v>
      </c>
      <c r="C1698" s="2" t="s">
        <v>1017</v>
      </c>
      <c r="E1698" s="2" t="s">
        <v>32</v>
      </c>
      <c r="F1698" s="2">
        <v>214884.0</v>
      </c>
      <c r="G1698" s="2">
        <v>77420.0</v>
      </c>
      <c r="H1698" s="2">
        <v>292304.0</v>
      </c>
      <c r="I1698" s="2">
        <v>157124.0</v>
      </c>
      <c r="J1698" s="2">
        <v>135180.0</v>
      </c>
    </row>
    <row r="1699">
      <c r="A1699" s="2">
        <v>2026.0</v>
      </c>
      <c r="B1699" s="1" t="s">
        <v>1069</v>
      </c>
      <c r="C1699" s="2" t="s">
        <v>844</v>
      </c>
      <c r="D1699" s="2" t="s">
        <v>276</v>
      </c>
      <c r="E1699" s="2" t="s">
        <v>686</v>
      </c>
      <c r="F1699" s="2">
        <v>1387586.0</v>
      </c>
      <c r="G1699" s="2">
        <v>1522098.0</v>
      </c>
      <c r="H1699" s="2">
        <v>2909684.0</v>
      </c>
      <c r="I1699" s="2">
        <v>2255210.0</v>
      </c>
      <c r="J1699" s="2">
        <v>654474.0</v>
      </c>
    </row>
    <row r="1700">
      <c r="A1700" s="2">
        <v>2026.0</v>
      </c>
      <c r="B1700" s="1" t="s">
        <v>1069</v>
      </c>
      <c r="C1700" s="2" t="s">
        <v>844</v>
      </c>
      <c r="E1700" s="2" t="s">
        <v>749</v>
      </c>
      <c r="F1700" s="2">
        <v>2410592.0</v>
      </c>
      <c r="G1700" s="2">
        <v>3695408.0</v>
      </c>
      <c r="H1700" s="2">
        <v>6106000.0</v>
      </c>
      <c r="I1700" s="2">
        <v>4937120.0</v>
      </c>
      <c r="J1700" s="2">
        <v>1168880.0</v>
      </c>
    </row>
    <row r="1701">
      <c r="A1701" s="2">
        <v>2026.0</v>
      </c>
      <c r="B1701" s="1" t="s">
        <v>1069</v>
      </c>
      <c r="C1701" s="2" t="s">
        <v>844</v>
      </c>
      <c r="E1701" s="2" t="s">
        <v>32</v>
      </c>
      <c r="F1701" s="2">
        <v>37137.0</v>
      </c>
      <c r="G1701" s="2">
        <v>411063.0</v>
      </c>
      <c r="H1701" s="2">
        <v>448200.0</v>
      </c>
      <c r="I1701" s="2">
        <v>360707.0</v>
      </c>
      <c r="J1701" s="2">
        <v>87493.0</v>
      </c>
    </row>
    <row r="1702">
      <c r="A1702" s="2">
        <v>2026.0</v>
      </c>
      <c r="B1702" s="1" t="s">
        <v>1069</v>
      </c>
      <c r="C1702" s="2" t="s">
        <v>844</v>
      </c>
      <c r="D1702" s="2" t="s">
        <v>1156</v>
      </c>
      <c r="E1702" s="2" t="s">
        <v>686</v>
      </c>
      <c r="F1702" s="2">
        <v>1995982.0</v>
      </c>
      <c r="G1702" s="2">
        <v>1526693.0</v>
      </c>
      <c r="H1702" s="2">
        <v>3522675.0</v>
      </c>
      <c r="I1702" s="2">
        <v>665109.0</v>
      </c>
      <c r="J1702" s="2">
        <v>2857566.0</v>
      </c>
    </row>
    <row r="1703">
      <c r="A1703" s="2">
        <v>2026.0</v>
      </c>
      <c r="B1703" s="1" t="s">
        <v>1069</v>
      </c>
      <c r="C1703" s="2" t="s">
        <v>844</v>
      </c>
      <c r="E1703" s="2" t="s">
        <v>279</v>
      </c>
      <c r="F1703" s="2">
        <v>2286309.0</v>
      </c>
      <c r="G1703" s="2">
        <v>2108116.0</v>
      </c>
      <c r="H1703" s="2">
        <v>4394425.0</v>
      </c>
      <c r="I1703" s="2">
        <v>2383168.0</v>
      </c>
      <c r="J1703" s="2">
        <v>2011257.0</v>
      </c>
    </row>
    <row r="1704">
      <c r="A1704" s="2">
        <v>2026.0</v>
      </c>
      <c r="B1704" s="1" t="s">
        <v>1069</v>
      </c>
      <c r="C1704" s="2" t="s">
        <v>844</v>
      </c>
      <c r="E1704" s="2" t="s">
        <v>32</v>
      </c>
      <c r="F1704" s="2">
        <v>179405.0</v>
      </c>
      <c r="G1704" s="2">
        <v>278902.0</v>
      </c>
      <c r="H1704" s="2">
        <v>458307.0</v>
      </c>
      <c r="I1704" s="2">
        <v>399402.0</v>
      </c>
      <c r="J1704" s="2">
        <v>58905.0</v>
      </c>
    </row>
    <row r="1705">
      <c r="A1705" s="2">
        <v>2026.0</v>
      </c>
      <c r="B1705" s="1" t="s">
        <v>1069</v>
      </c>
      <c r="C1705" s="2" t="s">
        <v>844</v>
      </c>
      <c r="E1705" s="2" t="s">
        <v>460</v>
      </c>
      <c r="F1705" s="2">
        <v>1000.0</v>
      </c>
      <c r="G1705" s="2">
        <v>25636.0</v>
      </c>
      <c r="H1705" s="2">
        <v>26636.0</v>
      </c>
      <c r="I1705" s="2">
        <v>1000.0</v>
      </c>
      <c r="J1705" s="2">
        <v>25636.0</v>
      </c>
    </row>
    <row r="1706">
      <c r="A1706" s="2">
        <v>2026.0</v>
      </c>
      <c r="B1706" s="1" t="s">
        <v>1069</v>
      </c>
      <c r="C1706" s="2" t="s">
        <v>844</v>
      </c>
      <c r="D1706" s="2" t="s">
        <v>265</v>
      </c>
      <c r="E1706" s="2" t="s">
        <v>686</v>
      </c>
      <c r="F1706" s="2">
        <v>2161954.0</v>
      </c>
      <c r="G1706" s="2">
        <v>1490555.0</v>
      </c>
      <c r="H1706" s="2">
        <v>3652509.0</v>
      </c>
      <c r="I1706" s="2">
        <v>607378.0</v>
      </c>
      <c r="J1706" s="2">
        <v>3045131.0</v>
      </c>
    </row>
    <row r="1707">
      <c r="A1707" s="2">
        <v>2026.0</v>
      </c>
      <c r="B1707" s="1" t="s">
        <v>1069</v>
      </c>
      <c r="C1707" s="2" t="s">
        <v>844</v>
      </c>
      <c r="E1707" s="2" t="s">
        <v>749</v>
      </c>
      <c r="F1707" s="2">
        <v>5455506.0</v>
      </c>
      <c r="G1707" s="2">
        <v>3637713.0</v>
      </c>
      <c r="H1707" s="2">
        <v>9093219.0</v>
      </c>
      <c r="I1707" s="2">
        <v>6167861.0</v>
      </c>
      <c r="J1707" s="2">
        <v>2925358.0</v>
      </c>
    </row>
    <row r="1708">
      <c r="A1708" s="2">
        <v>2026.0</v>
      </c>
      <c r="B1708" s="1" t="s">
        <v>1069</v>
      </c>
      <c r="C1708" s="2" t="s">
        <v>844</v>
      </c>
      <c r="E1708" s="2" t="s">
        <v>32</v>
      </c>
      <c r="F1708" s="2">
        <v>171547.0</v>
      </c>
      <c r="G1708" s="2">
        <v>195624.0</v>
      </c>
      <c r="H1708" s="2">
        <v>367171.0</v>
      </c>
      <c r="I1708" s="2">
        <v>222.0</v>
      </c>
      <c r="J1708" s="2">
        <v>366949.0</v>
      </c>
    </row>
    <row r="1709">
      <c r="A1709" s="2">
        <v>2026.0</v>
      </c>
      <c r="B1709" s="1" t="s">
        <v>1069</v>
      </c>
      <c r="C1709" s="2" t="s">
        <v>844</v>
      </c>
      <c r="D1709" s="2" t="s">
        <v>851</v>
      </c>
      <c r="E1709" s="2" t="s">
        <v>686</v>
      </c>
      <c r="F1709" s="2">
        <v>466573.0</v>
      </c>
      <c r="G1709" s="2">
        <v>1050499.0</v>
      </c>
      <c r="H1709" s="2">
        <v>1517072.0</v>
      </c>
      <c r="I1709" s="2">
        <v>277294.0</v>
      </c>
      <c r="J1709" s="2">
        <v>1239778.0</v>
      </c>
    </row>
    <row r="1710">
      <c r="A1710" s="2">
        <v>2026.0</v>
      </c>
      <c r="B1710" s="1" t="s">
        <v>1069</v>
      </c>
      <c r="C1710" s="2" t="s">
        <v>844</v>
      </c>
      <c r="E1710" s="2" t="s">
        <v>749</v>
      </c>
      <c r="F1710" s="2">
        <v>809611.0</v>
      </c>
      <c r="G1710" s="2">
        <v>3463646.0</v>
      </c>
      <c r="H1710" s="2">
        <v>4273257.0</v>
      </c>
      <c r="I1710" s="2">
        <v>3427617.0</v>
      </c>
      <c r="J1710" s="2">
        <v>845640.0</v>
      </c>
    </row>
    <row r="1711">
      <c r="A1711" s="2">
        <v>2026.0</v>
      </c>
      <c r="B1711" s="1" t="s">
        <v>1069</v>
      </c>
      <c r="C1711" s="2" t="s">
        <v>844</v>
      </c>
      <c r="E1711" s="2" t="s">
        <v>32</v>
      </c>
      <c r="F1711" s="2">
        <v>119329.0</v>
      </c>
      <c r="G1711" s="2">
        <v>91187.0</v>
      </c>
      <c r="H1711" s="2">
        <v>210516.0</v>
      </c>
      <c r="I1711" s="2">
        <v>70592.0</v>
      </c>
      <c r="J1711" s="2">
        <v>139924.0</v>
      </c>
    </row>
    <row r="1712">
      <c r="A1712" s="2">
        <v>2026.0</v>
      </c>
      <c r="B1712" s="1" t="s">
        <v>1069</v>
      </c>
      <c r="C1712" s="2" t="s">
        <v>844</v>
      </c>
      <c r="D1712" s="2" t="s">
        <v>274</v>
      </c>
      <c r="E1712" s="2" t="s">
        <v>715</v>
      </c>
      <c r="F1712" s="2">
        <v>17306.0</v>
      </c>
      <c r="G1712" s="2">
        <v>655.0</v>
      </c>
      <c r="H1712" s="2">
        <v>17961.0</v>
      </c>
      <c r="I1712" s="2">
        <v>0.0</v>
      </c>
      <c r="J1712" s="2">
        <v>17961.0</v>
      </c>
    </row>
    <row r="1713">
      <c r="A1713" s="2">
        <v>2026.0</v>
      </c>
      <c r="B1713" s="1" t="s">
        <v>1069</v>
      </c>
      <c r="C1713" s="2" t="s">
        <v>844</v>
      </c>
      <c r="E1713" s="2" t="s">
        <v>686</v>
      </c>
      <c r="F1713" s="2">
        <v>2260385.0</v>
      </c>
      <c r="G1713" s="2">
        <v>1211030.0</v>
      </c>
      <c r="H1713" s="2">
        <v>3471415.0</v>
      </c>
      <c r="I1713" s="2">
        <v>331903.0</v>
      </c>
      <c r="J1713" s="2">
        <v>3139512.0</v>
      </c>
    </row>
    <row r="1714">
      <c r="A1714" s="2">
        <v>2026.0</v>
      </c>
      <c r="B1714" s="1" t="s">
        <v>1069</v>
      </c>
      <c r="C1714" s="2" t="s">
        <v>844</v>
      </c>
      <c r="E1714" s="2" t="s">
        <v>32</v>
      </c>
      <c r="F1714" s="2">
        <v>118051.0</v>
      </c>
      <c r="G1714" s="2">
        <v>339327.0</v>
      </c>
      <c r="H1714" s="2">
        <v>457378.0</v>
      </c>
      <c r="I1714" s="2">
        <v>393384.0</v>
      </c>
      <c r="J1714" s="2">
        <v>63994.0</v>
      </c>
    </row>
    <row r="1715">
      <c r="A1715" s="2">
        <v>2026.0</v>
      </c>
      <c r="B1715" s="1" t="s">
        <v>1069</v>
      </c>
      <c r="C1715" s="2" t="s">
        <v>844</v>
      </c>
      <c r="E1715" s="2" t="s">
        <v>1157</v>
      </c>
      <c r="F1715" s="2">
        <v>1000.0</v>
      </c>
      <c r="G1715" s="2">
        <v>37195.0</v>
      </c>
      <c r="H1715" s="2">
        <v>38195.0</v>
      </c>
      <c r="I1715" s="2">
        <v>0.0</v>
      </c>
      <c r="J1715" s="2">
        <v>38195.0</v>
      </c>
    </row>
    <row r="1716">
      <c r="A1716" s="2">
        <v>2026.0</v>
      </c>
      <c r="B1716" s="1" t="s">
        <v>1069</v>
      </c>
      <c r="C1716" s="2" t="s">
        <v>844</v>
      </c>
      <c r="E1716" s="2" t="s">
        <v>92</v>
      </c>
      <c r="F1716" s="2">
        <v>546451.0</v>
      </c>
      <c r="G1716" s="2">
        <v>4097447.0</v>
      </c>
      <c r="H1716" s="2">
        <v>4643898.0</v>
      </c>
      <c r="I1716" s="2">
        <v>2984726.0</v>
      </c>
      <c r="J1716" s="2">
        <v>1659172.0</v>
      </c>
    </row>
    <row r="1717">
      <c r="A1717" s="2">
        <v>2026.0</v>
      </c>
      <c r="B1717" s="1" t="s">
        <v>1069</v>
      </c>
      <c r="C1717" s="2" t="s">
        <v>844</v>
      </c>
      <c r="E1717" s="2" t="s">
        <v>459</v>
      </c>
      <c r="F1717" s="2">
        <v>2030198.0</v>
      </c>
      <c r="G1717" s="2">
        <v>408185.0</v>
      </c>
      <c r="H1717" s="2">
        <v>2438383.0</v>
      </c>
      <c r="I1717" s="2">
        <v>1948337.0</v>
      </c>
      <c r="J1717" s="2">
        <v>490046.0</v>
      </c>
    </row>
    <row r="1718">
      <c r="A1718" s="2">
        <v>2026.0</v>
      </c>
      <c r="B1718" s="1" t="s">
        <v>1069</v>
      </c>
      <c r="C1718" s="2" t="s">
        <v>844</v>
      </c>
      <c r="D1718" s="2" t="s">
        <v>857</v>
      </c>
      <c r="E1718" s="2" t="s">
        <v>686</v>
      </c>
      <c r="F1718" s="2">
        <v>2585943.0</v>
      </c>
      <c r="G1718" s="2">
        <v>954156.0</v>
      </c>
      <c r="H1718" s="2">
        <v>3540099.0</v>
      </c>
      <c r="I1718" s="2">
        <v>564756.0</v>
      </c>
      <c r="J1718" s="2">
        <v>2975343.0</v>
      </c>
    </row>
    <row r="1719">
      <c r="A1719" s="2">
        <v>2026.0</v>
      </c>
      <c r="B1719" s="1" t="s">
        <v>1069</v>
      </c>
      <c r="C1719" s="2" t="s">
        <v>844</v>
      </c>
      <c r="E1719" s="2" t="s">
        <v>1127</v>
      </c>
      <c r="F1719" s="2">
        <v>2530317.0</v>
      </c>
      <c r="G1719" s="2">
        <v>2188920.0</v>
      </c>
      <c r="H1719" s="2">
        <v>4719237.0</v>
      </c>
      <c r="I1719" s="2">
        <v>3138322.0</v>
      </c>
      <c r="J1719" s="2">
        <v>1580915.0</v>
      </c>
    </row>
    <row r="1720">
      <c r="A1720" s="2">
        <v>2026.0</v>
      </c>
      <c r="B1720" s="1" t="s">
        <v>1069</v>
      </c>
      <c r="C1720" s="2" t="s">
        <v>844</v>
      </c>
      <c r="E1720" s="2" t="s">
        <v>32</v>
      </c>
      <c r="F1720" s="2">
        <v>62330.0</v>
      </c>
      <c r="G1720" s="2">
        <v>17354.0</v>
      </c>
      <c r="H1720" s="2">
        <v>79684.0</v>
      </c>
      <c r="I1720" s="2">
        <v>49724.0</v>
      </c>
      <c r="J1720" s="2">
        <v>29960.0</v>
      </c>
    </row>
    <row r="1721">
      <c r="A1721" s="2">
        <v>2026.0</v>
      </c>
      <c r="B1721" s="1" t="s">
        <v>1069</v>
      </c>
      <c r="C1721" s="2" t="s">
        <v>844</v>
      </c>
      <c r="D1721" s="2" t="s">
        <v>245</v>
      </c>
      <c r="E1721" s="2" t="s">
        <v>1158</v>
      </c>
      <c r="F1721" s="2">
        <v>3786213.0</v>
      </c>
      <c r="G1721" s="2">
        <v>1118572.0</v>
      </c>
      <c r="H1721" s="2">
        <v>4904785.0</v>
      </c>
      <c r="I1721" s="2">
        <v>3146335.0</v>
      </c>
      <c r="J1721" s="2">
        <v>1758450.0</v>
      </c>
    </row>
    <row r="1722">
      <c r="A1722" s="2">
        <v>2026.0</v>
      </c>
      <c r="B1722" s="1" t="s">
        <v>1069</v>
      </c>
      <c r="C1722" s="2" t="s">
        <v>844</v>
      </c>
      <c r="E1722" s="2" t="s">
        <v>1159</v>
      </c>
      <c r="F1722" s="2">
        <v>4202140.0</v>
      </c>
      <c r="G1722" s="2">
        <v>4624675.0</v>
      </c>
      <c r="H1722" s="2">
        <v>8826815.0</v>
      </c>
      <c r="I1722" s="2">
        <v>5390225.0</v>
      </c>
      <c r="J1722" s="2">
        <v>3436590.0</v>
      </c>
    </row>
    <row r="1723">
      <c r="A1723" s="2">
        <v>2026.0</v>
      </c>
      <c r="B1723" s="1" t="s">
        <v>1069</v>
      </c>
      <c r="C1723" s="2" t="s">
        <v>844</v>
      </c>
      <c r="E1723" s="2" t="s">
        <v>32</v>
      </c>
      <c r="F1723" s="2">
        <v>273604.0</v>
      </c>
      <c r="G1723" s="2">
        <v>301243.0</v>
      </c>
      <c r="H1723" s="2">
        <v>574847.0</v>
      </c>
      <c r="I1723" s="2">
        <v>159867.0</v>
      </c>
      <c r="J1723" s="2">
        <v>414980.0</v>
      </c>
    </row>
    <row r="1724">
      <c r="A1724" s="2">
        <v>2026.0</v>
      </c>
      <c r="B1724" s="1" t="s">
        <v>1069</v>
      </c>
      <c r="C1724" s="2" t="s">
        <v>844</v>
      </c>
      <c r="D1724" s="2" t="s">
        <v>1160</v>
      </c>
      <c r="E1724" s="2" t="s">
        <v>686</v>
      </c>
      <c r="F1724" s="2">
        <v>1715210.0</v>
      </c>
      <c r="G1724" s="2">
        <v>1549033.0</v>
      </c>
      <c r="H1724" s="2">
        <v>3264243.0</v>
      </c>
      <c r="I1724" s="2">
        <v>1063530.0</v>
      </c>
      <c r="J1724" s="2">
        <v>2200713.0</v>
      </c>
    </row>
    <row r="1725">
      <c r="A1725" s="2">
        <v>2026.0</v>
      </c>
      <c r="B1725" s="1" t="s">
        <v>1069</v>
      </c>
      <c r="C1725" s="2" t="s">
        <v>844</v>
      </c>
      <c r="E1725" s="2" t="s">
        <v>279</v>
      </c>
      <c r="F1725" s="2">
        <v>2615130.0</v>
      </c>
      <c r="G1725" s="2">
        <v>3232069.0</v>
      </c>
      <c r="H1725" s="2">
        <v>5847199.0</v>
      </c>
      <c r="I1725" s="2">
        <v>3287506.0</v>
      </c>
      <c r="J1725" s="2">
        <v>2559693.0</v>
      </c>
    </row>
    <row r="1726">
      <c r="A1726" s="2">
        <v>2026.0</v>
      </c>
      <c r="B1726" s="1" t="s">
        <v>1069</v>
      </c>
      <c r="C1726" s="2" t="s">
        <v>844</v>
      </c>
      <c r="E1726" s="2" t="s">
        <v>32</v>
      </c>
      <c r="F1726" s="2">
        <v>72058.0</v>
      </c>
      <c r="G1726" s="2">
        <v>254793.0</v>
      </c>
      <c r="H1726" s="2">
        <v>326851.0</v>
      </c>
      <c r="I1726" s="2">
        <v>293095.0</v>
      </c>
      <c r="J1726" s="2">
        <v>33756.0</v>
      </c>
    </row>
    <row r="1727">
      <c r="A1727" s="2">
        <v>2026.0</v>
      </c>
      <c r="B1727" s="1" t="s">
        <v>1069</v>
      </c>
      <c r="C1727" s="2" t="s">
        <v>844</v>
      </c>
      <c r="D1727" s="2" t="s">
        <v>241</v>
      </c>
      <c r="E1727" s="2" t="s">
        <v>686</v>
      </c>
      <c r="F1727" s="2">
        <v>1488583.0</v>
      </c>
      <c r="G1727" s="2">
        <v>832880.0</v>
      </c>
      <c r="H1727" s="2">
        <v>2321463.0</v>
      </c>
      <c r="I1727" s="2">
        <v>369705.0</v>
      </c>
      <c r="J1727" s="2">
        <v>1951758.0</v>
      </c>
    </row>
    <row r="1728">
      <c r="A1728" s="2">
        <v>2026.0</v>
      </c>
      <c r="B1728" s="1" t="s">
        <v>1069</v>
      </c>
      <c r="C1728" s="2" t="s">
        <v>844</v>
      </c>
      <c r="E1728" s="2" t="s">
        <v>1161</v>
      </c>
      <c r="F1728" s="2">
        <v>4559448.0</v>
      </c>
      <c r="G1728" s="2">
        <v>3723019.0</v>
      </c>
      <c r="H1728" s="2">
        <v>8282467.0</v>
      </c>
      <c r="I1728" s="2">
        <v>4618279.0</v>
      </c>
      <c r="J1728" s="2">
        <v>3664188.0</v>
      </c>
    </row>
    <row r="1729">
      <c r="A1729" s="2">
        <v>2026.0</v>
      </c>
      <c r="B1729" s="1" t="s">
        <v>1069</v>
      </c>
      <c r="C1729" s="2" t="s">
        <v>844</v>
      </c>
      <c r="D1729" s="2" t="s">
        <v>848</v>
      </c>
      <c r="E1729" s="2" t="s">
        <v>686</v>
      </c>
      <c r="F1729" s="2">
        <v>1786659.0</v>
      </c>
      <c r="G1729" s="2">
        <v>1973048.0</v>
      </c>
      <c r="H1729" s="2">
        <v>3759707.0</v>
      </c>
      <c r="I1729" s="2">
        <v>1494065.0</v>
      </c>
      <c r="J1729" s="2">
        <v>2265642.0</v>
      </c>
    </row>
    <row r="1730">
      <c r="A1730" s="2">
        <v>2026.0</v>
      </c>
      <c r="B1730" s="1" t="s">
        <v>1069</v>
      </c>
      <c r="C1730" s="2" t="s">
        <v>844</v>
      </c>
      <c r="E1730" s="2" t="s">
        <v>1127</v>
      </c>
      <c r="F1730" s="2">
        <v>1771966.0</v>
      </c>
      <c r="G1730" s="2">
        <v>3445904.0</v>
      </c>
      <c r="H1730" s="2">
        <v>5217870.0</v>
      </c>
      <c r="I1730" s="2">
        <v>4454610.0</v>
      </c>
      <c r="J1730" s="2">
        <v>763260.0</v>
      </c>
    </row>
    <row r="1731">
      <c r="A1731" s="2">
        <v>2026.0</v>
      </c>
      <c r="B1731" s="1" t="s">
        <v>1069</v>
      </c>
      <c r="C1731" s="2" t="s">
        <v>844</v>
      </c>
      <c r="E1731" s="2" t="s">
        <v>32</v>
      </c>
      <c r="F1731" s="2">
        <v>117722.0</v>
      </c>
      <c r="G1731" s="2">
        <v>188217.0</v>
      </c>
      <c r="H1731" s="2">
        <v>305939.0</v>
      </c>
      <c r="I1731" s="2">
        <v>254562.0</v>
      </c>
      <c r="J1731" s="2">
        <v>51377.0</v>
      </c>
    </row>
    <row r="1732">
      <c r="A1732" s="2">
        <v>2026.0</v>
      </c>
      <c r="B1732" s="1" t="s">
        <v>1069</v>
      </c>
      <c r="C1732" s="2" t="s">
        <v>844</v>
      </c>
      <c r="D1732" s="2" t="s">
        <v>256</v>
      </c>
      <c r="E1732" s="2" t="s">
        <v>686</v>
      </c>
      <c r="F1732" s="2">
        <v>3090498.0</v>
      </c>
      <c r="G1732" s="2">
        <v>1250054.0</v>
      </c>
      <c r="H1732" s="2">
        <v>4340552.0</v>
      </c>
      <c r="I1732" s="2">
        <v>1621942.0</v>
      </c>
      <c r="J1732" s="2">
        <v>2718610.0</v>
      </c>
    </row>
    <row r="1733">
      <c r="A1733" s="2">
        <v>2026.0</v>
      </c>
      <c r="B1733" s="1" t="s">
        <v>1069</v>
      </c>
      <c r="C1733" s="2" t="s">
        <v>844</v>
      </c>
      <c r="E1733" s="2" t="s">
        <v>749</v>
      </c>
      <c r="F1733" s="2">
        <v>2563101.0</v>
      </c>
      <c r="G1733" s="2">
        <v>3594956.0</v>
      </c>
      <c r="H1733" s="2">
        <v>6158057.0</v>
      </c>
      <c r="I1733" s="2">
        <v>3794289.0</v>
      </c>
      <c r="J1733" s="2">
        <v>2363768.0</v>
      </c>
    </row>
    <row r="1734">
      <c r="A1734" s="2">
        <v>2026.0</v>
      </c>
      <c r="B1734" s="1" t="s">
        <v>1069</v>
      </c>
      <c r="C1734" s="2" t="s">
        <v>844</v>
      </c>
      <c r="E1734" s="2" t="s">
        <v>32</v>
      </c>
      <c r="F1734" s="2">
        <v>82568.0</v>
      </c>
      <c r="G1734" s="2">
        <v>111442.0</v>
      </c>
      <c r="H1734" s="2">
        <v>194010.0</v>
      </c>
      <c r="I1734" s="2">
        <v>104993.0</v>
      </c>
      <c r="J1734" s="2">
        <v>89017.0</v>
      </c>
    </row>
    <row r="1735">
      <c r="A1735" s="2">
        <v>2026.0</v>
      </c>
      <c r="B1735" s="1" t="s">
        <v>1069</v>
      </c>
      <c r="C1735" s="2" t="s">
        <v>844</v>
      </c>
      <c r="E1735" s="2" t="s">
        <v>460</v>
      </c>
      <c r="F1735" s="2">
        <v>500.0</v>
      </c>
      <c r="G1735" s="2">
        <v>43714.0</v>
      </c>
      <c r="H1735" s="2">
        <v>44214.0</v>
      </c>
      <c r="I1735" s="2">
        <v>0.0</v>
      </c>
      <c r="J1735" s="2">
        <v>44214.0</v>
      </c>
    </row>
    <row r="1736">
      <c r="A1736" s="2">
        <v>2026.0</v>
      </c>
      <c r="B1736" s="1" t="s">
        <v>1069</v>
      </c>
      <c r="C1736" s="2" t="s">
        <v>859</v>
      </c>
      <c r="D1736" s="2" t="s">
        <v>879</v>
      </c>
      <c r="E1736" s="2" t="s">
        <v>686</v>
      </c>
      <c r="F1736" s="2">
        <v>1994694.0</v>
      </c>
      <c r="G1736" s="2">
        <v>1369254.0</v>
      </c>
      <c r="H1736" s="2">
        <v>3363948.0</v>
      </c>
      <c r="I1736" s="2">
        <v>587456.0</v>
      </c>
      <c r="J1736" s="2">
        <v>2776492.0</v>
      </c>
    </row>
    <row r="1737">
      <c r="A1737" s="2">
        <v>2026.0</v>
      </c>
      <c r="B1737" s="1" t="s">
        <v>1069</v>
      </c>
      <c r="C1737" s="2" t="s">
        <v>859</v>
      </c>
      <c r="E1737" s="2" t="s">
        <v>27</v>
      </c>
      <c r="F1737" s="2">
        <v>279022.0</v>
      </c>
      <c r="G1737" s="2">
        <v>2078772.0</v>
      </c>
      <c r="H1737" s="2">
        <v>2357794.0</v>
      </c>
      <c r="I1737" s="2">
        <v>2234668.0</v>
      </c>
      <c r="J1737" s="2">
        <v>123126.0</v>
      </c>
    </row>
    <row r="1738">
      <c r="A1738" s="2">
        <v>2026.0</v>
      </c>
      <c r="B1738" s="1" t="s">
        <v>1069</v>
      </c>
      <c r="C1738" s="2" t="s">
        <v>859</v>
      </c>
      <c r="E1738" s="2" t="s">
        <v>32</v>
      </c>
      <c r="F1738" s="2">
        <v>13691.0</v>
      </c>
      <c r="G1738" s="2">
        <v>17176.0</v>
      </c>
      <c r="H1738" s="2">
        <v>30867.0</v>
      </c>
      <c r="I1738" s="2">
        <v>20250.0</v>
      </c>
      <c r="J1738" s="2">
        <v>10617.0</v>
      </c>
    </row>
    <row r="1739">
      <c r="A1739" s="2">
        <v>2026.0</v>
      </c>
      <c r="B1739" s="1" t="s">
        <v>1069</v>
      </c>
      <c r="C1739" s="2" t="s">
        <v>859</v>
      </c>
      <c r="E1739" s="2" t="s">
        <v>56</v>
      </c>
      <c r="F1739" s="2">
        <v>1505679.0</v>
      </c>
      <c r="G1739" s="2">
        <v>899714.0</v>
      </c>
      <c r="H1739" s="2">
        <v>2405393.0</v>
      </c>
      <c r="I1739" s="2">
        <v>607490.0</v>
      </c>
      <c r="J1739" s="2">
        <v>1797903.0</v>
      </c>
    </row>
    <row r="1740">
      <c r="A1740" s="2">
        <v>2026.0</v>
      </c>
      <c r="B1740" s="1" t="s">
        <v>1069</v>
      </c>
      <c r="C1740" s="2" t="s">
        <v>859</v>
      </c>
      <c r="D1740" s="2" t="s">
        <v>1163</v>
      </c>
      <c r="E1740" s="2" t="s">
        <v>686</v>
      </c>
      <c r="F1740" s="2">
        <v>4844415.0</v>
      </c>
      <c r="G1740" s="2">
        <v>2046999.0</v>
      </c>
      <c r="H1740" s="2">
        <v>6891414.0</v>
      </c>
      <c r="I1740" s="2">
        <v>1958041.0</v>
      </c>
      <c r="J1740" s="2">
        <v>4933373.0</v>
      </c>
    </row>
    <row r="1741">
      <c r="A1741" s="2">
        <v>2026.0</v>
      </c>
      <c r="B1741" s="1" t="s">
        <v>1069</v>
      </c>
      <c r="C1741" s="2" t="s">
        <v>859</v>
      </c>
      <c r="E1741" s="2" t="s">
        <v>32</v>
      </c>
      <c r="F1741" s="2">
        <v>101912.0</v>
      </c>
      <c r="G1741" s="2">
        <v>285229.0</v>
      </c>
      <c r="H1741" s="2">
        <v>387141.0</v>
      </c>
      <c r="I1741" s="2">
        <v>360468.0</v>
      </c>
      <c r="J1741" s="2">
        <v>26673.0</v>
      </c>
    </row>
    <row r="1742">
      <c r="A1742" s="2">
        <v>2026.0</v>
      </c>
      <c r="B1742" s="1" t="s">
        <v>1069</v>
      </c>
      <c r="C1742" s="2" t="s">
        <v>859</v>
      </c>
      <c r="E1742" s="2" t="s">
        <v>92</v>
      </c>
      <c r="F1742" s="2">
        <v>4095550.0</v>
      </c>
      <c r="G1742" s="2">
        <v>5144706.0</v>
      </c>
      <c r="H1742" s="2">
        <v>9240256.0</v>
      </c>
      <c r="I1742" s="2">
        <v>4738318.0</v>
      </c>
      <c r="J1742" s="2">
        <v>4501938.0</v>
      </c>
    </row>
    <row r="1743">
      <c r="A1743" s="2">
        <v>2026.0</v>
      </c>
      <c r="B1743" s="1" t="s">
        <v>1069</v>
      </c>
      <c r="C1743" s="2" t="s">
        <v>859</v>
      </c>
      <c r="D1743" s="2" t="s">
        <v>869</v>
      </c>
      <c r="E1743" s="2" t="s">
        <v>686</v>
      </c>
      <c r="F1743" s="2">
        <v>2008844.0</v>
      </c>
      <c r="G1743" s="2">
        <v>2118778.0</v>
      </c>
      <c r="H1743" s="2">
        <v>4127622.0</v>
      </c>
      <c r="I1743" s="2">
        <v>1282302.0</v>
      </c>
      <c r="J1743" s="2">
        <v>2845320.0</v>
      </c>
    </row>
    <row r="1744">
      <c r="A1744" s="2">
        <v>2026.0</v>
      </c>
      <c r="B1744" s="1" t="s">
        <v>1069</v>
      </c>
      <c r="C1744" s="2" t="s">
        <v>859</v>
      </c>
      <c r="E1744" s="2" t="s">
        <v>1085</v>
      </c>
      <c r="F1744" s="2">
        <v>3950180.0</v>
      </c>
      <c r="G1744" s="2">
        <v>4340695.0</v>
      </c>
      <c r="H1744" s="2">
        <v>8290875.0</v>
      </c>
      <c r="I1744" s="2">
        <v>5600874.0</v>
      </c>
      <c r="J1744" s="2">
        <v>2690001.0</v>
      </c>
    </row>
    <row r="1745">
      <c r="A1745" s="2">
        <v>2026.0</v>
      </c>
      <c r="B1745" s="1" t="s">
        <v>1069</v>
      </c>
      <c r="C1745" s="2" t="s">
        <v>859</v>
      </c>
      <c r="E1745" s="2" t="s">
        <v>32</v>
      </c>
      <c r="F1745" s="2">
        <v>72515.0</v>
      </c>
      <c r="G1745" s="2">
        <v>117199.0</v>
      </c>
      <c r="H1745" s="2">
        <v>189714.0</v>
      </c>
      <c r="I1745" s="2">
        <v>0.0</v>
      </c>
      <c r="J1745" s="2">
        <v>189714.0</v>
      </c>
    </row>
    <row r="1746">
      <c r="A1746" s="2">
        <v>2026.0</v>
      </c>
      <c r="B1746" s="1" t="s">
        <v>1069</v>
      </c>
      <c r="C1746" s="2" t="s">
        <v>859</v>
      </c>
      <c r="D1746" s="2" t="s">
        <v>872</v>
      </c>
      <c r="E1746" s="2" t="s">
        <v>686</v>
      </c>
      <c r="F1746" s="2">
        <v>297244.0</v>
      </c>
      <c r="G1746" s="2">
        <v>894447.0</v>
      </c>
      <c r="H1746" s="2">
        <v>1191691.0</v>
      </c>
      <c r="I1746" s="2">
        <v>0.0</v>
      </c>
      <c r="J1746" s="2">
        <v>1191691.0</v>
      </c>
    </row>
    <row r="1747">
      <c r="A1747" s="2">
        <v>2026.0</v>
      </c>
      <c r="B1747" s="1" t="s">
        <v>1069</v>
      </c>
      <c r="C1747" s="2" t="s">
        <v>859</v>
      </c>
      <c r="E1747" s="2" t="s">
        <v>279</v>
      </c>
      <c r="F1747" s="2">
        <v>28916.0</v>
      </c>
      <c r="G1747" s="2">
        <v>2071850.0</v>
      </c>
      <c r="H1747" s="2">
        <v>2100766.0</v>
      </c>
      <c r="I1747" s="2">
        <v>1596860.0</v>
      </c>
      <c r="J1747" s="2">
        <v>503906.0</v>
      </c>
    </row>
    <row r="1748">
      <c r="A1748" s="2">
        <v>2026.0</v>
      </c>
      <c r="B1748" s="1" t="s">
        <v>1069</v>
      </c>
      <c r="C1748" s="2" t="s">
        <v>859</v>
      </c>
      <c r="E1748" s="2" t="s">
        <v>32</v>
      </c>
      <c r="F1748" s="2">
        <v>84297.0</v>
      </c>
      <c r="G1748" s="2">
        <v>78946.0</v>
      </c>
      <c r="H1748" s="2">
        <v>163243.0</v>
      </c>
      <c r="I1748" s="2">
        <v>133035.0</v>
      </c>
      <c r="J1748" s="2">
        <v>30208.0</v>
      </c>
    </row>
    <row r="1749">
      <c r="A1749" s="2">
        <v>2026.0</v>
      </c>
      <c r="B1749" s="1" t="s">
        <v>1069</v>
      </c>
      <c r="C1749" s="2" t="s">
        <v>859</v>
      </c>
      <c r="D1749" s="2" t="s">
        <v>873</v>
      </c>
      <c r="E1749" s="2" t="s">
        <v>686</v>
      </c>
      <c r="F1749" s="2">
        <v>1252713.0</v>
      </c>
      <c r="G1749" s="2">
        <v>2551969.0</v>
      </c>
      <c r="H1749" s="2">
        <v>3804682.0</v>
      </c>
      <c r="I1749" s="2">
        <v>361065.0</v>
      </c>
      <c r="J1749" s="2">
        <v>3443617.0</v>
      </c>
    </row>
    <row r="1750">
      <c r="A1750" s="2">
        <v>2026.0</v>
      </c>
      <c r="B1750" s="1" t="s">
        <v>1069</v>
      </c>
      <c r="C1750" s="2" t="s">
        <v>859</v>
      </c>
      <c r="E1750" s="2" t="s">
        <v>914</v>
      </c>
      <c r="F1750" s="2">
        <v>62347.0</v>
      </c>
      <c r="G1750" s="2">
        <v>3134424.0</v>
      </c>
      <c r="H1750" s="2">
        <v>3196771.0</v>
      </c>
      <c r="I1750" s="2">
        <v>2914307.0</v>
      </c>
      <c r="J1750" s="2">
        <v>282464.0</v>
      </c>
    </row>
    <row r="1751">
      <c r="A1751" s="2">
        <v>2026.0</v>
      </c>
      <c r="B1751" s="1" t="s">
        <v>1069</v>
      </c>
      <c r="C1751" s="2" t="s">
        <v>859</v>
      </c>
      <c r="E1751" s="2" t="s">
        <v>56</v>
      </c>
      <c r="F1751" s="2">
        <v>1319439.0</v>
      </c>
      <c r="G1751" s="2">
        <v>842943.0</v>
      </c>
      <c r="H1751" s="2">
        <v>2162382.0</v>
      </c>
      <c r="I1751" s="2">
        <v>868613.0</v>
      </c>
      <c r="J1751" s="2">
        <v>1293769.0</v>
      </c>
    </row>
    <row r="1752">
      <c r="A1752" s="2">
        <v>2026.0</v>
      </c>
      <c r="B1752" s="1" t="s">
        <v>1069</v>
      </c>
      <c r="C1752" s="2" t="s">
        <v>859</v>
      </c>
      <c r="D1752" s="2" t="s">
        <v>878</v>
      </c>
      <c r="E1752" s="2" t="s">
        <v>686</v>
      </c>
      <c r="F1752" s="2">
        <v>1923258.0</v>
      </c>
      <c r="G1752" s="2">
        <v>1525627.0</v>
      </c>
      <c r="H1752" s="2">
        <v>3448885.0</v>
      </c>
      <c r="I1752" s="2">
        <v>62960.0</v>
      </c>
      <c r="J1752" s="2">
        <v>3385925.0</v>
      </c>
    </row>
    <row r="1753">
      <c r="A1753" s="2">
        <v>2026.0</v>
      </c>
      <c r="B1753" s="1" t="s">
        <v>1069</v>
      </c>
      <c r="C1753" s="2" t="s">
        <v>859</v>
      </c>
      <c r="E1753" s="2" t="s">
        <v>32</v>
      </c>
      <c r="F1753" s="2">
        <v>179613.0</v>
      </c>
      <c r="G1753" s="2">
        <v>102182.0</v>
      </c>
      <c r="H1753" s="2">
        <v>281795.0</v>
      </c>
      <c r="I1753" s="2">
        <v>78823.0</v>
      </c>
      <c r="J1753" s="2">
        <v>202972.0</v>
      </c>
    </row>
    <row r="1754">
      <c r="A1754" s="2">
        <v>2026.0</v>
      </c>
      <c r="B1754" s="1" t="s">
        <v>1069</v>
      </c>
      <c r="C1754" s="2" t="s">
        <v>859</v>
      </c>
      <c r="E1754" s="2" t="s">
        <v>56</v>
      </c>
      <c r="F1754" s="2">
        <v>4543918.0</v>
      </c>
      <c r="G1754" s="2">
        <v>2805487.0</v>
      </c>
      <c r="H1754" s="2">
        <v>7349405.0</v>
      </c>
      <c r="I1754" s="2">
        <v>3326491.0</v>
      </c>
      <c r="J1754" s="2">
        <v>4022914.0</v>
      </c>
    </row>
    <row r="1755">
      <c r="A1755" s="2">
        <v>2026.0</v>
      </c>
      <c r="B1755" s="1" t="s">
        <v>1069</v>
      </c>
      <c r="C1755" s="2" t="s">
        <v>859</v>
      </c>
      <c r="D1755" s="2" t="s">
        <v>292</v>
      </c>
      <c r="E1755" s="2" t="s">
        <v>686</v>
      </c>
      <c r="F1755" s="2">
        <v>984161.0</v>
      </c>
      <c r="G1755" s="2">
        <v>1356868.0</v>
      </c>
      <c r="H1755" s="2">
        <v>2341029.0</v>
      </c>
      <c r="I1755" s="2">
        <v>690494.0</v>
      </c>
      <c r="J1755" s="2">
        <v>1650535.0</v>
      </c>
    </row>
    <row r="1756">
      <c r="A1756" s="2">
        <v>2026.0</v>
      </c>
      <c r="B1756" s="1" t="s">
        <v>1069</v>
      </c>
      <c r="C1756" s="2" t="s">
        <v>859</v>
      </c>
      <c r="E1756" s="2" t="s">
        <v>32</v>
      </c>
      <c r="F1756" s="2">
        <v>1221837.0</v>
      </c>
      <c r="G1756" s="2">
        <v>42324.0</v>
      </c>
      <c r="H1756" s="2">
        <v>1264161.0</v>
      </c>
      <c r="I1756" s="2">
        <v>148617.0</v>
      </c>
      <c r="J1756" s="2">
        <v>1115544.0</v>
      </c>
    </row>
    <row r="1757">
      <c r="A1757" s="2">
        <v>2026.0</v>
      </c>
      <c r="B1757" s="1" t="s">
        <v>1069</v>
      </c>
      <c r="C1757" s="2" t="s">
        <v>859</v>
      </c>
      <c r="E1757" s="2" t="s">
        <v>1165</v>
      </c>
      <c r="F1757" s="2">
        <v>3163452.0</v>
      </c>
      <c r="G1757" s="2">
        <v>2572500.0</v>
      </c>
      <c r="H1757" s="2">
        <v>5735952.0</v>
      </c>
      <c r="I1757" s="2">
        <v>2658620.0</v>
      </c>
      <c r="J1757" s="2">
        <v>3077332.0</v>
      </c>
    </row>
    <row r="1758">
      <c r="A1758" s="2">
        <v>2026.0</v>
      </c>
      <c r="B1758" s="1" t="s">
        <v>1069</v>
      </c>
      <c r="C1758" s="2" t="s">
        <v>859</v>
      </c>
      <c r="D1758" s="2" t="s">
        <v>874</v>
      </c>
      <c r="E1758" s="2" t="s">
        <v>686</v>
      </c>
      <c r="F1758" s="2">
        <v>1547809.0</v>
      </c>
      <c r="G1758" s="2">
        <v>1619386.0</v>
      </c>
      <c r="H1758" s="2">
        <v>3167195.0</v>
      </c>
      <c r="I1758" s="2">
        <v>1985415.0</v>
      </c>
      <c r="J1758" s="2">
        <v>1181780.0</v>
      </c>
    </row>
    <row r="1759">
      <c r="A1759" s="2">
        <v>2026.0</v>
      </c>
      <c r="B1759" s="1" t="s">
        <v>1069</v>
      </c>
      <c r="C1759" s="2" t="s">
        <v>859</v>
      </c>
      <c r="E1759" s="2" t="s">
        <v>1167</v>
      </c>
      <c r="F1759" s="2">
        <v>152985.0</v>
      </c>
      <c r="G1759" s="2">
        <v>2257249.0</v>
      </c>
      <c r="H1759" s="2">
        <v>2410234.0</v>
      </c>
      <c r="I1759" s="2">
        <v>2370502.0</v>
      </c>
      <c r="J1759" s="2">
        <v>39732.0</v>
      </c>
    </row>
    <row r="1760">
      <c r="A1760" s="2">
        <v>2026.0</v>
      </c>
      <c r="B1760" s="1" t="s">
        <v>1069</v>
      </c>
      <c r="C1760" s="2" t="s">
        <v>859</v>
      </c>
      <c r="E1760" s="2" t="s">
        <v>968</v>
      </c>
      <c r="F1760" s="2">
        <v>819119.0</v>
      </c>
      <c r="G1760" s="2">
        <v>1110302.0</v>
      </c>
      <c r="H1760" s="2">
        <v>1929421.0</v>
      </c>
      <c r="I1760" s="2">
        <v>1551250.0</v>
      </c>
      <c r="J1760" s="2">
        <v>378171.0</v>
      </c>
    </row>
    <row r="1761">
      <c r="A1761" s="2">
        <v>2026.0</v>
      </c>
      <c r="B1761" s="1" t="s">
        <v>1069</v>
      </c>
      <c r="C1761" s="2" t="s">
        <v>859</v>
      </c>
      <c r="D1761" s="2" t="s">
        <v>860</v>
      </c>
      <c r="E1761" s="2" t="s">
        <v>1081</v>
      </c>
      <c r="F1761" s="2">
        <v>120757.0</v>
      </c>
      <c r="G1761" s="2">
        <v>248988.0</v>
      </c>
      <c r="H1761" s="2">
        <v>369745.0</v>
      </c>
      <c r="I1761" s="2">
        <v>108825.0</v>
      </c>
      <c r="J1761" s="2">
        <v>260920.0</v>
      </c>
    </row>
    <row r="1762">
      <c r="A1762" s="2">
        <v>2026.0</v>
      </c>
      <c r="B1762" s="1" t="s">
        <v>1069</v>
      </c>
      <c r="C1762" s="2" t="s">
        <v>859</v>
      </c>
      <c r="E1762" s="2" t="s">
        <v>686</v>
      </c>
      <c r="F1762" s="2">
        <v>1670374.0</v>
      </c>
      <c r="G1762" s="2">
        <v>1634835.0</v>
      </c>
      <c r="H1762" s="2">
        <v>3305209.0</v>
      </c>
      <c r="I1762" s="2">
        <v>998930.0</v>
      </c>
      <c r="J1762" s="2">
        <v>2306279.0</v>
      </c>
    </row>
    <row r="1763">
      <c r="A1763" s="2">
        <v>2026.0</v>
      </c>
      <c r="B1763" s="1" t="s">
        <v>1069</v>
      </c>
      <c r="C1763" s="2" t="s">
        <v>859</v>
      </c>
      <c r="E1763" s="2" t="s">
        <v>1085</v>
      </c>
      <c r="F1763" s="2">
        <v>1592168.0</v>
      </c>
      <c r="G1763" s="2">
        <v>4368111.0</v>
      </c>
      <c r="H1763" s="2">
        <v>5960279.0</v>
      </c>
      <c r="I1763" s="2">
        <v>5364448.0</v>
      </c>
      <c r="J1763" s="2">
        <v>595831.0</v>
      </c>
    </row>
    <row r="1764">
      <c r="A1764" s="2">
        <v>2026.0</v>
      </c>
      <c r="B1764" s="1" t="s">
        <v>1069</v>
      </c>
      <c r="C1764" s="2" t="s">
        <v>859</v>
      </c>
      <c r="D1764" s="2" t="s">
        <v>875</v>
      </c>
      <c r="E1764" s="2" t="s">
        <v>686</v>
      </c>
      <c r="F1764" s="2">
        <v>1736586.0</v>
      </c>
      <c r="G1764" s="2">
        <v>2657926.0</v>
      </c>
      <c r="H1764" s="2">
        <v>4394512.0</v>
      </c>
      <c r="I1764" s="2">
        <v>636152.0</v>
      </c>
      <c r="J1764" s="2">
        <v>3758360.0</v>
      </c>
    </row>
    <row r="1765">
      <c r="A1765" s="2">
        <v>2026.0</v>
      </c>
      <c r="B1765" s="1" t="s">
        <v>1069</v>
      </c>
      <c r="C1765" s="2" t="s">
        <v>859</v>
      </c>
      <c r="E1765" s="2" t="s">
        <v>32</v>
      </c>
      <c r="F1765" s="2">
        <v>548783.0</v>
      </c>
      <c r="G1765" s="2">
        <v>2763395.0</v>
      </c>
      <c r="H1765" s="2">
        <v>3312178.0</v>
      </c>
      <c r="I1765" s="2">
        <v>2619401.0</v>
      </c>
      <c r="J1765" s="2">
        <v>692777.0</v>
      </c>
    </row>
    <row r="1766">
      <c r="A1766" s="2">
        <v>2026.0</v>
      </c>
      <c r="B1766" s="1" t="s">
        <v>1069</v>
      </c>
      <c r="C1766" s="2" t="s">
        <v>859</v>
      </c>
      <c r="E1766" s="2" t="s">
        <v>92</v>
      </c>
      <c r="F1766" s="2">
        <v>3578158.0</v>
      </c>
      <c r="G1766" s="2">
        <v>3922370.0</v>
      </c>
      <c r="H1766" s="2">
        <v>7500528.0</v>
      </c>
      <c r="I1766" s="2">
        <v>5354413.0</v>
      </c>
      <c r="J1766" s="2">
        <v>2146115.0</v>
      </c>
    </row>
    <row r="1767">
      <c r="A1767" s="2">
        <v>2026.0</v>
      </c>
      <c r="B1767" s="1" t="s">
        <v>1069</v>
      </c>
      <c r="C1767" s="2" t="s">
        <v>63</v>
      </c>
      <c r="D1767" s="2" t="s">
        <v>68</v>
      </c>
      <c r="E1767" s="2" t="s">
        <v>686</v>
      </c>
      <c r="F1767" s="2">
        <v>163565.0</v>
      </c>
      <c r="G1767" s="2">
        <v>1877346.0</v>
      </c>
      <c r="H1767" s="2">
        <v>2040911.0</v>
      </c>
      <c r="I1767" s="2">
        <v>1190206.0</v>
      </c>
      <c r="J1767" s="2">
        <v>850705.0</v>
      </c>
    </row>
    <row r="1768">
      <c r="A1768" s="2">
        <v>2026.0</v>
      </c>
      <c r="B1768" s="1" t="s">
        <v>1069</v>
      </c>
      <c r="C1768" s="2" t="s">
        <v>63</v>
      </c>
      <c r="E1768" s="2" t="s">
        <v>279</v>
      </c>
      <c r="F1768" s="2">
        <v>1564588.0</v>
      </c>
      <c r="G1768" s="2">
        <v>2469494.0</v>
      </c>
      <c r="H1768" s="2">
        <v>4034082.0</v>
      </c>
      <c r="I1768" s="2">
        <v>3764979.0</v>
      </c>
      <c r="J1768" s="2">
        <v>269103.0</v>
      </c>
    </row>
    <row r="1769">
      <c r="A1769" s="2">
        <v>2026.0</v>
      </c>
      <c r="B1769" s="1" t="s">
        <v>1069</v>
      </c>
      <c r="C1769" s="2" t="s">
        <v>63</v>
      </c>
      <c r="E1769" s="2" t="s">
        <v>32</v>
      </c>
      <c r="F1769" s="2">
        <v>62621.0</v>
      </c>
      <c r="G1769" s="2">
        <v>243279.0</v>
      </c>
      <c r="H1769" s="2">
        <v>305900.0</v>
      </c>
      <c r="I1769" s="2">
        <v>269953.0</v>
      </c>
      <c r="J1769" s="2">
        <v>35947.0</v>
      </c>
    </row>
    <row r="1770">
      <c r="A1770" s="2">
        <v>2026.0</v>
      </c>
      <c r="B1770" s="1" t="s">
        <v>1069</v>
      </c>
      <c r="C1770" s="2" t="s">
        <v>63</v>
      </c>
      <c r="D1770" s="2" t="s">
        <v>73</v>
      </c>
      <c r="E1770" s="2" t="s">
        <v>686</v>
      </c>
      <c r="F1770" s="2">
        <v>8565802.0</v>
      </c>
      <c r="G1770" s="2">
        <v>8797715.0</v>
      </c>
      <c r="H1770" s="2">
        <v>1.7363517E7</v>
      </c>
      <c r="I1770" s="2">
        <v>6460711.0</v>
      </c>
      <c r="J1770" s="2">
        <v>1.0902806E7</v>
      </c>
    </row>
    <row r="1771">
      <c r="A1771" s="2">
        <v>2026.0</v>
      </c>
      <c r="B1771" s="1" t="s">
        <v>1069</v>
      </c>
      <c r="C1771" s="2" t="s">
        <v>63</v>
      </c>
      <c r="E1771" s="2" t="s">
        <v>749</v>
      </c>
      <c r="F1771" s="2">
        <v>3536245.0</v>
      </c>
      <c r="G1771" s="2">
        <v>4118415.0</v>
      </c>
      <c r="H1771" s="2">
        <v>7654660.0</v>
      </c>
      <c r="I1771" s="2">
        <v>4849910.0</v>
      </c>
      <c r="J1771" s="2">
        <v>2804750.0</v>
      </c>
    </row>
    <row r="1772">
      <c r="A1772" s="2">
        <v>2026.0</v>
      </c>
      <c r="B1772" s="1" t="s">
        <v>1069</v>
      </c>
      <c r="C1772" s="2" t="s">
        <v>63</v>
      </c>
      <c r="E1772" s="2" t="s">
        <v>32</v>
      </c>
      <c r="F1772" s="2">
        <v>225459.0</v>
      </c>
      <c r="G1772" s="2">
        <v>1025667.0</v>
      </c>
      <c r="H1772" s="2">
        <v>1251126.0</v>
      </c>
      <c r="I1772" s="2">
        <v>1163323.0</v>
      </c>
      <c r="J1772" s="2">
        <v>87803.0</v>
      </c>
    </row>
    <row r="1773">
      <c r="A1773" s="2">
        <v>2026.0</v>
      </c>
      <c r="B1773" s="1" t="s">
        <v>1069</v>
      </c>
      <c r="C1773" s="2" t="s">
        <v>63</v>
      </c>
      <c r="D1773" s="2" t="s">
        <v>77</v>
      </c>
      <c r="E1773" s="2" t="s">
        <v>686</v>
      </c>
      <c r="F1773" s="2">
        <v>4797816.0</v>
      </c>
      <c r="G1773" s="2">
        <v>4717909.0</v>
      </c>
      <c r="H1773" s="2">
        <v>9515725.0</v>
      </c>
      <c r="I1773" s="2">
        <v>3952361.0</v>
      </c>
      <c r="J1773" s="2">
        <v>5563364.0</v>
      </c>
    </row>
    <row r="1774">
      <c r="A1774" s="2">
        <v>2026.0</v>
      </c>
      <c r="B1774" s="1" t="s">
        <v>1069</v>
      </c>
      <c r="C1774" s="2" t="s">
        <v>63</v>
      </c>
      <c r="E1774" s="2" t="s">
        <v>749</v>
      </c>
      <c r="F1774" s="2">
        <v>908191.0</v>
      </c>
      <c r="G1774" s="2">
        <v>1734239.0</v>
      </c>
      <c r="H1774" s="2">
        <v>2642430.0</v>
      </c>
      <c r="I1774" s="2">
        <v>1543239.0</v>
      </c>
      <c r="J1774" s="2">
        <v>1099191.0</v>
      </c>
    </row>
    <row r="1775">
      <c r="A1775" s="2">
        <v>2026.0</v>
      </c>
      <c r="B1775" s="1" t="s">
        <v>1069</v>
      </c>
      <c r="C1775" s="2" t="s">
        <v>63</v>
      </c>
      <c r="E1775" s="2" t="s">
        <v>27</v>
      </c>
      <c r="F1775" s="2">
        <v>240496.0</v>
      </c>
      <c r="G1775" s="2">
        <v>2046084.0</v>
      </c>
      <c r="H1775" s="2">
        <v>2286580.0</v>
      </c>
      <c r="I1775" s="2">
        <v>2227167.0</v>
      </c>
      <c r="J1775" s="2">
        <v>59413.0</v>
      </c>
    </row>
    <row r="1776">
      <c r="A1776" s="2">
        <v>2026.0</v>
      </c>
      <c r="B1776" s="1" t="s">
        <v>1069</v>
      </c>
      <c r="C1776" s="2" t="s">
        <v>63</v>
      </c>
      <c r="E1776" s="2" t="s">
        <v>32</v>
      </c>
      <c r="F1776" s="2">
        <v>304361.0</v>
      </c>
      <c r="G1776" s="2">
        <v>109534.0</v>
      </c>
      <c r="H1776" s="2">
        <v>413895.0</v>
      </c>
      <c r="I1776" s="2">
        <v>354260.0</v>
      </c>
      <c r="J1776" s="2">
        <v>59635.0</v>
      </c>
    </row>
    <row r="1777">
      <c r="A1777" s="2">
        <v>2026.0</v>
      </c>
      <c r="B1777" s="1" t="s">
        <v>1069</v>
      </c>
      <c r="C1777" s="2" t="s">
        <v>63</v>
      </c>
      <c r="D1777" s="2" t="s">
        <v>89</v>
      </c>
      <c r="E1777" s="2" t="s">
        <v>686</v>
      </c>
      <c r="F1777" s="2">
        <v>2297156.0</v>
      </c>
      <c r="G1777" s="2">
        <v>3409626.0</v>
      </c>
      <c r="H1777" s="2">
        <v>5706782.0</v>
      </c>
      <c r="I1777" s="2">
        <v>2438964.0</v>
      </c>
      <c r="J1777" s="2">
        <v>3267818.0</v>
      </c>
    </row>
    <row r="1778">
      <c r="A1778" s="2">
        <v>2026.0</v>
      </c>
      <c r="B1778" s="1" t="s">
        <v>1069</v>
      </c>
      <c r="C1778" s="2" t="s">
        <v>63</v>
      </c>
      <c r="E1778" s="2" t="s">
        <v>749</v>
      </c>
      <c r="F1778" s="2">
        <v>880038.0</v>
      </c>
      <c r="G1778" s="2">
        <v>2046642.0</v>
      </c>
      <c r="H1778" s="2">
        <v>2926680.0</v>
      </c>
      <c r="I1778" s="2">
        <v>2658892.0</v>
      </c>
      <c r="J1778" s="2">
        <v>267788.0</v>
      </c>
    </row>
    <row r="1779">
      <c r="A1779" s="2">
        <v>2026.0</v>
      </c>
      <c r="B1779" s="1" t="s">
        <v>1069</v>
      </c>
      <c r="C1779" s="2" t="s">
        <v>63</v>
      </c>
      <c r="E1779" s="2" t="s">
        <v>27</v>
      </c>
      <c r="F1779" s="2">
        <v>0.0</v>
      </c>
      <c r="G1779" s="2">
        <v>1730857.0</v>
      </c>
      <c r="H1779" s="2">
        <v>1730857.0</v>
      </c>
      <c r="I1779" s="2">
        <v>1595485.0</v>
      </c>
      <c r="J1779" s="2">
        <v>135372.0</v>
      </c>
    </row>
    <row r="1780">
      <c r="A1780" s="2">
        <v>2026.0</v>
      </c>
      <c r="B1780" s="1" t="s">
        <v>1069</v>
      </c>
      <c r="C1780" s="2" t="s">
        <v>63</v>
      </c>
      <c r="E1780" s="2" t="s">
        <v>32</v>
      </c>
      <c r="F1780" s="2">
        <v>145041.0</v>
      </c>
      <c r="G1780" s="2">
        <v>474023.0</v>
      </c>
      <c r="H1780" s="2">
        <v>619064.0</v>
      </c>
      <c r="I1780" s="2">
        <v>483992.0</v>
      </c>
      <c r="J1780" s="2">
        <v>135072.0</v>
      </c>
    </row>
    <row r="1781">
      <c r="A1781" s="2">
        <v>2026.0</v>
      </c>
      <c r="B1781" s="1" t="s">
        <v>1069</v>
      </c>
      <c r="C1781" s="2" t="s">
        <v>63</v>
      </c>
      <c r="D1781" s="2" t="s">
        <v>1169</v>
      </c>
      <c r="E1781" s="2" t="s">
        <v>686</v>
      </c>
      <c r="F1781" s="2">
        <v>2865101.0</v>
      </c>
      <c r="G1781" s="2">
        <v>3786332.0</v>
      </c>
      <c r="H1781" s="2">
        <v>6651433.0</v>
      </c>
      <c r="I1781" s="2">
        <v>1806024.0</v>
      </c>
      <c r="J1781" s="2">
        <v>4845409.0</v>
      </c>
    </row>
    <row r="1782">
      <c r="A1782" s="2">
        <v>2026.0</v>
      </c>
      <c r="B1782" s="1" t="s">
        <v>1069</v>
      </c>
      <c r="C1782" s="2" t="s">
        <v>63</v>
      </c>
      <c r="E1782" s="2" t="s">
        <v>32</v>
      </c>
      <c r="F1782" s="2">
        <v>184747.0</v>
      </c>
      <c r="G1782" s="2">
        <v>945154.0</v>
      </c>
      <c r="H1782" s="2">
        <v>1129901.0</v>
      </c>
      <c r="I1782" s="2">
        <v>989018.0</v>
      </c>
      <c r="J1782" s="2">
        <v>140883.0</v>
      </c>
    </row>
    <row r="1783">
      <c r="A1783" s="2">
        <v>2026.0</v>
      </c>
      <c r="B1783" s="1" t="s">
        <v>1069</v>
      </c>
      <c r="C1783" s="2" t="s">
        <v>63</v>
      </c>
      <c r="E1783" s="2" t="s">
        <v>92</v>
      </c>
      <c r="F1783" s="2">
        <v>1082988.0</v>
      </c>
      <c r="G1783" s="2">
        <v>4493921.0</v>
      </c>
      <c r="H1783" s="2">
        <v>5576909.0</v>
      </c>
      <c r="I1783" s="2">
        <v>5199412.0</v>
      </c>
      <c r="J1783" s="2">
        <v>377497.0</v>
      </c>
    </row>
    <row r="1784">
      <c r="A1784" s="2">
        <v>2026.0</v>
      </c>
      <c r="B1784" s="1" t="s">
        <v>1069</v>
      </c>
      <c r="C1784" s="2" t="s">
        <v>641</v>
      </c>
      <c r="D1784" s="2" t="s">
        <v>644</v>
      </c>
      <c r="E1784" s="2" t="s">
        <v>686</v>
      </c>
      <c r="F1784" s="2">
        <v>1361159.0</v>
      </c>
      <c r="G1784" s="2">
        <v>2026261.0</v>
      </c>
      <c r="H1784" s="2">
        <v>3387420.0</v>
      </c>
      <c r="I1784" s="2">
        <v>498737.0</v>
      </c>
      <c r="J1784" s="2">
        <v>2888683.0</v>
      </c>
    </row>
    <row r="1785">
      <c r="A1785" s="2">
        <v>2026.0</v>
      </c>
      <c r="B1785" s="1" t="s">
        <v>1069</v>
      </c>
      <c r="C1785" s="2" t="s">
        <v>641</v>
      </c>
      <c r="E1785" s="2" t="s">
        <v>749</v>
      </c>
      <c r="F1785" s="2">
        <v>3252028.0</v>
      </c>
      <c r="G1785" s="2">
        <v>711121.0</v>
      </c>
      <c r="H1785" s="2">
        <v>3963149.0</v>
      </c>
      <c r="I1785" s="2">
        <v>1910448.0</v>
      </c>
      <c r="J1785" s="2">
        <v>2052701.0</v>
      </c>
    </row>
    <row r="1786">
      <c r="A1786" s="2">
        <v>2026.0</v>
      </c>
      <c r="B1786" s="1" t="s">
        <v>1069</v>
      </c>
      <c r="C1786" s="2" t="s">
        <v>641</v>
      </c>
      <c r="E1786" s="2" t="s">
        <v>32</v>
      </c>
      <c r="F1786" s="2">
        <v>156436.0</v>
      </c>
      <c r="G1786" s="2">
        <v>200585.0</v>
      </c>
      <c r="H1786" s="2">
        <v>357021.0</v>
      </c>
      <c r="I1786" s="2">
        <v>228070.0</v>
      </c>
      <c r="J1786" s="2">
        <v>128951.0</v>
      </c>
    </row>
    <row r="1787">
      <c r="A1787" s="2">
        <v>2026.0</v>
      </c>
      <c r="B1787" s="1" t="s">
        <v>1069</v>
      </c>
      <c r="C1787" s="2" t="s">
        <v>641</v>
      </c>
      <c r="E1787" s="2" t="s">
        <v>329</v>
      </c>
      <c r="F1787" s="2">
        <v>461943.0</v>
      </c>
      <c r="G1787" s="2">
        <v>1853195.0</v>
      </c>
      <c r="H1787" s="2">
        <v>2315138.0</v>
      </c>
      <c r="I1787" s="2">
        <v>2031513.0</v>
      </c>
      <c r="J1787" s="2">
        <v>283625.0</v>
      </c>
    </row>
    <row r="1788">
      <c r="A1788" s="2">
        <v>2026.0</v>
      </c>
      <c r="B1788" s="1" t="s">
        <v>1069</v>
      </c>
      <c r="C1788" s="2" t="s">
        <v>641</v>
      </c>
      <c r="D1788" s="2" t="s">
        <v>658</v>
      </c>
      <c r="E1788" s="2" t="s">
        <v>686</v>
      </c>
      <c r="F1788" s="2">
        <v>1545480.0</v>
      </c>
      <c r="G1788" s="2">
        <v>1916672.0</v>
      </c>
      <c r="H1788" s="2">
        <v>3462152.0</v>
      </c>
      <c r="I1788" s="2">
        <v>929569.0</v>
      </c>
      <c r="J1788" s="2">
        <v>2532583.0</v>
      </c>
    </row>
    <row r="1789">
      <c r="A1789" s="2">
        <v>2026.0</v>
      </c>
      <c r="B1789" s="1" t="s">
        <v>1069</v>
      </c>
      <c r="C1789" s="2" t="s">
        <v>641</v>
      </c>
      <c r="E1789" s="2" t="s">
        <v>805</v>
      </c>
      <c r="F1789" s="2">
        <v>706220.0</v>
      </c>
      <c r="G1789" s="2">
        <v>29435.0</v>
      </c>
      <c r="H1789" s="2">
        <v>735655.0</v>
      </c>
      <c r="I1789" s="2">
        <v>178610.0</v>
      </c>
      <c r="J1789" s="2">
        <v>557045.0</v>
      </c>
    </row>
    <row r="1790">
      <c r="A1790" s="2">
        <v>2026.0</v>
      </c>
      <c r="B1790" s="1" t="s">
        <v>1069</v>
      </c>
      <c r="C1790" s="2" t="s">
        <v>641</v>
      </c>
      <c r="E1790" s="2" t="s">
        <v>1131</v>
      </c>
      <c r="F1790" s="2">
        <v>79146.0</v>
      </c>
      <c r="G1790" s="2">
        <v>116042.0</v>
      </c>
      <c r="H1790" s="2">
        <v>195188.0</v>
      </c>
      <c r="I1790" s="2">
        <v>1416.0</v>
      </c>
      <c r="J1790" s="2">
        <v>193772.0</v>
      </c>
    </row>
    <row r="1791">
      <c r="A1791" s="2">
        <v>2026.0</v>
      </c>
      <c r="B1791" s="1" t="s">
        <v>1069</v>
      </c>
      <c r="C1791" s="2" t="s">
        <v>641</v>
      </c>
      <c r="E1791" s="2" t="s">
        <v>1171</v>
      </c>
      <c r="F1791" s="2">
        <v>4649022.0</v>
      </c>
      <c r="G1791" s="2">
        <v>3811383.0</v>
      </c>
      <c r="H1791" s="2">
        <v>8460405.0</v>
      </c>
      <c r="I1791" s="2">
        <v>4631079.0</v>
      </c>
      <c r="J1791" s="2">
        <v>3829326.0</v>
      </c>
    </row>
    <row r="1792">
      <c r="A1792" s="2">
        <v>2026.0</v>
      </c>
      <c r="B1792" s="1" t="s">
        <v>1069</v>
      </c>
      <c r="C1792" s="2" t="s">
        <v>641</v>
      </c>
      <c r="D1792" s="2" t="s">
        <v>1172</v>
      </c>
      <c r="E1792" s="2" t="s">
        <v>686</v>
      </c>
      <c r="F1792" s="2">
        <v>2000153.0</v>
      </c>
      <c r="G1792" s="2">
        <v>2747763.0</v>
      </c>
      <c r="H1792" s="2">
        <v>4747916.0</v>
      </c>
      <c r="I1792" s="2">
        <v>1008526.0</v>
      </c>
      <c r="J1792" s="2">
        <v>3739390.0</v>
      </c>
    </row>
    <row r="1793">
      <c r="A1793" s="2">
        <v>2026.0</v>
      </c>
      <c r="B1793" s="1" t="s">
        <v>1069</v>
      </c>
      <c r="C1793" s="2" t="s">
        <v>641</v>
      </c>
      <c r="E1793" s="2" t="s">
        <v>1174</v>
      </c>
      <c r="F1793" s="2">
        <v>2989584.0</v>
      </c>
      <c r="G1793" s="2">
        <v>4931315.0</v>
      </c>
      <c r="H1793" s="2">
        <v>7920899.0</v>
      </c>
      <c r="I1793" s="2">
        <v>6649106.0</v>
      </c>
      <c r="J1793" s="2">
        <v>1271793.0</v>
      </c>
    </row>
    <row r="1794">
      <c r="A1794" s="2">
        <v>2026.0</v>
      </c>
      <c r="B1794" s="1" t="s">
        <v>1069</v>
      </c>
      <c r="C1794" s="2" t="s">
        <v>641</v>
      </c>
      <c r="D1794" s="2" t="s">
        <v>1015</v>
      </c>
      <c r="E1794" s="2" t="s">
        <v>686</v>
      </c>
      <c r="F1794" s="2">
        <v>2689348.0</v>
      </c>
      <c r="G1794" s="2">
        <v>3158519.0</v>
      </c>
      <c r="H1794" s="2">
        <v>5847867.0</v>
      </c>
      <c r="I1794" s="2">
        <v>1344770.0</v>
      </c>
      <c r="J1794" s="2">
        <v>4503097.0</v>
      </c>
    </row>
    <row r="1795">
      <c r="A1795" s="2">
        <v>2026.0</v>
      </c>
      <c r="B1795" s="1" t="s">
        <v>1069</v>
      </c>
      <c r="C1795" s="2" t="s">
        <v>641</v>
      </c>
      <c r="E1795" s="2" t="s">
        <v>27</v>
      </c>
      <c r="F1795" s="2">
        <v>630668.0</v>
      </c>
      <c r="G1795" s="2">
        <v>2087390.0</v>
      </c>
      <c r="H1795" s="2">
        <v>2718058.0</v>
      </c>
      <c r="I1795" s="2">
        <v>2036514.0</v>
      </c>
      <c r="J1795" s="2">
        <v>681544.0</v>
      </c>
    </row>
    <row r="1796">
      <c r="A1796" s="2">
        <v>2026.0</v>
      </c>
      <c r="B1796" s="1" t="s">
        <v>1069</v>
      </c>
      <c r="C1796" s="2" t="s">
        <v>641</v>
      </c>
      <c r="E1796" s="2" t="s">
        <v>296</v>
      </c>
      <c r="F1796" s="2">
        <v>3748798.0</v>
      </c>
      <c r="G1796" s="2">
        <v>1512316.0</v>
      </c>
      <c r="H1796" s="2">
        <v>5261114.0</v>
      </c>
      <c r="I1796" s="2">
        <v>2170331.0</v>
      </c>
      <c r="J1796" s="2">
        <v>3090783.0</v>
      </c>
    </row>
    <row r="1797">
      <c r="A1797" s="2">
        <v>2026.0</v>
      </c>
      <c r="B1797" s="1" t="s">
        <v>1069</v>
      </c>
      <c r="C1797" s="2" t="s">
        <v>641</v>
      </c>
      <c r="E1797" s="2" t="s">
        <v>69</v>
      </c>
      <c r="F1797" s="2">
        <v>183520.0</v>
      </c>
      <c r="G1797" s="2">
        <v>122919.0</v>
      </c>
      <c r="H1797" s="2">
        <v>306439.0</v>
      </c>
      <c r="I1797" s="2">
        <v>151354.0</v>
      </c>
      <c r="J1797" s="2">
        <v>155085.0</v>
      </c>
    </row>
    <row r="1798">
      <c r="A1798" s="2">
        <v>2026.0</v>
      </c>
      <c r="B1798" s="1" t="s">
        <v>1069</v>
      </c>
      <c r="C1798" s="2" t="s">
        <v>641</v>
      </c>
      <c r="D1798" s="2" t="s">
        <v>652</v>
      </c>
      <c r="E1798" s="2" t="s">
        <v>686</v>
      </c>
      <c r="F1798" s="2">
        <v>2085833.0</v>
      </c>
      <c r="G1798" s="2">
        <v>2723480.0</v>
      </c>
      <c r="H1798" s="2">
        <v>4809313.0</v>
      </c>
      <c r="I1798" s="2">
        <v>1158315.0</v>
      </c>
      <c r="J1798" s="2">
        <v>3650998.0</v>
      </c>
    </row>
    <row r="1799">
      <c r="A1799" s="2">
        <v>2026.0</v>
      </c>
      <c r="B1799" s="1" t="s">
        <v>1069</v>
      </c>
      <c r="C1799" s="2" t="s">
        <v>641</v>
      </c>
      <c r="E1799" s="2" t="s">
        <v>972</v>
      </c>
      <c r="F1799" s="2">
        <v>3550326.0</v>
      </c>
      <c r="G1799" s="2">
        <v>3987600.0</v>
      </c>
      <c r="H1799" s="2">
        <v>7537926.0</v>
      </c>
      <c r="I1799" s="2">
        <v>4503636.0</v>
      </c>
      <c r="J1799" s="2">
        <v>3034290.0</v>
      </c>
    </row>
    <row r="1800">
      <c r="A1800" s="2">
        <v>2026.0</v>
      </c>
      <c r="B1800" s="1" t="s">
        <v>1069</v>
      </c>
      <c r="C1800" s="2" t="s">
        <v>641</v>
      </c>
      <c r="D1800" s="2" t="s">
        <v>1175</v>
      </c>
      <c r="E1800" s="2" t="s">
        <v>686</v>
      </c>
      <c r="F1800" s="2">
        <v>2571813.0</v>
      </c>
      <c r="G1800" s="2">
        <v>2873851.0</v>
      </c>
      <c r="H1800" s="2">
        <v>5445664.0</v>
      </c>
      <c r="I1800" s="2">
        <v>1394257.0</v>
      </c>
      <c r="J1800" s="2">
        <v>4051407.0</v>
      </c>
    </row>
    <row r="1801">
      <c r="A1801" s="2">
        <v>2026.0</v>
      </c>
      <c r="B1801" s="1" t="s">
        <v>1069</v>
      </c>
      <c r="C1801" s="2" t="s">
        <v>641</v>
      </c>
      <c r="E1801" s="2" t="s">
        <v>32</v>
      </c>
      <c r="F1801" s="2">
        <v>53917.0</v>
      </c>
      <c r="G1801" s="2">
        <v>370179.0</v>
      </c>
      <c r="H1801" s="2">
        <v>424096.0</v>
      </c>
      <c r="I1801" s="2">
        <v>171249.0</v>
      </c>
      <c r="J1801" s="2">
        <v>252847.0</v>
      </c>
    </row>
    <row r="1802">
      <c r="A1802" s="2">
        <v>2026.0</v>
      </c>
      <c r="B1802" s="1" t="s">
        <v>1069</v>
      </c>
      <c r="C1802" s="2" t="s">
        <v>641</v>
      </c>
      <c r="E1802" s="2" t="s">
        <v>92</v>
      </c>
      <c r="F1802" s="2">
        <v>3232851.0</v>
      </c>
      <c r="G1802" s="2">
        <v>3009388.0</v>
      </c>
      <c r="H1802" s="2">
        <v>6242239.0</v>
      </c>
      <c r="I1802" s="2">
        <v>4046977.0</v>
      </c>
      <c r="J1802" s="2">
        <v>2195262.0</v>
      </c>
    </row>
    <row r="1803">
      <c r="A1803" s="2">
        <v>2026.0</v>
      </c>
      <c r="B1803" s="1" t="s">
        <v>1069</v>
      </c>
      <c r="C1803" s="2" t="s">
        <v>641</v>
      </c>
      <c r="E1803" s="2" t="s">
        <v>69</v>
      </c>
      <c r="F1803" s="2">
        <v>90861.0</v>
      </c>
      <c r="G1803" s="2">
        <v>149917.0</v>
      </c>
      <c r="H1803" s="2">
        <v>240778.0</v>
      </c>
      <c r="I1803" s="2">
        <v>1416.0</v>
      </c>
      <c r="J1803" s="2">
        <v>239362.0</v>
      </c>
    </row>
    <row r="1804">
      <c r="A1804" s="2">
        <v>2026.0</v>
      </c>
      <c r="B1804" s="1" t="s">
        <v>1069</v>
      </c>
      <c r="C1804" s="2" t="s">
        <v>641</v>
      </c>
      <c r="D1804" s="2" t="s">
        <v>656</v>
      </c>
      <c r="E1804" s="2" t="s">
        <v>686</v>
      </c>
      <c r="F1804" s="2">
        <v>819507.0</v>
      </c>
      <c r="G1804" s="2">
        <v>1747130.0</v>
      </c>
      <c r="H1804" s="2">
        <v>2566637.0</v>
      </c>
      <c r="I1804" s="2">
        <v>278890.0</v>
      </c>
      <c r="J1804" s="2">
        <v>2287747.0</v>
      </c>
    </row>
    <row r="1805">
      <c r="A1805" s="2">
        <v>2026.0</v>
      </c>
      <c r="B1805" s="1" t="s">
        <v>1069</v>
      </c>
      <c r="C1805" s="2" t="s">
        <v>641</v>
      </c>
      <c r="E1805" s="2" t="s">
        <v>32</v>
      </c>
      <c r="F1805" s="2">
        <v>535473.0</v>
      </c>
      <c r="G1805" s="2">
        <v>541932.0</v>
      </c>
      <c r="H1805" s="2">
        <v>1077405.0</v>
      </c>
      <c r="I1805" s="2">
        <v>647076.0</v>
      </c>
      <c r="J1805" s="2">
        <v>430329.0</v>
      </c>
    </row>
    <row r="1806">
      <c r="A1806" s="2">
        <v>2026.0</v>
      </c>
      <c r="B1806" s="1" t="s">
        <v>1069</v>
      </c>
      <c r="C1806" s="2" t="s">
        <v>641</v>
      </c>
      <c r="E1806" s="2" t="s">
        <v>92</v>
      </c>
      <c r="F1806" s="2">
        <v>2921148.0</v>
      </c>
      <c r="G1806" s="2">
        <v>2813322.0</v>
      </c>
      <c r="H1806" s="2">
        <v>5734470.0</v>
      </c>
      <c r="I1806" s="2">
        <v>2363262.0</v>
      </c>
      <c r="J1806" s="2">
        <v>3371208.0</v>
      </c>
    </row>
    <row r="1807">
      <c r="A1807" s="2">
        <v>2026.0</v>
      </c>
      <c r="B1807" s="1" t="s">
        <v>1069</v>
      </c>
      <c r="C1807" s="2" t="s">
        <v>128</v>
      </c>
      <c r="D1807" s="2" t="s">
        <v>1176</v>
      </c>
      <c r="E1807" s="2" t="s">
        <v>686</v>
      </c>
      <c r="F1807" s="2">
        <v>836209.0</v>
      </c>
      <c r="G1807" s="2">
        <v>1306130.0</v>
      </c>
      <c r="H1807" s="2">
        <v>2142339.0</v>
      </c>
      <c r="I1807" s="2">
        <v>715221.0</v>
      </c>
      <c r="J1807" s="2">
        <v>1427118.0</v>
      </c>
    </row>
    <row r="1808">
      <c r="A1808" s="2">
        <v>2026.0</v>
      </c>
      <c r="B1808" s="1" t="s">
        <v>1069</v>
      </c>
      <c r="C1808" s="2" t="s">
        <v>128</v>
      </c>
      <c r="E1808" s="2" t="s">
        <v>749</v>
      </c>
      <c r="F1808" s="2">
        <v>1082286.0</v>
      </c>
      <c r="G1808" s="2">
        <v>2080560.0</v>
      </c>
      <c r="H1808" s="2">
        <v>3162846.0</v>
      </c>
      <c r="I1808" s="2">
        <v>2328638.0</v>
      </c>
      <c r="J1808" s="2">
        <v>834208.0</v>
      </c>
    </row>
    <row r="1809">
      <c r="A1809" s="2">
        <v>2026.0</v>
      </c>
      <c r="B1809" s="1" t="s">
        <v>1069</v>
      </c>
      <c r="C1809" s="2" t="s">
        <v>128</v>
      </c>
      <c r="E1809" s="2" t="s">
        <v>32</v>
      </c>
      <c r="F1809" s="2">
        <v>213150.0</v>
      </c>
      <c r="G1809" s="2">
        <v>18083.0</v>
      </c>
      <c r="H1809" s="2">
        <v>231233.0</v>
      </c>
      <c r="I1809" s="2">
        <v>86800.0</v>
      </c>
      <c r="J1809" s="2">
        <v>144433.0</v>
      </c>
    </row>
    <row r="1810">
      <c r="A1810" s="2">
        <v>2026.0</v>
      </c>
      <c r="B1810" s="1" t="s">
        <v>1069</v>
      </c>
      <c r="C1810" s="2" t="s">
        <v>128</v>
      </c>
      <c r="D1810" s="2" t="s">
        <v>132</v>
      </c>
      <c r="E1810" s="2" t="s">
        <v>686</v>
      </c>
      <c r="F1810" s="2">
        <v>1627343.0</v>
      </c>
      <c r="G1810" s="2">
        <v>1839122.0</v>
      </c>
      <c r="H1810" s="2">
        <v>3466465.0</v>
      </c>
      <c r="I1810" s="2">
        <v>1240736.0</v>
      </c>
      <c r="J1810" s="2">
        <v>2225729.0</v>
      </c>
    </row>
    <row r="1811">
      <c r="A1811" s="2">
        <v>2026.0</v>
      </c>
      <c r="B1811" s="1" t="s">
        <v>1069</v>
      </c>
      <c r="C1811" s="2" t="s">
        <v>128</v>
      </c>
      <c r="E1811" s="2" t="s">
        <v>749</v>
      </c>
      <c r="F1811" s="2">
        <v>2183502.0</v>
      </c>
      <c r="G1811" s="2">
        <v>2847714.0</v>
      </c>
      <c r="H1811" s="2">
        <v>5031216.0</v>
      </c>
      <c r="I1811" s="2">
        <v>2706218.0</v>
      </c>
      <c r="J1811" s="2">
        <v>2324998.0</v>
      </c>
    </row>
    <row r="1812">
      <c r="A1812" s="2">
        <v>2026.0</v>
      </c>
      <c r="B1812" s="1" t="s">
        <v>1069</v>
      </c>
      <c r="C1812" s="2" t="s">
        <v>128</v>
      </c>
      <c r="E1812" s="2" t="s">
        <v>32</v>
      </c>
      <c r="F1812" s="2">
        <v>279229.0</v>
      </c>
      <c r="G1812" s="2">
        <v>140773.0</v>
      </c>
      <c r="H1812" s="2">
        <v>420002.0</v>
      </c>
      <c r="I1812" s="2">
        <v>1350.0</v>
      </c>
      <c r="J1812" s="2">
        <v>418652.0</v>
      </c>
    </row>
    <row r="1813">
      <c r="A1813" s="2">
        <v>2026.0</v>
      </c>
      <c r="B1813" s="1" t="s">
        <v>1069</v>
      </c>
      <c r="C1813" s="2" t="s">
        <v>128</v>
      </c>
      <c r="D1813" s="2" t="s">
        <v>269</v>
      </c>
      <c r="E1813" s="2" t="s">
        <v>686</v>
      </c>
      <c r="F1813" s="2">
        <v>694284.0</v>
      </c>
      <c r="G1813" s="2">
        <v>1436976.0</v>
      </c>
      <c r="H1813" s="2">
        <v>2131260.0</v>
      </c>
      <c r="I1813" s="2">
        <v>869541.0</v>
      </c>
      <c r="J1813" s="2">
        <v>1261719.0</v>
      </c>
    </row>
    <row r="1814">
      <c r="A1814" s="2">
        <v>2026.0</v>
      </c>
      <c r="B1814" s="1" t="s">
        <v>1069</v>
      </c>
      <c r="C1814" s="2" t="s">
        <v>128</v>
      </c>
      <c r="E1814" s="2" t="s">
        <v>749</v>
      </c>
      <c r="F1814" s="2">
        <v>1021317.0</v>
      </c>
      <c r="G1814" s="2">
        <v>2316968.0</v>
      </c>
      <c r="H1814" s="2">
        <v>3338285.0</v>
      </c>
      <c r="I1814" s="2">
        <v>2458190.0</v>
      </c>
      <c r="J1814" s="2">
        <v>880095.0</v>
      </c>
    </row>
    <row r="1815">
      <c r="A1815" s="2">
        <v>2026.0</v>
      </c>
      <c r="B1815" s="1" t="s">
        <v>1069</v>
      </c>
      <c r="C1815" s="2" t="s">
        <v>128</v>
      </c>
      <c r="E1815" s="2" t="s">
        <v>32</v>
      </c>
      <c r="F1815" s="2">
        <v>213860.0</v>
      </c>
      <c r="G1815" s="2">
        <v>31291.0</v>
      </c>
      <c r="H1815" s="2">
        <v>245151.0</v>
      </c>
      <c r="I1815" s="2">
        <v>19074.0</v>
      </c>
      <c r="J1815" s="2">
        <v>226077.0</v>
      </c>
    </row>
    <row r="1816">
      <c r="A1816" s="2">
        <v>2026.0</v>
      </c>
      <c r="B1816" s="1" t="s">
        <v>1069</v>
      </c>
      <c r="C1816" s="2" t="s">
        <v>880</v>
      </c>
      <c r="D1816" s="2" t="s">
        <v>1178</v>
      </c>
      <c r="E1816" s="2" t="s">
        <v>686</v>
      </c>
      <c r="F1816" s="2">
        <v>316000.0</v>
      </c>
      <c r="G1816" s="2">
        <v>933400.0</v>
      </c>
      <c r="H1816" s="2">
        <v>1249400.0</v>
      </c>
      <c r="I1816" s="2">
        <v>209600.0</v>
      </c>
      <c r="J1816" s="2">
        <v>1039800.0</v>
      </c>
    </row>
    <row r="1817">
      <c r="A1817" s="2">
        <v>2026.0</v>
      </c>
      <c r="B1817" s="1" t="s">
        <v>1069</v>
      </c>
      <c r="C1817" s="2" t="s">
        <v>880</v>
      </c>
      <c r="E1817" s="2" t="s">
        <v>1179</v>
      </c>
      <c r="F1817" s="2">
        <v>598217.0</v>
      </c>
      <c r="G1817" s="2">
        <v>2023160.0</v>
      </c>
      <c r="H1817" s="2">
        <v>2621377.0</v>
      </c>
      <c r="I1817" s="2">
        <v>2022992.0</v>
      </c>
      <c r="J1817" s="2">
        <v>598385.0</v>
      </c>
    </row>
    <row r="1818">
      <c r="A1818" s="2">
        <v>2026.0</v>
      </c>
      <c r="B1818" s="1" t="s">
        <v>1069</v>
      </c>
      <c r="C1818" s="2" t="s">
        <v>880</v>
      </c>
      <c r="D1818" s="2" t="s">
        <v>1180</v>
      </c>
      <c r="E1818" s="2" t="s">
        <v>686</v>
      </c>
      <c r="F1818" s="2">
        <v>1875630.0</v>
      </c>
      <c r="G1818" s="2">
        <v>1584871.0</v>
      </c>
      <c r="H1818" s="2">
        <v>3460501.0</v>
      </c>
      <c r="I1818" s="2">
        <v>874644.0</v>
      </c>
      <c r="J1818" s="2">
        <v>2585857.0</v>
      </c>
    </row>
    <row r="1819">
      <c r="A1819" s="2">
        <v>2026.0</v>
      </c>
      <c r="B1819" s="1" t="s">
        <v>1069</v>
      </c>
      <c r="C1819" s="2" t="s">
        <v>880</v>
      </c>
      <c r="E1819" s="2" t="s">
        <v>1121</v>
      </c>
      <c r="F1819" s="2">
        <v>3096237.0</v>
      </c>
      <c r="G1819" s="2">
        <v>3285468.0</v>
      </c>
      <c r="H1819" s="2">
        <v>6381705.0</v>
      </c>
      <c r="I1819" s="2">
        <v>3250095.0</v>
      </c>
      <c r="J1819" s="2">
        <v>3131610.0</v>
      </c>
    </row>
    <row r="1820">
      <c r="A1820" s="2">
        <v>2026.0</v>
      </c>
      <c r="B1820" s="1" t="s">
        <v>1069</v>
      </c>
      <c r="C1820" s="2" t="s">
        <v>880</v>
      </c>
      <c r="D1820" s="2" t="s">
        <v>301</v>
      </c>
      <c r="E1820" s="2" t="s">
        <v>686</v>
      </c>
      <c r="F1820" s="2">
        <v>801571.0</v>
      </c>
      <c r="G1820" s="2">
        <v>1840840.0</v>
      </c>
      <c r="H1820" s="2">
        <v>2642411.0</v>
      </c>
      <c r="I1820" s="2">
        <v>830275.0</v>
      </c>
      <c r="J1820" s="2">
        <v>1812136.0</v>
      </c>
    </row>
    <row r="1821">
      <c r="A1821" s="2">
        <v>2026.0</v>
      </c>
      <c r="B1821" s="1" t="s">
        <v>1069</v>
      </c>
      <c r="C1821" s="2" t="s">
        <v>880</v>
      </c>
      <c r="E1821" s="2" t="s">
        <v>1127</v>
      </c>
      <c r="F1821" s="2">
        <v>2373221.0</v>
      </c>
      <c r="G1821" s="2">
        <v>3100297.0</v>
      </c>
      <c r="H1821" s="2">
        <v>5473518.0</v>
      </c>
      <c r="I1821" s="2">
        <v>3548919.0</v>
      </c>
      <c r="J1821" s="2">
        <v>1924599.0</v>
      </c>
    </row>
    <row r="1822">
      <c r="A1822" s="2">
        <v>2026.0</v>
      </c>
      <c r="B1822" s="1" t="s">
        <v>1069</v>
      </c>
      <c r="C1822" s="2" t="s">
        <v>880</v>
      </c>
      <c r="E1822" s="2" t="s">
        <v>32</v>
      </c>
      <c r="F1822" s="2">
        <v>25228.0</v>
      </c>
      <c r="G1822" s="2">
        <v>112014.0</v>
      </c>
      <c r="H1822" s="2">
        <v>137242.0</v>
      </c>
      <c r="I1822" s="2">
        <v>80266.0</v>
      </c>
      <c r="J1822" s="2">
        <v>56976.0</v>
      </c>
    </row>
    <row r="1823">
      <c r="A1823" s="2">
        <v>2026.0</v>
      </c>
      <c r="B1823" s="1" t="s">
        <v>1069</v>
      </c>
      <c r="C1823" s="2" t="s">
        <v>880</v>
      </c>
      <c r="D1823" s="2" t="s">
        <v>293</v>
      </c>
      <c r="E1823" s="2" t="s">
        <v>686</v>
      </c>
      <c r="F1823" s="2">
        <v>2451447.0</v>
      </c>
      <c r="G1823" s="2">
        <v>2871917.0</v>
      </c>
      <c r="H1823" s="2">
        <v>5323364.0</v>
      </c>
      <c r="I1823" s="2">
        <v>2032594.0</v>
      </c>
      <c r="J1823" s="2">
        <v>3290770.0</v>
      </c>
    </row>
    <row r="1824">
      <c r="A1824" s="2">
        <v>2026.0</v>
      </c>
      <c r="B1824" s="1" t="s">
        <v>1069</v>
      </c>
      <c r="C1824" s="2" t="s">
        <v>880</v>
      </c>
      <c r="E1824" s="2" t="s">
        <v>1127</v>
      </c>
      <c r="F1824" s="2">
        <v>3312842.0</v>
      </c>
      <c r="G1824" s="2">
        <v>3608474.0</v>
      </c>
      <c r="H1824" s="2">
        <v>6921316.0</v>
      </c>
      <c r="I1824" s="2">
        <v>4072500.0</v>
      </c>
      <c r="J1824" s="2">
        <v>2848816.0</v>
      </c>
    </row>
    <row r="1825">
      <c r="A1825" s="2">
        <v>2026.0</v>
      </c>
      <c r="B1825" s="1" t="s">
        <v>1069</v>
      </c>
      <c r="C1825" s="2" t="s">
        <v>880</v>
      </c>
      <c r="E1825" s="2" t="s">
        <v>32</v>
      </c>
      <c r="F1825" s="2">
        <v>219513.0</v>
      </c>
      <c r="G1825" s="2">
        <v>226893.0</v>
      </c>
      <c r="H1825" s="2">
        <v>446406.0</v>
      </c>
      <c r="I1825" s="2">
        <v>158927.0</v>
      </c>
      <c r="J1825" s="2">
        <v>287479.0</v>
      </c>
    </row>
    <row r="1826">
      <c r="A1826" s="2">
        <v>2026.0</v>
      </c>
      <c r="B1826" s="1" t="s">
        <v>1069</v>
      </c>
      <c r="C1826" s="2" t="s">
        <v>120</v>
      </c>
      <c r="D1826" s="2" t="s">
        <v>121</v>
      </c>
      <c r="E1826" s="2" t="s">
        <v>686</v>
      </c>
      <c r="F1826" s="2">
        <v>2285771.0</v>
      </c>
      <c r="G1826" s="2">
        <v>3846852.0</v>
      </c>
      <c r="H1826" s="2">
        <v>6132623.0</v>
      </c>
      <c r="I1826" s="2">
        <v>3297839.0</v>
      </c>
      <c r="J1826" s="2">
        <v>2834784.0</v>
      </c>
    </row>
    <row r="1827">
      <c r="A1827" s="2">
        <v>2026.0</v>
      </c>
      <c r="B1827" s="1" t="s">
        <v>1069</v>
      </c>
      <c r="C1827" s="2" t="s">
        <v>120</v>
      </c>
      <c r="E1827" s="2" t="s">
        <v>54</v>
      </c>
      <c r="F1827" s="2">
        <v>3000440.0</v>
      </c>
      <c r="G1827" s="2">
        <v>4362578.0</v>
      </c>
      <c r="H1827" s="2">
        <v>7363018.0</v>
      </c>
      <c r="I1827" s="2">
        <v>5292057.0</v>
      </c>
      <c r="J1827" s="2">
        <v>2070961.0</v>
      </c>
    </row>
    <row r="1828">
      <c r="A1828" s="2">
        <v>2026.0</v>
      </c>
      <c r="B1828" s="1" t="s">
        <v>1069</v>
      </c>
      <c r="C1828" s="2" t="s">
        <v>120</v>
      </c>
      <c r="D1828" s="2" t="s">
        <v>120</v>
      </c>
      <c r="E1828" s="2" t="s">
        <v>686</v>
      </c>
      <c r="F1828" s="2">
        <v>2793244.0</v>
      </c>
      <c r="G1828" s="2">
        <v>3824657.0</v>
      </c>
      <c r="H1828" s="2">
        <v>6617901.0</v>
      </c>
      <c r="I1828" s="2">
        <v>3628634.0</v>
      </c>
      <c r="J1828" s="2">
        <v>2989267.0</v>
      </c>
    </row>
    <row r="1829">
      <c r="A1829" s="2">
        <v>2026.0</v>
      </c>
      <c r="B1829" s="1" t="s">
        <v>1069</v>
      </c>
      <c r="C1829" s="2" t="s">
        <v>120</v>
      </c>
      <c r="E1829" s="2" t="s">
        <v>27</v>
      </c>
      <c r="F1829" s="2">
        <v>55189.0</v>
      </c>
      <c r="G1829" s="2">
        <v>248695.0</v>
      </c>
      <c r="H1829" s="2">
        <v>303884.0</v>
      </c>
      <c r="I1829" s="2">
        <v>148525.0</v>
      </c>
      <c r="J1829" s="2">
        <v>155359.0</v>
      </c>
    </row>
    <row r="1830">
      <c r="A1830" s="2">
        <v>2026.0</v>
      </c>
      <c r="B1830" s="1" t="s">
        <v>1069</v>
      </c>
      <c r="C1830" s="2" t="s">
        <v>120</v>
      </c>
      <c r="E1830" s="2" t="s">
        <v>32</v>
      </c>
      <c r="F1830" s="2">
        <v>420103.0</v>
      </c>
      <c r="G1830" s="2">
        <v>491854.0</v>
      </c>
      <c r="H1830" s="2">
        <v>911957.0</v>
      </c>
      <c r="I1830" s="2">
        <v>595419.0</v>
      </c>
      <c r="J1830" s="2">
        <v>316538.0</v>
      </c>
    </row>
    <row r="1831">
      <c r="A1831" s="2">
        <v>2026.0</v>
      </c>
      <c r="B1831" s="1" t="s">
        <v>1069</v>
      </c>
      <c r="C1831" s="2" t="s">
        <v>120</v>
      </c>
      <c r="E1831" s="2" t="s">
        <v>56</v>
      </c>
      <c r="F1831" s="2">
        <v>1928867.0</v>
      </c>
      <c r="G1831" s="2">
        <v>1248361.0</v>
      </c>
      <c r="H1831" s="2">
        <v>3177228.0</v>
      </c>
      <c r="I1831" s="2">
        <v>2332372.0</v>
      </c>
      <c r="J1831" s="2">
        <v>844856.0</v>
      </c>
    </row>
    <row r="1832">
      <c r="A1832" s="2">
        <v>2026.0</v>
      </c>
      <c r="B1832" s="1" t="s">
        <v>1069</v>
      </c>
      <c r="C1832" s="2" t="s">
        <v>120</v>
      </c>
      <c r="D1832" s="2" t="s">
        <v>1181</v>
      </c>
      <c r="E1832" s="2" t="s">
        <v>686</v>
      </c>
      <c r="F1832" s="2">
        <v>1493386.0</v>
      </c>
      <c r="G1832" s="2">
        <v>4462733.0</v>
      </c>
      <c r="H1832" s="2">
        <v>5956119.0</v>
      </c>
      <c r="I1832" s="2">
        <v>1521932.0</v>
      </c>
      <c r="J1832" s="2">
        <v>4434187.0</v>
      </c>
    </row>
    <row r="1833">
      <c r="A1833" s="2">
        <v>2026.0</v>
      </c>
      <c r="B1833" s="1" t="s">
        <v>1069</v>
      </c>
      <c r="C1833" s="2" t="s">
        <v>120</v>
      </c>
      <c r="E1833" s="2" t="s">
        <v>1182</v>
      </c>
      <c r="F1833" s="2">
        <v>82508.0</v>
      </c>
      <c r="G1833" s="2">
        <v>3123.0</v>
      </c>
      <c r="H1833" s="2">
        <v>85631.0</v>
      </c>
      <c r="I1833" s="2">
        <v>0.0</v>
      </c>
      <c r="J1833" s="2">
        <v>85631.0</v>
      </c>
    </row>
    <row r="1834">
      <c r="A1834" s="2">
        <v>2026.0</v>
      </c>
      <c r="B1834" s="1" t="s">
        <v>1069</v>
      </c>
      <c r="C1834" s="2" t="s">
        <v>120</v>
      </c>
      <c r="E1834" s="2" t="s">
        <v>27</v>
      </c>
      <c r="F1834" s="2">
        <v>495237.0</v>
      </c>
      <c r="G1834" s="2">
        <v>2341673.0</v>
      </c>
      <c r="H1834" s="2">
        <v>2836910.0</v>
      </c>
      <c r="I1834" s="2">
        <v>2673302.0</v>
      </c>
      <c r="J1834" s="2">
        <v>163608.0</v>
      </c>
    </row>
    <row r="1835">
      <c r="A1835" s="2">
        <v>2026.0</v>
      </c>
      <c r="B1835" s="1" t="s">
        <v>1069</v>
      </c>
      <c r="C1835" s="2" t="s">
        <v>120</v>
      </c>
      <c r="E1835" s="2" t="s">
        <v>1183</v>
      </c>
      <c r="F1835" s="2">
        <v>1697764.0</v>
      </c>
      <c r="G1835" s="2">
        <v>1660086.0</v>
      </c>
      <c r="H1835" s="2">
        <v>3357850.0</v>
      </c>
      <c r="I1835" s="2">
        <v>2007892.0</v>
      </c>
      <c r="J1835" s="2">
        <v>1349958.0</v>
      </c>
    </row>
    <row r="1836">
      <c r="A1836" s="2">
        <v>2026.0</v>
      </c>
      <c r="B1836" s="1" t="s">
        <v>1069</v>
      </c>
      <c r="C1836" s="2" t="s">
        <v>120</v>
      </c>
      <c r="D1836" s="2" t="s">
        <v>125</v>
      </c>
      <c r="E1836" s="2" t="s">
        <v>686</v>
      </c>
      <c r="F1836" s="2">
        <v>1458641.0</v>
      </c>
      <c r="G1836" s="2">
        <v>2723670.0</v>
      </c>
      <c r="H1836" s="2">
        <v>4182311.0</v>
      </c>
      <c r="I1836" s="2">
        <v>417140.0</v>
      </c>
      <c r="J1836" s="2">
        <v>3765171.0</v>
      </c>
    </row>
    <row r="1837">
      <c r="A1837" s="2">
        <v>2026.0</v>
      </c>
      <c r="B1837" s="1" t="s">
        <v>1069</v>
      </c>
      <c r="C1837" s="2" t="s">
        <v>120</v>
      </c>
      <c r="E1837" s="2" t="s">
        <v>27</v>
      </c>
      <c r="F1837" s="2">
        <v>122023.0</v>
      </c>
      <c r="G1837" s="2">
        <v>430074.0</v>
      </c>
      <c r="H1837" s="2">
        <v>552097.0</v>
      </c>
      <c r="I1837" s="2">
        <v>452009.0</v>
      </c>
      <c r="J1837" s="2">
        <v>100088.0</v>
      </c>
    </row>
    <row r="1838">
      <c r="A1838" s="2">
        <v>2026.0</v>
      </c>
      <c r="B1838" s="1" t="s">
        <v>1069</v>
      </c>
      <c r="C1838" s="2" t="s">
        <v>120</v>
      </c>
      <c r="E1838" s="2" t="s">
        <v>32</v>
      </c>
      <c r="F1838" s="2">
        <v>90262.0</v>
      </c>
      <c r="G1838" s="2">
        <v>34927.0</v>
      </c>
      <c r="H1838" s="2">
        <v>125189.0</v>
      </c>
      <c r="I1838" s="2">
        <v>26416.0</v>
      </c>
      <c r="J1838" s="2">
        <v>98773.0</v>
      </c>
    </row>
    <row r="1839">
      <c r="A1839" s="2">
        <v>2026.0</v>
      </c>
      <c r="B1839" s="1" t="s">
        <v>1069</v>
      </c>
      <c r="C1839" s="2" t="s">
        <v>120</v>
      </c>
      <c r="E1839" s="2" t="s">
        <v>56</v>
      </c>
      <c r="F1839" s="2">
        <v>1487991.0</v>
      </c>
      <c r="G1839" s="2">
        <v>3764690.0</v>
      </c>
      <c r="H1839" s="2">
        <v>5252681.0</v>
      </c>
      <c r="I1839" s="2">
        <v>4478571.0</v>
      </c>
      <c r="J1839" s="2">
        <v>774110.0</v>
      </c>
    </row>
    <row r="1840">
      <c r="A1840" s="2">
        <v>2026.0</v>
      </c>
      <c r="B1840" s="1" t="s">
        <v>1069</v>
      </c>
      <c r="C1840" s="2" t="s">
        <v>93</v>
      </c>
      <c r="D1840" s="2" t="s">
        <v>937</v>
      </c>
      <c r="E1840" s="2" t="s">
        <v>686</v>
      </c>
      <c r="F1840" s="2">
        <v>1903290.0</v>
      </c>
      <c r="G1840" s="2">
        <v>2282888.0</v>
      </c>
      <c r="H1840" s="2">
        <v>4186178.0</v>
      </c>
      <c r="I1840" s="2">
        <v>1413935.0</v>
      </c>
      <c r="J1840" s="2">
        <v>2772243.0</v>
      </c>
    </row>
    <row r="1841">
      <c r="A1841" s="2">
        <v>2026.0</v>
      </c>
      <c r="B1841" s="1" t="s">
        <v>1069</v>
      </c>
      <c r="C1841" s="2" t="s">
        <v>93</v>
      </c>
      <c r="E1841" s="2" t="s">
        <v>27</v>
      </c>
      <c r="F1841" s="2">
        <v>591290.0</v>
      </c>
      <c r="G1841" s="2">
        <v>2927762.0</v>
      </c>
      <c r="H1841" s="2">
        <v>3519052.0</v>
      </c>
      <c r="I1841" s="2">
        <v>2949683.0</v>
      </c>
      <c r="J1841" s="2">
        <v>569369.0</v>
      </c>
    </row>
    <row r="1842">
      <c r="A1842" s="2">
        <v>2026.0</v>
      </c>
      <c r="B1842" s="1" t="s">
        <v>1069</v>
      </c>
      <c r="C1842" s="2" t="s">
        <v>93</v>
      </c>
      <c r="E1842" s="2" t="s">
        <v>32</v>
      </c>
      <c r="F1842" s="2">
        <v>272688.0</v>
      </c>
      <c r="G1842" s="2">
        <v>307038.0</v>
      </c>
      <c r="H1842" s="2">
        <v>579726.0</v>
      </c>
      <c r="I1842" s="2">
        <v>317513.0</v>
      </c>
      <c r="J1842" s="2">
        <v>262213.0</v>
      </c>
    </row>
    <row r="1843">
      <c r="A1843" s="2">
        <v>2026.0</v>
      </c>
      <c r="B1843" s="1" t="s">
        <v>1069</v>
      </c>
      <c r="C1843" s="2" t="s">
        <v>93</v>
      </c>
      <c r="E1843" s="2" t="s">
        <v>56</v>
      </c>
      <c r="F1843" s="2">
        <v>1894592.0</v>
      </c>
      <c r="G1843" s="2">
        <v>3215012.0</v>
      </c>
      <c r="H1843" s="2">
        <v>5109604.0</v>
      </c>
      <c r="I1843" s="2">
        <v>3235467.0</v>
      </c>
      <c r="J1843" s="2">
        <v>1874137.0</v>
      </c>
    </row>
    <row r="1844">
      <c r="A1844" s="2">
        <v>2026.0</v>
      </c>
      <c r="B1844" s="1" t="s">
        <v>1069</v>
      </c>
      <c r="C1844" s="2" t="s">
        <v>93</v>
      </c>
      <c r="E1844" s="2" t="s">
        <v>69</v>
      </c>
      <c r="F1844" s="2">
        <v>84826.0</v>
      </c>
      <c r="G1844" s="2">
        <v>179578.0</v>
      </c>
      <c r="H1844" s="2">
        <v>264404.0</v>
      </c>
      <c r="I1844" s="2">
        <v>24000.0</v>
      </c>
      <c r="J1844" s="2">
        <v>240404.0</v>
      </c>
    </row>
    <row r="1845">
      <c r="A1845" s="2">
        <v>2026.0</v>
      </c>
      <c r="B1845" s="1" t="s">
        <v>1069</v>
      </c>
      <c r="C1845" s="2" t="s">
        <v>93</v>
      </c>
      <c r="D1845" s="2" t="s">
        <v>93</v>
      </c>
      <c r="E1845" s="2" t="s">
        <v>1081</v>
      </c>
      <c r="F1845" s="2">
        <v>199903.0</v>
      </c>
      <c r="G1845" s="2">
        <v>491764.0</v>
      </c>
      <c r="H1845" s="2">
        <v>691667.0</v>
      </c>
      <c r="I1845" s="2">
        <v>531846.0</v>
      </c>
      <c r="J1845" s="2">
        <v>159821.0</v>
      </c>
    </row>
    <row r="1846">
      <c r="A1846" s="2">
        <v>2026.0</v>
      </c>
      <c r="B1846" s="1" t="s">
        <v>1069</v>
      </c>
      <c r="C1846" s="2" t="s">
        <v>93</v>
      </c>
      <c r="E1846" s="2" t="s">
        <v>686</v>
      </c>
      <c r="F1846" s="2">
        <v>2587773.0</v>
      </c>
      <c r="G1846" s="2">
        <v>1350657.0</v>
      </c>
      <c r="H1846" s="2">
        <v>3938430.0</v>
      </c>
      <c r="I1846" s="2">
        <v>702075.0</v>
      </c>
      <c r="J1846" s="2">
        <v>3236355.0</v>
      </c>
    </row>
    <row r="1847">
      <c r="A1847" s="2">
        <v>2026.0</v>
      </c>
      <c r="B1847" s="1" t="s">
        <v>1069</v>
      </c>
      <c r="C1847" s="2" t="s">
        <v>93</v>
      </c>
      <c r="E1847" s="2" t="s">
        <v>27</v>
      </c>
      <c r="F1847" s="2">
        <v>357481.0</v>
      </c>
      <c r="G1847" s="2">
        <v>2211089.0</v>
      </c>
      <c r="H1847" s="2">
        <v>2568570.0</v>
      </c>
      <c r="I1847" s="2">
        <v>2107347.0</v>
      </c>
      <c r="J1847" s="2">
        <v>461223.0</v>
      </c>
    </row>
    <row r="1848">
      <c r="A1848" s="2">
        <v>2026.0</v>
      </c>
      <c r="B1848" s="1" t="s">
        <v>1069</v>
      </c>
      <c r="C1848" s="2" t="s">
        <v>93</v>
      </c>
      <c r="E1848" s="2" t="s">
        <v>936</v>
      </c>
      <c r="F1848" s="2">
        <v>645854.0</v>
      </c>
      <c r="G1848" s="2">
        <v>67381.0</v>
      </c>
      <c r="H1848" s="2">
        <v>713235.0</v>
      </c>
      <c r="I1848" s="2">
        <v>10320.0</v>
      </c>
      <c r="J1848" s="2">
        <v>702915.0</v>
      </c>
    </row>
    <row r="1849">
      <c r="A1849" s="2">
        <v>2026.0</v>
      </c>
      <c r="B1849" s="1" t="s">
        <v>1069</v>
      </c>
      <c r="C1849" s="2" t="s">
        <v>93</v>
      </c>
      <c r="E1849" s="2" t="s">
        <v>56</v>
      </c>
      <c r="F1849" s="2">
        <v>1880373.0</v>
      </c>
      <c r="G1849" s="2">
        <v>882218.0</v>
      </c>
      <c r="H1849" s="2">
        <v>2762591.0</v>
      </c>
      <c r="I1849" s="2">
        <v>1114188.0</v>
      </c>
      <c r="J1849" s="2">
        <v>1648403.0</v>
      </c>
    </row>
    <row r="1850">
      <c r="A1850" s="2">
        <v>2026.0</v>
      </c>
      <c r="B1850" s="1" t="s">
        <v>1069</v>
      </c>
      <c r="C1850" s="2" t="s">
        <v>93</v>
      </c>
      <c r="D1850" s="2" t="s">
        <v>934</v>
      </c>
      <c r="E1850" s="2" t="s">
        <v>686</v>
      </c>
      <c r="F1850" s="2">
        <v>3164941.0</v>
      </c>
      <c r="G1850" s="2">
        <v>3661979.0</v>
      </c>
      <c r="H1850" s="2">
        <v>6826920.0</v>
      </c>
      <c r="I1850" s="2">
        <v>3197963.0</v>
      </c>
      <c r="J1850" s="2">
        <v>3628957.0</v>
      </c>
    </row>
    <row r="1851">
      <c r="A1851" s="2">
        <v>2026.0</v>
      </c>
      <c r="B1851" s="1" t="s">
        <v>1069</v>
      </c>
      <c r="C1851" s="2" t="s">
        <v>93</v>
      </c>
      <c r="E1851" s="2" t="s">
        <v>936</v>
      </c>
      <c r="F1851" s="2">
        <v>122065.0</v>
      </c>
      <c r="G1851" s="2">
        <v>179394.0</v>
      </c>
      <c r="H1851" s="2">
        <v>301459.0</v>
      </c>
      <c r="I1851" s="2">
        <v>0.0</v>
      </c>
      <c r="J1851" s="2">
        <v>301459.0</v>
      </c>
    </row>
    <row r="1852">
      <c r="A1852" s="2">
        <v>2026.0</v>
      </c>
      <c r="B1852" s="1" t="s">
        <v>1069</v>
      </c>
      <c r="C1852" s="2" t="s">
        <v>93</v>
      </c>
      <c r="E1852" s="2" t="s">
        <v>32</v>
      </c>
      <c r="F1852" s="2">
        <v>92658.0</v>
      </c>
      <c r="G1852" s="2">
        <v>447779.0</v>
      </c>
      <c r="H1852" s="2">
        <v>540437.0</v>
      </c>
      <c r="I1852" s="2">
        <v>383448.0</v>
      </c>
      <c r="J1852" s="2">
        <v>156989.0</v>
      </c>
    </row>
    <row r="1853">
      <c r="A1853" s="2">
        <v>2026.0</v>
      </c>
      <c r="B1853" s="1" t="s">
        <v>1069</v>
      </c>
      <c r="C1853" s="2" t="s">
        <v>93</v>
      </c>
      <c r="E1853" s="2" t="s">
        <v>56</v>
      </c>
      <c r="F1853" s="2">
        <v>3227759.0</v>
      </c>
      <c r="G1853" s="2">
        <v>1167000.0</v>
      </c>
      <c r="H1853" s="2">
        <v>4394759.0</v>
      </c>
      <c r="I1853" s="2">
        <v>3135539.0</v>
      </c>
      <c r="J1853" s="2">
        <v>1259220.0</v>
      </c>
    </row>
    <row r="1854">
      <c r="A1854" s="2">
        <v>2026.0</v>
      </c>
      <c r="B1854" s="1" t="s">
        <v>1069</v>
      </c>
      <c r="C1854" s="2" t="s">
        <v>93</v>
      </c>
      <c r="D1854" s="2" t="s">
        <v>1184</v>
      </c>
      <c r="E1854" s="2" t="s">
        <v>686</v>
      </c>
      <c r="F1854" s="2">
        <v>3272282.0</v>
      </c>
      <c r="G1854" s="2">
        <v>3980330.0</v>
      </c>
      <c r="H1854" s="2">
        <v>7252612.0</v>
      </c>
      <c r="I1854" s="2">
        <v>3376238.0</v>
      </c>
      <c r="J1854" s="2">
        <v>3876374.0</v>
      </c>
    </row>
    <row r="1855">
      <c r="A1855" s="2">
        <v>2026.0</v>
      </c>
      <c r="B1855" s="1" t="s">
        <v>1069</v>
      </c>
      <c r="C1855" s="2" t="s">
        <v>93</v>
      </c>
      <c r="E1855" s="2" t="s">
        <v>27</v>
      </c>
      <c r="F1855" s="2">
        <v>80997.0</v>
      </c>
      <c r="G1855" s="2">
        <v>2534667.0</v>
      </c>
      <c r="H1855" s="2">
        <v>2615664.0</v>
      </c>
      <c r="I1855" s="2">
        <v>2408226.0</v>
      </c>
      <c r="J1855" s="2">
        <v>207438.0</v>
      </c>
    </row>
    <row r="1856">
      <c r="A1856" s="2">
        <v>2026.0</v>
      </c>
      <c r="B1856" s="1" t="s">
        <v>1069</v>
      </c>
      <c r="C1856" s="2" t="s">
        <v>93</v>
      </c>
      <c r="E1856" s="2" t="s">
        <v>32</v>
      </c>
      <c r="F1856" s="2">
        <v>243742.0</v>
      </c>
      <c r="G1856" s="2">
        <v>287251.0</v>
      </c>
      <c r="H1856" s="2">
        <v>530993.0</v>
      </c>
      <c r="I1856" s="2">
        <v>390334.0</v>
      </c>
      <c r="J1856" s="2">
        <v>140659.0</v>
      </c>
    </row>
    <row r="1857">
      <c r="A1857" s="2">
        <v>2026.0</v>
      </c>
      <c r="B1857" s="1" t="s">
        <v>1069</v>
      </c>
      <c r="C1857" s="2" t="s">
        <v>93</v>
      </c>
      <c r="E1857" s="2" t="s">
        <v>1185</v>
      </c>
      <c r="F1857" s="2">
        <v>20776.0</v>
      </c>
      <c r="G1857" s="2">
        <v>90000.0</v>
      </c>
      <c r="H1857" s="2">
        <v>110776.0</v>
      </c>
      <c r="I1857" s="2">
        <v>82118.0</v>
      </c>
      <c r="J1857" s="2">
        <v>28658.0</v>
      </c>
    </row>
    <row r="1858">
      <c r="A1858" s="2">
        <v>2026.0</v>
      </c>
      <c r="B1858" s="1" t="s">
        <v>1069</v>
      </c>
      <c r="C1858" s="2" t="s">
        <v>93</v>
      </c>
      <c r="E1858" s="2" t="s">
        <v>56</v>
      </c>
      <c r="F1858" s="2">
        <v>1890082.0</v>
      </c>
      <c r="G1858" s="2">
        <v>2360494.0</v>
      </c>
      <c r="H1858" s="2">
        <v>4250576.0</v>
      </c>
      <c r="I1858" s="2">
        <v>3568371.0</v>
      </c>
      <c r="J1858" s="2">
        <v>682205.0</v>
      </c>
    </row>
    <row r="1859">
      <c r="A1859" s="2">
        <v>2026.0</v>
      </c>
      <c r="B1859" s="1" t="s">
        <v>1069</v>
      </c>
      <c r="C1859" s="2" t="s">
        <v>1186</v>
      </c>
      <c r="D1859" s="2" t="s">
        <v>1187</v>
      </c>
      <c r="E1859" s="2" t="s">
        <v>686</v>
      </c>
      <c r="F1859" s="2">
        <v>3173567.0</v>
      </c>
      <c r="G1859" s="2">
        <v>2012086.0</v>
      </c>
      <c r="H1859" s="2">
        <v>5185653.0</v>
      </c>
      <c r="I1859" s="2">
        <v>1603824.0</v>
      </c>
      <c r="J1859" s="2">
        <v>3581829.0</v>
      </c>
    </row>
    <row r="1860">
      <c r="A1860" s="2">
        <v>2026.0</v>
      </c>
      <c r="B1860" s="1" t="s">
        <v>1069</v>
      </c>
      <c r="C1860" s="2" t="s">
        <v>1186</v>
      </c>
      <c r="E1860" s="2" t="s">
        <v>32</v>
      </c>
      <c r="F1860" s="2">
        <v>105440.0</v>
      </c>
      <c r="G1860" s="2">
        <v>191641.0</v>
      </c>
      <c r="H1860" s="2">
        <v>297081.0</v>
      </c>
      <c r="I1860" s="2">
        <v>265706.0</v>
      </c>
      <c r="J1860" s="2">
        <v>31375.0</v>
      </c>
    </row>
    <row r="1861">
      <c r="A1861" s="2">
        <v>2026.0</v>
      </c>
      <c r="B1861" s="1" t="s">
        <v>1069</v>
      </c>
      <c r="C1861" s="2" t="s">
        <v>1186</v>
      </c>
      <c r="E1861" s="2" t="s">
        <v>92</v>
      </c>
      <c r="F1861" s="2">
        <v>3881085.0</v>
      </c>
      <c r="G1861" s="2">
        <v>2231232.0</v>
      </c>
      <c r="H1861" s="2">
        <v>6112317.0</v>
      </c>
      <c r="I1861" s="2">
        <v>3491584.0</v>
      </c>
      <c r="J1861" s="2">
        <v>2620733.0</v>
      </c>
    </row>
    <row r="1862">
      <c r="A1862" s="2">
        <v>2026.0</v>
      </c>
      <c r="B1862" s="1" t="s">
        <v>1069</v>
      </c>
      <c r="C1862" s="2" t="s">
        <v>1186</v>
      </c>
      <c r="D1862" s="2" t="s">
        <v>1188</v>
      </c>
      <c r="E1862" s="2" t="s">
        <v>686</v>
      </c>
      <c r="F1862" s="2">
        <v>2154376.0</v>
      </c>
      <c r="G1862" s="2">
        <v>2499741.0</v>
      </c>
      <c r="H1862" s="2">
        <v>4654117.0</v>
      </c>
      <c r="I1862" s="2">
        <v>1054823.0</v>
      </c>
      <c r="J1862" s="2">
        <v>3599294.0</v>
      </c>
    </row>
    <row r="1863">
      <c r="A1863" s="2">
        <v>2026.0</v>
      </c>
      <c r="B1863" s="1" t="s">
        <v>1069</v>
      </c>
      <c r="C1863" s="2" t="s">
        <v>1186</v>
      </c>
      <c r="E1863" s="2" t="s">
        <v>32</v>
      </c>
      <c r="F1863" s="2">
        <v>276939.0</v>
      </c>
      <c r="G1863" s="2">
        <v>345857.0</v>
      </c>
      <c r="H1863" s="2">
        <v>622796.0</v>
      </c>
      <c r="I1863" s="2">
        <v>263935.0</v>
      </c>
      <c r="J1863" s="2">
        <v>358861.0</v>
      </c>
    </row>
    <row r="1864">
      <c r="A1864" s="2">
        <v>2026.0</v>
      </c>
      <c r="B1864" s="1" t="s">
        <v>1069</v>
      </c>
      <c r="C1864" s="2" t="s">
        <v>1186</v>
      </c>
      <c r="E1864" s="2" t="s">
        <v>92</v>
      </c>
      <c r="F1864" s="2">
        <v>3614411.0</v>
      </c>
      <c r="G1864" s="2">
        <v>3404990.0</v>
      </c>
      <c r="H1864" s="2">
        <v>7019401.0</v>
      </c>
      <c r="I1864" s="2">
        <v>4922871.0</v>
      </c>
      <c r="J1864" s="2">
        <v>2096530.0</v>
      </c>
    </row>
    <row r="1865">
      <c r="A1865" s="2">
        <v>2026.0</v>
      </c>
      <c r="B1865" s="1" t="s">
        <v>1069</v>
      </c>
      <c r="C1865" s="2" t="s">
        <v>1186</v>
      </c>
      <c r="D1865" s="2" t="s">
        <v>1189</v>
      </c>
      <c r="E1865" s="2" t="s">
        <v>686</v>
      </c>
      <c r="F1865" s="2">
        <v>2558226.0</v>
      </c>
      <c r="G1865" s="2">
        <v>2620468.0</v>
      </c>
      <c r="H1865" s="2">
        <v>5178694.0</v>
      </c>
      <c r="I1865" s="2">
        <v>1325887.0</v>
      </c>
      <c r="J1865" s="2">
        <v>3852807.0</v>
      </c>
    </row>
    <row r="1866">
      <c r="A1866" s="2">
        <v>2026.0</v>
      </c>
      <c r="B1866" s="1" t="s">
        <v>1069</v>
      </c>
      <c r="C1866" s="2" t="s">
        <v>1186</v>
      </c>
      <c r="E1866" s="2" t="s">
        <v>32</v>
      </c>
      <c r="F1866" s="2">
        <v>309514.0</v>
      </c>
      <c r="G1866" s="2">
        <v>447388.0</v>
      </c>
      <c r="H1866" s="2">
        <v>756902.0</v>
      </c>
      <c r="I1866" s="2">
        <v>496585.0</v>
      </c>
      <c r="J1866" s="2">
        <v>260317.0</v>
      </c>
    </row>
    <row r="1867">
      <c r="A1867" s="2">
        <v>2026.0</v>
      </c>
      <c r="B1867" s="1" t="s">
        <v>1069</v>
      </c>
      <c r="C1867" s="2" t="s">
        <v>1186</v>
      </c>
      <c r="E1867" s="2" t="s">
        <v>56</v>
      </c>
      <c r="F1867" s="2">
        <v>5841518.0</v>
      </c>
      <c r="G1867" s="2">
        <v>3891382.0</v>
      </c>
      <c r="H1867" s="2">
        <v>9732900.0</v>
      </c>
      <c r="I1867" s="2">
        <v>4387464.0</v>
      </c>
      <c r="J1867" s="2">
        <v>5345436.0</v>
      </c>
    </row>
    <row r="1868">
      <c r="A1868" s="2">
        <v>2026.0</v>
      </c>
      <c r="B1868" s="1" t="s">
        <v>1069</v>
      </c>
      <c r="C1868" s="2" t="s">
        <v>1186</v>
      </c>
      <c r="D1868" s="2" t="s">
        <v>952</v>
      </c>
      <c r="E1868" s="2" t="s">
        <v>686</v>
      </c>
      <c r="F1868" s="2">
        <v>1272333.0</v>
      </c>
      <c r="G1868" s="2">
        <v>2117357.0</v>
      </c>
      <c r="H1868" s="2">
        <v>3389690.0</v>
      </c>
      <c r="I1868" s="2">
        <v>408500.0</v>
      </c>
      <c r="J1868" s="2">
        <v>2981190.0</v>
      </c>
    </row>
    <row r="1869">
      <c r="A1869" s="2">
        <v>2026.0</v>
      </c>
      <c r="B1869" s="1" t="s">
        <v>1069</v>
      </c>
      <c r="C1869" s="2" t="s">
        <v>1186</v>
      </c>
      <c r="E1869" s="2" t="s">
        <v>972</v>
      </c>
      <c r="F1869" s="2">
        <v>2340136.0</v>
      </c>
      <c r="G1869" s="2">
        <v>2424405.0</v>
      </c>
      <c r="H1869" s="2">
        <v>4764541.0</v>
      </c>
      <c r="I1869" s="2">
        <v>3293946.0</v>
      </c>
      <c r="J1869" s="2">
        <v>1470595.0</v>
      </c>
    </row>
    <row r="1870">
      <c r="A1870" s="2">
        <v>2026.0</v>
      </c>
      <c r="B1870" s="1" t="s">
        <v>1069</v>
      </c>
      <c r="C1870" s="2" t="s">
        <v>1186</v>
      </c>
      <c r="D1870" s="2" t="s">
        <v>949</v>
      </c>
      <c r="E1870" s="2" t="s">
        <v>686</v>
      </c>
      <c r="F1870" s="2">
        <v>2701284.0</v>
      </c>
      <c r="G1870" s="2">
        <v>1545566.0</v>
      </c>
      <c r="H1870" s="2">
        <v>4246850.0</v>
      </c>
      <c r="I1870" s="2">
        <v>2711670.0</v>
      </c>
      <c r="J1870" s="2">
        <v>1535180.0</v>
      </c>
    </row>
    <row r="1871">
      <c r="A1871" s="2">
        <v>2026.0</v>
      </c>
      <c r="B1871" s="1" t="s">
        <v>1069</v>
      </c>
      <c r="C1871" s="2" t="s">
        <v>1186</v>
      </c>
      <c r="E1871" s="2" t="s">
        <v>1085</v>
      </c>
      <c r="F1871" s="2">
        <v>3914176.0</v>
      </c>
      <c r="G1871" s="2">
        <v>3833319.0</v>
      </c>
      <c r="H1871" s="2">
        <v>7747495.0</v>
      </c>
      <c r="I1871" s="2">
        <v>6015517.0</v>
      </c>
      <c r="J1871" s="2">
        <v>1731978.0</v>
      </c>
    </row>
    <row r="1872">
      <c r="A1872" s="2">
        <v>2026.0</v>
      </c>
      <c r="B1872" s="1" t="s">
        <v>1069</v>
      </c>
      <c r="C1872" s="2" t="s">
        <v>1186</v>
      </c>
      <c r="D1872" s="2" t="s">
        <v>1190</v>
      </c>
      <c r="E1872" s="2" t="s">
        <v>686</v>
      </c>
      <c r="F1872" s="2">
        <v>3350169.0</v>
      </c>
      <c r="G1872" s="2">
        <v>2286018.0</v>
      </c>
      <c r="H1872" s="2">
        <v>5636187.0</v>
      </c>
      <c r="I1872" s="2">
        <v>1509039.0</v>
      </c>
      <c r="J1872" s="2">
        <v>4127148.0</v>
      </c>
    </row>
    <row r="1873">
      <c r="A1873" s="2">
        <v>2026.0</v>
      </c>
      <c r="B1873" s="1" t="s">
        <v>1069</v>
      </c>
      <c r="C1873" s="2" t="s">
        <v>1186</v>
      </c>
      <c r="E1873" s="2" t="s">
        <v>27</v>
      </c>
      <c r="F1873" s="2">
        <v>580893.0</v>
      </c>
      <c r="G1873" s="2">
        <v>2223229.0</v>
      </c>
      <c r="H1873" s="2">
        <v>2804122.0</v>
      </c>
      <c r="I1873" s="2">
        <v>2380687.0</v>
      </c>
      <c r="J1873" s="2">
        <v>423435.0</v>
      </c>
    </row>
    <row r="1874">
      <c r="A1874" s="2">
        <v>2026.0</v>
      </c>
      <c r="B1874" s="1" t="s">
        <v>1069</v>
      </c>
      <c r="C1874" s="2" t="s">
        <v>1186</v>
      </c>
      <c r="E1874" s="2" t="s">
        <v>394</v>
      </c>
      <c r="F1874" s="2">
        <v>5039322.0</v>
      </c>
      <c r="G1874" s="2">
        <v>997382.0</v>
      </c>
      <c r="H1874" s="2">
        <v>6036704.0</v>
      </c>
      <c r="I1874" s="2">
        <v>2154604.0</v>
      </c>
      <c r="J1874" s="2">
        <v>3882100.0</v>
      </c>
    </row>
    <row r="1875">
      <c r="A1875" s="2">
        <v>2026.0</v>
      </c>
      <c r="B1875" s="1" t="s">
        <v>1069</v>
      </c>
      <c r="C1875" s="2" t="s">
        <v>1186</v>
      </c>
      <c r="D1875" s="2" t="s">
        <v>1191</v>
      </c>
      <c r="E1875" s="2" t="s">
        <v>686</v>
      </c>
      <c r="F1875" s="2">
        <v>1277292.0</v>
      </c>
      <c r="G1875" s="2">
        <v>3844439.0</v>
      </c>
      <c r="H1875" s="2">
        <v>5121731.0</v>
      </c>
      <c r="I1875" s="2">
        <v>921959.0</v>
      </c>
      <c r="J1875" s="2">
        <v>4199772.0</v>
      </c>
    </row>
    <row r="1876">
      <c r="A1876" s="2">
        <v>2026.0</v>
      </c>
      <c r="B1876" s="1" t="s">
        <v>1069</v>
      </c>
      <c r="C1876" s="2" t="s">
        <v>1186</v>
      </c>
      <c r="E1876" s="2" t="s">
        <v>1085</v>
      </c>
      <c r="F1876" s="2">
        <v>2106020.0</v>
      </c>
      <c r="G1876" s="2">
        <v>3513043.0</v>
      </c>
      <c r="H1876" s="2">
        <v>5619063.0</v>
      </c>
      <c r="I1876" s="2">
        <v>5014963.0</v>
      </c>
      <c r="J1876" s="2">
        <v>604100.0</v>
      </c>
    </row>
    <row r="1877">
      <c r="A1877" s="2">
        <v>2026.0</v>
      </c>
      <c r="B1877" s="1" t="s">
        <v>1069</v>
      </c>
      <c r="C1877" s="2" t="s">
        <v>1186</v>
      </c>
      <c r="D1877" s="2" t="s">
        <v>1192</v>
      </c>
      <c r="E1877" s="2" t="s">
        <v>686</v>
      </c>
      <c r="F1877" s="2">
        <v>661431.0</v>
      </c>
      <c r="G1877" s="2">
        <v>1988057.0</v>
      </c>
      <c r="H1877" s="2">
        <v>2649488.0</v>
      </c>
      <c r="I1877" s="2">
        <v>1345000.0</v>
      </c>
      <c r="J1877" s="2">
        <v>1304488.0</v>
      </c>
    </row>
    <row r="1878">
      <c r="A1878" s="2">
        <v>2026.0</v>
      </c>
      <c r="B1878" s="1" t="s">
        <v>1069</v>
      </c>
      <c r="C1878" s="2" t="s">
        <v>1186</v>
      </c>
      <c r="E1878" s="2" t="s">
        <v>228</v>
      </c>
      <c r="F1878" s="2">
        <v>1295315.0</v>
      </c>
      <c r="G1878" s="2">
        <v>2437801.0</v>
      </c>
      <c r="H1878" s="2">
        <v>3733116.0</v>
      </c>
      <c r="I1878" s="2">
        <v>2624927.0</v>
      </c>
      <c r="J1878" s="2">
        <v>1108189.0</v>
      </c>
    </row>
    <row r="1879">
      <c r="A1879" s="2">
        <v>2026.0</v>
      </c>
      <c r="B1879" s="1" t="s">
        <v>1069</v>
      </c>
      <c r="C1879" s="2" t="s">
        <v>1186</v>
      </c>
      <c r="D1879" s="2" t="s">
        <v>1193</v>
      </c>
      <c r="E1879" s="2" t="s">
        <v>686</v>
      </c>
      <c r="F1879" s="2">
        <v>1395500.0</v>
      </c>
      <c r="G1879" s="2">
        <v>1394518.0</v>
      </c>
      <c r="H1879" s="2">
        <v>2790018.0</v>
      </c>
      <c r="I1879" s="2">
        <v>1220489.0</v>
      </c>
      <c r="J1879" s="2">
        <v>1569529.0</v>
      </c>
    </row>
    <row r="1880">
      <c r="A1880" s="2">
        <v>2026.0</v>
      </c>
      <c r="B1880" s="1" t="s">
        <v>1069</v>
      </c>
      <c r="C1880" s="2" t="s">
        <v>1186</v>
      </c>
      <c r="E1880" s="2" t="s">
        <v>279</v>
      </c>
      <c r="F1880" s="2">
        <v>2734486.0</v>
      </c>
      <c r="G1880" s="2">
        <v>2380552.0</v>
      </c>
      <c r="H1880" s="2">
        <v>5115038.0</v>
      </c>
      <c r="I1880" s="2">
        <v>3117725.0</v>
      </c>
      <c r="J1880" s="2">
        <v>1997313.0</v>
      </c>
    </row>
    <row r="1881">
      <c r="A1881" s="2">
        <v>2026.0</v>
      </c>
      <c r="B1881" s="1" t="s">
        <v>1069</v>
      </c>
      <c r="C1881" s="2" t="s">
        <v>1186</v>
      </c>
      <c r="E1881" s="2" t="s">
        <v>32</v>
      </c>
      <c r="F1881" s="2">
        <v>135100.0</v>
      </c>
      <c r="G1881" s="2">
        <v>72935.0</v>
      </c>
      <c r="H1881" s="2">
        <v>208035.0</v>
      </c>
      <c r="I1881" s="2">
        <v>156369.0</v>
      </c>
      <c r="J1881" s="2">
        <v>51666.0</v>
      </c>
    </row>
    <row r="1882">
      <c r="A1882" s="2">
        <v>2026.0</v>
      </c>
      <c r="B1882" s="1" t="s">
        <v>1069</v>
      </c>
      <c r="C1882" s="2" t="s">
        <v>1006</v>
      </c>
      <c r="D1882" s="2" t="s">
        <v>1194</v>
      </c>
      <c r="E1882" s="2" t="s">
        <v>686</v>
      </c>
      <c r="F1882" s="2">
        <v>4057179.0</v>
      </c>
      <c r="G1882" s="2">
        <v>4419532.0</v>
      </c>
      <c r="H1882" s="2">
        <v>8476711.0</v>
      </c>
      <c r="I1882" s="2">
        <v>3253438.0</v>
      </c>
      <c r="J1882" s="2">
        <v>5223273.0</v>
      </c>
    </row>
    <row r="1883">
      <c r="A1883" s="2">
        <v>2026.0</v>
      </c>
      <c r="B1883" s="1" t="s">
        <v>1069</v>
      </c>
      <c r="C1883" s="2" t="s">
        <v>1006</v>
      </c>
      <c r="D1883" s="2" t="s">
        <v>1194</v>
      </c>
      <c r="E1883" s="2" t="s">
        <v>749</v>
      </c>
      <c r="F1883" s="2">
        <v>2425813.0</v>
      </c>
      <c r="G1883" s="2">
        <v>1461757.0</v>
      </c>
      <c r="H1883" s="2">
        <v>3887570.0</v>
      </c>
      <c r="I1883" s="2">
        <v>2415855.0</v>
      </c>
      <c r="J1883" s="2">
        <v>1471715.0</v>
      </c>
    </row>
    <row r="1884">
      <c r="A1884" s="2">
        <v>2026.0</v>
      </c>
      <c r="B1884" s="1" t="s">
        <v>1069</v>
      </c>
      <c r="C1884" s="2" t="s">
        <v>1006</v>
      </c>
      <c r="D1884" s="2" t="s">
        <v>1194</v>
      </c>
      <c r="E1884" s="2" t="s">
        <v>32</v>
      </c>
      <c r="F1884" s="2">
        <v>144613.0</v>
      </c>
      <c r="G1884" s="2">
        <v>46372.0</v>
      </c>
      <c r="H1884" s="2">
        <v>190985.0</v>
      </c>
      <c r="I1884" s="2">
        <v>171170.0</v>
      </c>
      <c r="J1884" s="2">
        <v>19815.0</v>
      </c>
    </row>
    <row r="1885">
      <c r="A1885" s="2">
        <v>2026.0</v>
      </c>
      <c r="B1885" s="1" t="s">
        <v>1069</v>
      </c>
      <c r="C1885" s="2" t="s">
        <v>1006</v>
      </c>
      <c r="D1885" s="2" t="s">
        <v>1194</v>
      </c>
      <c r="E1885" s="2" t="s">
        <v>124</v>
      </c>
      <c r="F1885" s="2">
        <v>584337.0</v>
      </c>
      <c r="G1885" s="2">
        <v>1865277.0</v>
      </c>
      <c r="H1885" s="2">
        <v>2449614.0</v>
      </c>
      <c r="I1885" s="2">
        <v>1902452.0</v>
      </c>
      <c r="J1885" s="2">
        <v>547162.0</v>
      </c>
    </row>
    <row r="1886">
      <c r="A1886" s="2">
        <v>2026.0</v>
      </c>
      <c r="B1886" s="1" t="s">
        <v>1069</v>
      </c>
      <c r="C1886" s="2" t="s">
        <v>1006</v>
      </c>
      <c r="D1886" s="2" t="s">
        <v>1011</v>
      </c>
      <c r="E1886" s="2" t="s">
        <v>686</v>
      </c>
      <c r="F1886" s="2">
        <v>1804986.0</v>
      </c>
      <c r="G1886" s="2">
        <v>2046279.0</v>
      </c>
      <c r="H1886" s="2">
        <v>3851265.0</v>
      </c>
      <c r="I1886" s="2">
        <v>774604.0</v>
      </c>
      <c r="J1886" s="2">
        <v>3076661.0</v>
      </c>
    </row>
    <row r="1887">
      <c r="A1887" s="2">
        <v>2026.0</v>
      </c>
      <c r="B1887" s="1" t="s">
        <v>1069</v>
      </c>
      <c r="C1887" s="2" t="s">
        <v>1006</v>
      </c>
      <c r="D1887" s="2" t="s">
        <v>1011</v>
      </c>
      <c r="E1887" s="2" t="s">
        <v>749</v>
      </c>
      <c r="F1887" s="2">
        <v>1406957.0</v>
      </c>
      <c r="G1887" s="2">
        <v>777693.0</v>
      </c>
      <c r="H1887" s="2">
        <v>2184650.0</v>
      </c>
      <c r="I1887" s="2">
        <v>1118114.0</v>
      </c>
      <c r="J1887" s="2">
        <v>1066536.0</v>
      </c>
    </row>
    <row r="1888">
      <c r="A1888" s="2">
        <v>2026.0</v>
      </c>
      <c r="B1888" s="1" t="s">
        <v>1069</v>
      </c>
      <c r="C1888" s="2" t="s">
        <v>1006</v>
      </c>
      <c r="D1888" s="2" t="s">
        <v>1011</v>
      </c>
      <c r="E1888" s="2" t="s">
        <v>32</v>
      </c>
      <c r="F1888" s="2">
        <v>126874.0</v>
      </c>
      <c r="G1888" s="2">
        <v>208248.0</v>
      </c>
      <c r="H1888" s="2">
        <v>335122.0</v>
      </c>
      <c r="I1888" s="2">
        <v>238977.0</v>
      </c>
      <c r="J1888" s="2">
        <v>96145.0</v>
      </c>
    </row>
    <row r="1889">
      <c r="A1889" s="2">
        <v>2026.0</v>
      </c>
      <c r="B1889" s="1" t="s">
        <v>1069</v>
      </c>
      <c r="C1889" s="2" t="s">
        <v>1006</v>
      </c>
      <c r="D1889" s="2" t="s">
        <v>1011</v>
      </c>
      <c r="E1889" s="2" t="s">
        <v>124</v>
      </c>
      <c r="F1889" s="2">
        <v>46284.0</v>
      </c>
      <c r="G1889" s="2">
        <v>2161617.0</v>
      </c>
      <c r="H1889" s="2">
        <v>2207901.0</v>
      </c>
      <c r="I1889" s="2">
        <v>2155567.0</v>
      </c>
      <c r="J1889" s="2">
        <v>52334.0</v>
      </c>
    </row>
    <row r="1890">
      <c r="A1890" s="2">
        <v>2026.0</v>
      </c>
      <c r="B1890" s="1" t="s">
        <v>1069</v>
      </c>
      <c r="C1890" s="2" t="s">
        <v>1006</v>
      </c>
      <c r="D1890" s="2" t="s">
        <v>1195</v>
      </c>
      <c r="E1890" s="2" t="s">
        <v>686</v>
      </c>
      <c r="F1890" s="2">
        <v>1160813.0</v>
      </c>
      <c r="G1890" s="2">
        <v>1124983.0</v>
      </c>
      <c r="H1890" s="2">
        <v>2285796.0</v>
      </c>
      <c r="I1890" s="2">
        <v>633346.0</v>
      </c>
      <c r="J1890" s="2">
        <v>1652450.0</v>
      </c>
    </row>
    <row r="1891">
      <c r="A1891" s="2">
        <v>2026.0</v>
      </c>
      <c r="B1891" s="1" t="s">
        <v>1069</v>
      </c>
      <c r="C1891" s="2" t="s">
        <v>1006</v>
      </c>
      <c r="D1891" s="2" t="s">
        <v>1195</v>
      </c>
      <c r="E1891" s="2" t="s">
        <v>749</v>
      </c>
      <c r="F1891" s="2">
        <v>3107139.0</v>
      </c>
      <c r="G1891" s="2">
        <v>889446.0</v>
      </c>
      <c r="H1891" s="2">
        <v>3996585.0</v>
      </c>
      <c r="I1891" s="2">
        <v>2384286.0</v>
      </c>
      <c r="J1891" s="2">
        <v>1612299.0</v>
      </c>
    </row>
    <row r="1892">
      <c r="A1892" s="2">
        <v>2026.0</v>
      </c>
      <c r="B1892" s="1" t="s">
        <v>1069</v>
      </c>
      <c r="C1892" s="2" t="s">
        <v>1006</v>
      </c>
      <c r="D1892" s="2" t="s">
        <v>1195</v>
      </c>
      <c r="E1892" s="2" t="s">
        <v>32</v>
      </c>
      <c r="F1892" s="2">
        <v>55182.0</v>
      </c>
      <c r="G1892" s="2">
        <v>431300.0</v>
      </c>
      <c r="H1892" s="2">
        <v>486482.0</v>
      </c>
      <c r="I1892" s="2">
        <v>77768.0</v>
      </c>
      <c r="J1892" s="2">
        <v>408714.0</v>
      </c>
    </row>
    <row r="1893">
      <c r="A1893" s="2">
        <v>2026.0</v>
      </c>
      <c r="B1893" s="1" t="s">
        <v>1069</v>
      </c>
      <c r="C1893" s="2" t="s">
        <v>1006</v>
      </c>
      <c r="D1893" s="2" t="s">
        <v>1195</v>
      </c>
      <c r="E1893" s="2" t="s">
        <v>124</v>
      </c>
      <c r="F1893" s="2">
        <v>197631.0</v>
      </c>
      <c r="G1893" s="2">
        <v>1779553.0</v>
      </c>
      <c r="H1893" s="2">
        <v>1977184.0</v>
      </c>
      <c r="I1893" s="2">
        <v>1869660.0</v>
      </c>
      <c r="J1893" s="2">
        <v>107524.0</v>
      </c>
    </row>
    <row r="1894">
      <c r="A1894" s="2">
        <v>2026.0</v>
      </c>
      <c r="B1894" s="1" t="s">
        <v>1069</v>
      </c>
      <c r="C1894" s="2" t="s">
        <v>1006</v>
      </c>
      <c r="D1894" s="2" t="s">
        <v>1196</v>
      </c>
      <c r="E1894" s="2" t="s">
        <v>686</v>
      </c>
      <c r="F1894" s="2">
        <v>443514.0</v>
      </c>
      <c r="G1894" s="2">
        <v>1575960.0</v>
      </c>
      <c r="H1894" s="2">
        <v>2019474.0</v>
      </c>
      <c r="I1894" s="2">
        <v>1043651.0</v>
      </c>
      <c r="J1894" s="2">
        <v>975823.0</v>
      </c>
    </row>
    <row r="1895">
      <c r="A1895" s="2">
        <v>2026.0</v>
      </c>
      <c r="B1895" s="1" t="s">
        <v>1069</v>
      </c>
      <c r="C1895" s="2" t="s">
        <v>1006</v>
      </c>
      <c r="D1895" s="2" t="s">
        <v>1196</v>
      </c>
      <c r="E1895" s="2" t="s">
        <v>749</v>
      </c>
      <c r="F1895" s="2">
        <v>1500898.0</v>
      </c>
      <c r="G1895" s="2">
        <v>2284839.0</v>
      </c>
      <c r="H1895" s="2">
        <v>3785737.0</v>
      </c>
      <c r="I1895" s="2">
        <v>2559948.0</v>
      </c>
      <c r="J1895" s="2">
        <v>1225789.0</v>
      </c>
    </row>
    <row r="1896">
      <c r="A1896" s="2">
        <v>2026.0</v>
      </c>
      <c r="B1896" s="1" t="s">
        <v>1069</v>
      </c>
      <c r="C1896" s="2" t="s">
        <v>1006</v>
      </c>
      <c r="D1896" s="2" t="s">
        <v>1196</v>
      </c>
      <c r="E1896" s="2" t="s">
        <v>32</v>
      </c>
      <c r="F1896" s="2">
        <v>33464.0</v>
      </c>
      <c r="G1896" s="2">
        <v>103567.0</v>
      </c>
      <c r="H1896" s="2">
        <v>137031.0</v>
      </c>
      <c r="I1896" s="2">
        <v>92000.0</v>
      </c>
      <c r="J1896" s="2">
        <v>45031.0</v>
      </c>
    </row>
    <row r="1897">
      <c r="A1897" s="2">
        <v>2026.0</v>
      </c>
      <c r="B1897" s="1" t="s">
        <v>1069</v>
      </c>
      <c r="C1897" s="2" t="s">
        <v>1006</v>
      </c>
      <c r="D1897" s="2" t="s">
        <v>1197</v>
      </c>
      <c r="E1897" s="2" t="s">
        <v>686</v>
      </c>
      <c r="F1897" s="2">
        <v>547145.0</v>
      </c>
      <c r="G1897" s="2">
        <v>1690817.0</v>
      </c>
      <c r="H1897" s="2">
        <v>2237962.0</v>
      </c>
      <c r="I1897" s="2">
        <v>938477.0</v>
      </c>
      <c r="J1897" s="2">
        <v>1299485.0</v>
      </c>
    </row>
    <row r="1898">
      <c r="A1898" s="2">
        <v>2026.0</v>
      </c>
      <c r="B1898" s="1" t="s">
        <v>1069</v>
      </c>
      <c r="C1898" s="2" t="s">
        <v>1006</v>
      </c>
      <c r="D1898" s="2" t="s">
        <v>1197</v>
      </c>
      <c r="E1898" s="2" t="s">
        <v>749</v>
      </c>
      <c r="F1898" s="2">
        <v>1700534.0</v>
      </c>
      <c r="G1898" s="2">
        <v>1451064.0</v>
      </c>
      <c r="H1898" s="2">
        <v>3151598.0</v>
      </c>
      <c r="I1898" s="2">
        <v>2939622.0</v>
      </c>
      <c r="J1898" s="2">
        <v>211976.0</v>
      </c>
    </row>
    <row r="1899">
      <c r="A1899" s="2">
        <v>2026.0</v>
      </c>
      <c r="B1899" s="1" t="s">
        <v>1069</v>
      </c>
      <c r="C1899" s="2" t="s">
        <v>1006</v>
      </c>
      <c r="D1899" s="2" t="s">
        <v>1197</v>
      </c>
      <c r="E1899" s="2" t="s">
        <v>32</v>
      </c>
      <c r="F1899" s="2">
        <v>71144.0</v>
      </c>
      <c r="G1899" s="2">
        <v>63019.0</v>
      </c>
      <c r="H1899" s="2">
        <v>134163.0</v>
      </c>
      <c r="I1899" s="2">
        <v>116640.0</v>
      </c>
      <c r="J1899" s="2">
        <v>17523.0</v>
      </c>
    </row>
    <row r="1900">
      <c r="A1900" s="2">
        <v>2026.0</v>
      </c>
      <c r="B1900" s="1" t="s">
        <v>1069</v>
      </c>
      <c r="C1900" s="2" t="s">
        <v>1006</v>
      </c>
      <c r="D1900" s="2" t="s">
        <v>1197</v>
      </c>
      <c r="E1900" s="2" t="s">
        <v>124</v>
      </c>
      <c r="F1900" s="2">
        <v>44071.0</v>
      </c>
      <c r="G1900" s="2">
        <v>1843767.0</v>
      </c>
      <c r="H1900" s="2">
        <v>1887838.0</v>
      </c>
      <c r="I1900" s="2">
        <v>1868592.0</v>
      </c>
      <c r="J1900" s="2">
        <v>19246.0</v>
      </c>
    </row>
    <row r="1901">
      <c r="A1901" s="2">
        <v>2026.0</v>
      </c>
      <c r="B1901" s="1" t="s">
        <v>1069</v>
      </c>
      <c r="C1901" s="2" t="s">
        <v>1006</v>
      </c>
      <c r="D1901" s="2" t="s">
        <v>1006</v>
      </c>
      <c r="E1901" s="2" t="s">
        <v>686</v>
      </c>
      <c r="F1901" s="2">
        <v>1737253.0</v>
      </c>
      <c r="G1901" s="2">
        <v>1848486.0</v>
      </c>
      <c r="H1901" s="2">
        <v>3585739.0</v>
      </c>
      <c r="I1901" s="2">
        <v>801213.0</v>
      </c>
      <c r="J1901" s="2">
        <v>2784526.0</v>
      </c>
    </row>
    <row r="1902">
      <c r="A1902" s="2">
        <v>2026.0</v>
      </c>
      <c r="B1902" s="1" t="s">
        <v>1069</v>
      </c>
      <c r="C1902" s="2" t="s">
        <v>1006</v>
      </c>
      <c r="D1902" s="2" t="s">
        <v>1006</v>
      </c>
      <c r="E1902" s="2" t="s">
        <v>749</v>
      </c>
      <c r="F1902" s="2">
        <v>1009676.0</v>
      </c>
      <c r="G1902" s="2">
        <v>903866.0</v>
      </c>
      <c r="H1902" s="2">
        <v>1913542.0</v>
      </c>
      <c r="I1902" s="2">
        <v>1524869.0</v>
      </c>
      <c r="J1902" s="2">
        <v>388673.0</v>
      </c>
    </row>
    <row r="1903">
      <c r="A1903" s="2">
        <v>2026.0</v>
      </c>
      <c r="B1903" s="1" t="s">
        <v>1069</v>
      </c>
      <c r="C1903" s="2" t="s">
        <v>1006</v>
      </c>
      <c r="D1903" s="2" t="s">
        <v>1006</v>
      </c>
      <c r="E1903" s="2" t="s">
        <v>27</v>
      </c>
      <c r="F1903" s="2">
        <v>62719.0</v>
      </c>
      <c r="G1903" s="2">
        <v>1841168.0</v>
      </c>
      <c r="H1903" s="2">
        <v>1903887.0</v>
      </c>
      <c r="I1903" s="2">
        <v>1845010.0</v>
      </c>
      <c r="J1903" s="2">
        <v>58877.0</v>
      </c>
    </row>
    <row r="1904">
      <c r="A1904" s="2">
        <v>2026.0</v>
      </c>
      <c r="B1904" s="1" t="s">
        <v>1069</v>
      </c>
      <c r="C1904" s="2" t="s">
        <v>1006</v>
      </c>
      <c r="D1904" s="2" t="s">
        <v>1006</v>
      </c>
      <c r="E1904" s="2" t="s">
        <v>32</v>
      </c>
      <c r="F1904" s="2">
        <v>115688.0</v>
      </c>
      <c r="G1904" s="2">
        <v>230507.0</v>
      </c>
      <c r="H1904" s="2">
        <v>346195.0</v>
      </c>
      <c r="I1904" s="2">
        <v>333164.0</v>
      </c>
      <c r="J1904" s="2">
        <v>13031.0</v>
      </c>
    </row>
    <row r="1905">
      <c r="A1905" s="2">
        <v>2026.0</v>
      </c>
      <c r="B1905" s="1" t="s">
        <v>1069</v>
      </c>
      <c r="C1905" s="2" t="s">
        <v>1006</v>
      </c>
      <c r="D1905" s="2" t="s">
        <v>1198</v>
      </c>
      <c r="E1905" s="2" t="s">
        <v>686</v>
      </c>
      <c r="F1905" s="2">
        <v>0.0</v>
      </c>
      <c r="G1905" s="2">
        <v>3117098.0</v>
      </c>
      <c r="H1905" s="2">
        <v>3117098.0</v>
      </c>
      <c r="I1905" s="2">
        <v>833311.0</v>
      </c>
      <c r="J1905" s="2">
        <v>2283787.0</v>
      </c>
    </row>
    <row r="1906">
      <c r="A1906" s="2">
        <v>2026.0</v>
      </c>
      <c r="B1906" s="1" t="s">
        <v>1069</v>
      </c>
      <c r="C1906" s="2" t="s">
        <v>1006</v>
      </c>
      <c r="D1906" s="2" t="s">
        <v>1198</v>
      </c>
      <c r="E1906" s="2" t="s">
        <v>749</v>
      </c>
      <c r="F1906" s="2">
        <v>861420.0</v>
      </c>
      <c r="G1906" s="2">
        <v>1017719.0</v>
      </c>
      <c r="H1906" s="2">
        <v>1879139.0</v>
      </c>
      <c r="I1906" s="2">
        <v>1188051.0</v>
      </c>
      <c r="J1906" s="2">
        <v>691088.0</v>
      </c>
    </row>
    <row r="1907">
      <c r="A1907" s="2">
        <v>2026.0</v>
      </c>
      <c r="B1907" s="1" t="s">
        <v>1069</v>
      </c>
      <c r="C1907" s="2" t="s">
        <v>1006</v>
      </c>
      <c r="D1907" s="2" t="s">
        <v>1198</v>
      </c>
      <c r="E1907" s="2" t="s">
        <v>27</v>
      </c>
      <c r="F1907" s="2">
        <v>414629.0</v>
      </c>
      <c r="G1907" s="2">
        <v>1855629.0</v>
      </c>
      <c r="H1907" s="2">
        <v>2270258.0</v>
      </c>
      <c r="I1907" s="2">
        <v>2262631.0</v>
      </c>
      <c r="J1907" s="2">
        <v>7627.0</v>
      </c>
    </row>
    <row r="1908">
      <c r="A1908" s="2">
        <v>2026.0</v>
      </c>
      <c r="B1908" s="1" t="s">
        <v>1069</v>
      </c>
      <c r="C1908" s="2" t="s">
        <v>1006</v>
      </c>
      <c r="D1908" s="2" t="s">
        <v>1198</v>
      </c>
      <c r="E1908" s="2" t="s">
        <v>32</v>
      </c>
      <c r="F1908" s="2">
        <v>27577.0</v>
      </c>
      <c r="G1908" s="2">
        <v>64068.0</v>
      </c>
      <c r="H1908" s="2">
        <v>91645.0</v>
      </c>
      <c r="I1908" s="2">
        <v>48659.0</v>
      </c>
      <c r="J1908" s="2">
        <v>42986.0</v>
      </c>
    </row>
    <row r="1909">
      <c r="A1909" s="2">
        <v>2026.0</v>
      </c>
      <c r="B1909" s="1" t="s">
        <v>1069</v>
      </c>
      <c r="C1909" s="2" t="s">
        <v>618</v>
      </c>
      <c r="D1909" s="2" t="s">
        <v>1029</v>
      </c>
      <c r="E1909" s="2" t="s">
        <v>686</v>
      </c>
      <c r="F1909" s="2">
        <v>2516732.0</v>
      </c>
      <c r="G1909" s="2">
        <v>2942917.0</v>
      </c>
      <c r="H1909" s="2">
        <v>5459649.0</v>
      </c>
      <c r="I1909" s="2">
        <v>1168070.0</v>
      </c>
      <c r="J1909" s="2">
        <v>4291579.0</v>
      </c>
    </row>
    <row r="1910">
      <c r="A1910" s="2">
        <v>2026.0</v>
      </c>
      <c r="B1910" s="1" t="s">
        <v>1069</v>
      </c>
      <c r="C1910" s="2" t="s">
        <v>618</v>
      </c>
      <c r="D1910" s="2" t="s">
        <v>1029</v>
      </c>
      <c r="E1910" s="2" t="s">
        <v>749</v>
      </c>
      <c r="F1910" s="2">
        <v>3963504.0</v>
      </c>
      <c r="G1910" s="2">
        <v>1031070.0</v>
      </c>
      <c r="H1910" s="2">
        <v>4994574.0</v>
      </c>
      <c r="I1910" s="2">
        <v>1798823.0</v>
      </c>
      <c r="J1910" s="2">
        <v>3195751.0</v>
      </c>
    </row>
    <row r="1911">
      <c r="A1911" s="2">
        <v>2026.0</v>
      </c>
      <c r="B1911" s="1" t="s">
        <v>1069</v>
      </c>
      <c r="C1911" s="2" t="s">
        <v>618</v>
      </c>
      <c r="D1911" s="2" t="s">
        <v>1029</v>
      </c>
      <c r="E1911" s="2" t="s">
        <v>32</v>
      </c>
      <c r="F1911" s="2">
        <v>1026874.0</v>
      </c>
      <c r="G1911" s="2">
        <v>137900.0</v>
      </c>
      <c r="H1911" s="2">
        <v>1164774.0</v>
      </c>
      <c r="I1911" s="2">
        <v>692755.0</v>
      </c>
      <c r="J1911" s="2">
        <v>472019.0</v>
      </c>
    </row>
    <row r="1912">
      <c r="A1912" s="2">
        <v>2026.0</v>
      </c>
      <c r="B1912" s="1" t="s">
        <v>1069</v>
      </c>
      <c r="C1912" s="2" t="s">
        <v>618</v>
      </c>
      <c r="D1912" s="2" t="s">
        <v>1029</v>
      </c>
      <c r="E1912" s="2" t="s">
        <v>124</v>
      </c>
      <c r="F1912" s="2">
        <v>188555.0</v>
      </c>
      <c r="G1912" s="2">
        <v>2925061.0</v>
      </c>
      <c r="H1912" s="2">
        <v>3113616.0</v>
      </c>
      <c r="I1912" s="2">
        <v>2969414.0</v>
      </c>
      <c r="J1912" s="2">
        <v>144202.0</v>
      </c>
    </row>
    <row r="1913">
      <c r="A1913" s="2">
        <v>2026.0</v>
      </c>
      <c r="B1913" s="1" t="s">
        <v>1069</v>
      </c>
      <c r="C1913" s="2" t="s">
        <v>618</v>
      </c>
      <c r="D1913" s="2" t="s">
        <v>618</v>
      </c>
      <c r="E1913" s="2" t="s">
        <v>686</v>
      </c>
      <c r="F1913" s="2">
        <v>5354301.0</v>
      </c>
      <c r="G1913" s="2">
        <v>5480935.0</v>
      </c>
      <c r="H1913" s="2">
        <v>1.0835236E7</v>
      </c>
      <c r="I1913" s="2">
        <v>2809949.0</v>
      </c>
      <c r="J1913" s="2">
        <v>8025287.0</v>
      </c>
    </row>
    <row r="1914">
      <c r="A1914" s="2">
        <v>2026.0</v>
      </c>
      <c r="B1914" s="1" t="s">
        <v>1069</v>
      </c>
      <c r="C1914" s="2" t="s">
        <v>618</v>
      </c>
      <c r="D1914" s="2" t="s">
        <v>618</v>
      </c>
      <c r="E1914" s="2" t="s">
        <v>279</v>
      </c>
      <c r="F1914" s="2">
        <v>9837256.0</v>
      </c>
      <c r="G1914" s="2">
        <v>4622006.0</v>
      </c>
      <c r="H1914" s="2">
        <v>1.4459262E7</v>
      </c>
      <c r="I1914" s="2">
        <v>4679293.0</v>
      </c>
      <c r="J1914" s="2">
        <v>9779969.0</v>
      </c>
    </row>
    <row r="1915">
      <c r="A1915" s="2">
        <v>2026.0</v>
      </c>
      <c r="B1915" s="1" t="s">
        <v>1069</v>
      </c>
      <c r="C1915" s="2" t="s">
        <v>618</v>
      </c>
      <c r="D1915" s="2" t="s">
        <v>618</v>
      </c>
      <c r="E1915" s="2" t="s">
        <v>32</v>
      </c>
      <c r="F1915" s="2">
        <v>557508.0</v>
      </c>
      <c r="G1915" s="2">
        <v>274850.0</v>
      </c>
      <c r="H1915" s="2">
        <v>832358.0</v>
      </c>
      <c r="I1915" s="2">
        <v>269874.0</v>
      </c>
      <c r="J1915" s="2">
        <v>562484.0</v>
      </c>
    </row>
    <row r="1916">
      <c r="A1916" s="2">
        <v>2026.0</v>
      </c>
      <c r="B1916" s="1" t="s">
        <v>1069</v>
      </c>
      <c r="C1916" s="2" t="s">
        <v>618</v>
      </c>
      <c r="D1916" s="2" t="s">
        <v>619</v>
      </c>
      <c r="E1916" s="2" t="s">
        <v>686</v>
      </c>
      <c r="F1916" s="2">
        <v>1562350.0</v>
      </c>
      <c r="G1916" s="2">
        <v>1667540.0</v>
      </c>
      <c r="H1916" s="2">
        <v>3229890.0</v>
      </c>
      <c r="I1916" s="2">
        <v>428765.0</v>
      </c>
      <c r="J1916" s="2">
        <v>2801125.0</v>
      </c>
    </row>
    <row r="1917">
      <c r="A1917" s="2">
        <v>2026.0</v>
      </c>
      <c r="B1917" s="1" t="s">
        <v>1069</v>
      </c>
      <c r="C1917" s="2" t="s">
        <v>618</v>
      </c>
      <c r="D1917" s="2" t="s">
        <v>619</v>
      </c>
      <c r="E1917" s="2" t="s">
        <v>749</v>
      </c>
      <c r="F1917" s="2">
        <v>2798521.0</v>
      </c>
      <c r="G1917" s="2">
        <v>1144458.0</v>
      </c>
      <c r="H1917" s="2">
        <v>3942979.0</v>
      </c>
      <c r="I1917" s="2">
        <v>1650213.0</v>
      </c>
      <c r="J1917" s="2">
        <v>2292766.0</v>
      </c>
    </row>
    <row r="1918">
      <c r="A1918" s="2">
        <v>2026.0</v>
      </c>
      <c r="B1918" s="1" t="s">
        <v>1069</v>
      </c>
      <c r="C1918" s="2" t="s">
        <v>618</v>
      </c>
      <c r="D1918" s="2" t="s">
        <v>619</v>
      </c>
      <c r="E1918" s="2" t="s">
        <v>32</v>
      </c>
      <c r="F1918" s="2">
        <v>1118100.0</v>
      </c>
      <c r="G1918" s="2">
        <v>218532.0</v>
      </c>
      <c r="H1918" s="2">
        <v>1336632.0</v>
      </c>
      <c r="I1918" s="2">
        <v>135426.0</v>
      </c>
      <c r="J1918" s="2">
        <v>1201206.0</v>
      </c>
    </row>
    <row r="1919">
      <c r="A1919" s="2">
        <v>2026.0</v>
      </c>
      <c r="B1919" s="1" t="s">
        <v>1069</v>
      </c>
      <c r="C1919" s="2" t="s">
        <v>618</v>
      </c>
      <c r="D1919" s="2" t="s">
        <v>619</v>
      </c>
      <c r="E1919" s="2" t="s">
        <v>124</v>
      </c>
      <c r="F1919" s="2">
        <v>379762.0</v>
      </c>
      <c r="G1919" s="2">
        <v>2470833.0</v>
      </c>
      <c r="H1919" s="2">
        <v>2850595.0</v>
      </c>
      <c r="I1919" s="2">
        <v>2603213.0</v>
      </c>
      <c r="J1919" s="2">
        <v>247382.0</v>
      </c>
    </row>
    <row r="1920">
      <c r="A1920" s="2">
        <v>2026.0</v>
      </c>
      <c r="B1920" s="1" t="s">
        <v>1069</v>
      </c>
      <c r="C1920" s="2" t="s">
        <v>618</v>
      </c>
      <c r="D1920" s="2" t="s">
        <v>621</v>
      </c>
      <c r="E1920" s="2" t="s">
        <v>686</v>
      </c>
      <c r="F1920" s="2">
        <v>2360162.0</v>
      </c>
      <c r="G1920" s="2">
        <v>1738697.0</v>
      </c>
      <c r="H1920" s="2">
        <v>4098859.0</v>
      </c>
      <c r="I1920" s="2">
        <v>1396506.0</v>
      </c>
      <c r="J1920" s="2">
        <v>2702353.0</v>
      </c>
    </row>
    <row r="1921">
      <c r="A1921" s="2">
        <v>2026.0</v>
      </c>
      <c r="B1921" s="1" t="s">
        <v>1069</v>
      </c>
      <c r="C1921" s="2" t="s">
        <v>618</v>
      </c>
      <c r="D1921" s="2" t="s">
        <v>621</v>
      </c>
      <c r="E1921" s="2" t="s">
        <v>749</v>
      </c>
      <c r="F1921" s="2">
        <v>4319528.0</v>
      </c>
      <c r="G1921" s="2">
        <v>2763136.0</v>
      </c>
      <c r="H1921" s="2">
        <v>7082664.0</v>
      </c>
      <c r="I1921" s="2">
        <v>2327505.0</v>
      </c>
      <c r="J1921" s="2">
        <v>4755159.0</v>
      </c>
    </row>
    <row r="1922">
      <c r="A1922" s="2">
        <v>2026.0</v>
      </c>
      <c r="B1922" s="1" t="s">
        <v>1069</v>
      </c>
      <c r="C1922" s="2" t="s">
        <v>618</v>
      </c>
      <c r="D1922" s="2" t="s">
        <v>621</v>
      </c>
      <c r="E1922" s="2" t="s">
        <v>32</v>
      </c>
      <c r="F1922" s="2">
        <v>504107.0</v>
      </c>
      <c r="G1922" s="2">
        <v>428277.0</v>
      </c>
      <c r="H1922" s="2">
        <v>932384.0</v>
      </c>
      <c r="I1922" s="2">
        <v>513505.0</v>
      </c>
      <c r="J1922" s="2">
        <v>418879.0</v>
      </c>
    </row>
    <row r="1923">
      <c r="A1923" s="2">
        <v>2026.0</v>
      </c>
      <c r="B1923" s="1" t="s">
        <v>1069</v>
      </c>
      <c r="C1923" s="2" t="s">
        <v>764</v>
      </c>
      <c r="D1923" s="2" t="s">
        <v>1199</v>
      </c>
      <c r="E1923" s="2" t="s">
        <v>686</v>
      </c>
      <c r="F1923" s="2">
        <v>826747.0</v>
      </c>
      <c r="G1923" s="2">
        <v>2178266.0</v>
      </c>
      <c r="H1923" s="2">
        <v>3005013.0</v>
      </c>
      <c r="I1923" s="2">
        <v>1352070.0</v>
      </c>
      <c r="J1923" s="2">
        <v>1652943.0</v>
      </c>
    </row>
    <row r="1924">
      <c r="A1924" s="2">
        <v>2026.0</v>
      </c>
      <c r="B1924" s="1" t="s">
        <v>1069</v>
      </c>
      <c r="C1924" s="2" t="s">
        <v>764</v>
      </c>
      <c r="D1924" s="2" t="s">
        <v>1199</v>
      </c>
      <c r="E1924" s="2" t="s">
        <v>32</v>
      </c>
      <c r="F1924" s="2">
        <v>74525.0</v>
      </c>
      <c r="G1924" s="2">
        <v>180286.0</v>
      </c>
      <c r="H1924" s="2">
        <v>254811.0</v>
      </c>
      <c r="I1924" s="2">
        <v>169840.0</v>
      </c>
      <c r="J1924" s="2">
        <v>84971.0</v>
      </c>
    </row>
    <row r="1925">
      <c r="A1925" s="2">
        <v>2026.0</v>
      </c>
      <c r="B1925" s="1" t="s">
        <v>1069</v>
      </c>
      <c r="C1925" s="2" t="s">
        <v>764</v>
      </c>
      <c r="D1925" s="2" t="s">
        <v>1199</v>
      </c>
      <c r="E1925" s="2" t="s">
        <v>56</v>
      </c>
      <c r="F1925" s="2">
        <v>1110101.0</v>
      </c>
      <c r="G1925" s="2">
        <v>2471955.0</v>
      </c>
      <c r="H1925" s="2">
        <v>3582056.0</v>
      </c>
      <c r="I1925" s="2">
        <v>3072501.0</v>
      </c>
      <c r="J1925" s="2">
        <v>509555.0</v>
      </c>
    </row>
    <row r="1926">
      <c r="A1926" s="2">
        <v>2026.0</v>
      </c>
      <c r="B1926" s="1" t="s">
        <v>1069</v>
      </c>
      <c r="C1926" s="2" t="s">
        <v>764</v>
      </c>
      <c r="D1926" s="2" t="s">
        <v>884</v>
      </c>
      <c r="E1926" s="2" t="s">
        <v>686</v>
      </c>
      <c r="F1926" s="2">
        <v>954666.0</v>
      </c>
      <c r="G1926" s="2">
        <v>838153.0</v>
      </c>
      <c r="H1926" s="2">
        <v>1792819.0</v>
      </c>
      <c r="I1926" s="2">
        <v>743514.0</v>
      </c>
      <c r="J1926" s="2">
        <v>1049305.0</v>
      </c>
    </row>
    <row r="1927">
      <c r="A1927" s="2">
        <v>2026.0</v>
      </c>
      <c r="B1927" s="1" t="s">
        <v>1069</v>
      </c>
      <c r="C1927" s="2" t="s">
        <v>764</v>
      </c>
      <c r="D1927" s="2" t="s">
        <v>884</v>
      </c>
      <c r="E1927" s="2" t="s">
        <v>394</v>
      </c>
      <c r="F1927" s="2">
        <v>2264272.0</v>
      </c>
      <c r="G1927" s="2">
        <v>2088329.0</v>
      </c>
      <c r="H1927" s="2">
        <v>4352601.0</v>
      </c>
      <c r="I1927" s="2">
        <v>3075279.0</v>
      </c>
      <c r="J1927" s="2">
        <v>1277322.0</v>
      </c>
    </row>
    <row r="1928">
      <c r="A1928" s="2">
        <v>2026.0</v>
      </c>
      <c r="B1928" s="1" t="s">
        <v>1069</v>
      </c>
      <c r="C1928" s="2" t="s">
        <v>764</v>
      </c>
      <c r="D1928" s="2" t="s">
        <v>487</v>
      </c>
      <c r="E1928" s="2" t="s">
        <v>686</v>
      </c>
      <c r="F1928" s="2">
        <v>2123098.0</v>
      </c>
      <c r="G1928" s="2">
        <v>1734647.0</v>
      </c>
      <c r="H1928" s="2">
        <v>3857745.0</v>
      </c>
      <c r="I1928" s="2">
        <v>885354.0</v>
      </c>
      <c r="J1928" s="2">
        <v>2972391.0</v>
      </c>
    </row>
    <row r="1929">
      <c r="A1929" s="2">
        <v>2026.0</v>
      </c>
      <c r="B1929" s="1" t="s">
        <v>1069</v>
      </c>
      <c r="C1929" s="2" t="s">
        <v>764</v>
      </c>
      <c r="D1929" s="2" t="s">
        <v>487</v>
      </c>
      <c r="E1929" s="2" t="s">
        <v>32</v>
      </c>
      <c r="F1929" s="2">
        <v>285363.0</v>
      </c>
      <c r="G1929" s="2">
        <v>132162.0</v>
      </c>
      <c r="H1929" s="2">
        <v>417525.0</v>
      </c>
      <c r="I1929" s="2">
        <v>216000.0</v>
      </c>
      <c r="J1929" s="2">
        <v>201525.0</v>
      </c>
    </row>
    <row r="1930">
      <c r="A1930" s="2">
        <v>2026.0</v>
      </c>
      <c r="B1930" s="1" t="s">
        <v>1069</v>
      </c>
      <c r="C1930" s="2" t="s">
        <v>764</v>
      </c>
      <c r="D1930" s="2" t="s">
        <v>487</v>
      </c>
      <c r="E1930" s="2" t="s">
        <v>56</v>
      </c>
      <c r="F1930" s="2">
        <v>4942211.0</v>
      </c>
      <c r="G1930" s="2">
        <v>3206373.0</v>
      </c>
      <c r="H1930" s="2">
        <v>8148584.0</v>
      </c>
      <c r="I1930" s="2">
        <v>3267559.0</v>
      </c>
      <c r="J1930" s="2">
        <v>4881025.0</v>
      </c>
    </row>
    <row r="1931">
      <c r="A1931" s="2">
        <v>2026.0</v>
      </c>
      <c r="B1931" s="1" t="s">
        <v>1069</v>
      </c>
      <c r="C1931" s="2" t="s">
        <v>623</v>
      </c>
      <c r="D1931" s="2" t="s">
        <v>1202</v>
      </c>
      <c r="E1931" s="2" t="s">
        <v>686</v>
      </c>
      <c r="F1931" s="2">
        <v>1130327.0</v>
      </c>
      <c r="G1931" s="2">
        <v>1332331.0</v>
      </c>
      <c r="H1931" s="2">
        <v>2462658.0</v>
      </c>
      <c r="I1931" s="2">
        <v>555809.0</v>
      </c>
      <c r="J1931" s="2">
        <v>1906849.0</v>
      </c>
    </row>
    <row r="1932">
      <c r="A1932" s="2">
        <v>2026.0</v>
      </c>
      <c r="B1932" s="1" t="s">
        <v>1069</v>
      </c>
      <c r="C1932" s="2" t="s">
        <v>623</v>
      </c>
      <c r="D1932" s="2" t="s">
        <v>1202</v>
      </c>
      <c r="E1932" s="2" t="s">
        <v>32</v>
      </c>
      <c r="F1932" s="2">
        <v>76922.0</v>
      </c>
      <c r="G1932" s="2">
        <v>25214.0</v>
      </c>
      <c r="H1932" s="2">
        <v>102136.0</v>
      </c>
      <c r="I1932" s="2">
        <v>64500.0</v>
      </c>
      <c r="J1932" s="2">
        <v>37636.0</v>
      </c>
    </row>
    <row r="1933">
      <c r="A1933" s="2">
        <v>2026.0</v>
      </c>
      <c r="B1933" s="1" t="s">
        <v>1069</v>
      </c>
      <c r="C1933" s="2" t="s">
        <v>623</v>
      </c>
      <c r="D1933" s="2" t="s">
        <v>1202</v>
      </c>
      <c r="E1933" s="2" t="s">
        <v>56</v>
      </c>
      <c r="F1933" s="2">
        <v>822220.0</v>
      </c>
      <c r="G1933" s="2">
        <v>2699979.0</v>
      </c>
      <c r="H1933" s="2">
        <v>3522199.0</v>
      </c>
      <c r="I1933" s="2">
        <v>2875799.0</v>
      </c>
      <c r="J1933" s="2">
        <v>646400.0</v>
      </c>
    </row>
    <row r="1934">
      <c r="A1934" s="2">
        <v>2026.0</v>
      </c>
      <c r="B1934" s="1" t="s">
        <v>1069</v>
      </c>
      <c r="C1934" s="2" t="s">
        <v>623</v>
      </c>
      <c r="D1934" s="2" t="s">
        <v>1204</v>
      </c>
      <c r="E1934" s="2" t="s">
        <v>686</v>
      </c>
      <c r="F1934" s="2">
        <v>822895.0</v>
      </c>
      <c r="G1934" s="2">
        <v>587417.0</v>
      </c>
      <c r="H1934" s="2">
        <v>1410312.0</v>
      </c>
      <c r="I1934" s="2">
        <v>0.0</v>
      </c>
      <c r="J1934" s="2">
        <v>1410312.0</v>
      </c>
    </row>
    <row r="1935">
      <c r="A1935" s="2">
        <v>2026.0</v>
      </c>
      <c r="B1935" s="1" t="s">
        <v>1069</v>
      </c>
      <c r="C1935" s="2" t="s">
        <v>623</v>
      </c>
      <c r="D1935" s="2" t="s">
        <v>1204</v>
      </c>
      <c r="E1935" s="2" t="s">
        <v>394</v>
      </c>
      <c r="F1935" s="2">
        <v>1037876.0</v>
      </c>
      <c r="G1935" s="2">
        <v>754191.0</v>
      </c>
      <c r="H1935" s="2">
        <v>1792067.0</v>
      </c>
      <c r="I1935" s="2">
        <v>1170110.0</v>
      </c>
      <c r="J1935" s="2">
        <v>621957.0</v>
      </c>
    </row>
    <row r="1936">
      <c r="A1936" s="2">
        <v>2026.0</v>
      </c>
      <c r="B1936" s="1" t="s">
        <v>1069</v>
      </c>
      <c r="C1936" s="2" t="s">
        <v>623</v>
      </c>
      <c r="D1936" s="2" t="s">
        <v>1206</v>
      </c>
      <c r="E1936" s="2" t="s">
        <v>686</v>
      </c>
      <c r="F1936" s="2">
        <v>338256.0</v>
      </c>
      <c r="G1936" s="2">
        <v>1009809.0</v>
      </c>
      <c r="H1936" s="2">
        <v>1348065.0</v>
      </c>
      <c r="I1936" s="2">
        <v>172000.0</v>
      </c>
      <c r="J1936" s="2">
        <v>1176065.0</v>
      </c>
    </row>
    <row r="1937">
      <c r="A1937" s="2">
        <v>2026.0</v>
      </c>
      <c r="B1937" s="1" t="s">
        <v>1069</v>
      </c>
      <c r="C1937" s="2" t="s">
        <v>623</v>
      </c>
      <c r="D1937" s="2" t="s">
        <v>1206</v>
      </c>
      <c r="E1937" s="2" t="s">
        <v>32</v>
      </c>
      <c r="F1937" s="2">
        <v>4293.0</v>
      </c>
      <c r="G1937" s="2">
        <v>46164.0</v>
      </c>
      <c r="H1937" s="2">
        <v>50457.0</v>
      </c>
      <c r="I1937" s="2">
        <v>1416.0</v>
      </c>
      <c r="J1937" s="2">
        <v>49041.0</v>
      </c>
    </row>
    <row r="1938">
      <c r="A1938" s="2">
        <v>2026.0</v>
      </c>
      <c r="B1938" s="1" t="s">
        <v>1069</v>
      </c>
      <c r="C1938" s="2" t="s">
        <v>623</v>
      </c>
      <c r="D1938" s="2" t="s">
        <v>1206</v>
      </c>
      <c r="E1938" s="2" t="s">
        <v>56</v>
      </c>
      <c r="F1938" s="2">
        <v>649460.0</v>
      </c>
      <c r="G1938" s="2">
        <v>1908412.0</v>
      </c>
      <c r="H1938" s="2">
        <v>2557872.0</v>
      </c>
      <c r="I1938" s="2">
        <v>2236199.0</v>
      </c>
      <c r="J1938" s="2">
        <v>321673.0</v>
      </c>
    </row>
    <row r="1939">
      <c r="A1939" s="2">
        <v>2026.0</v>
      </c>
      <c r="B1939" s="1" t="s">
        <v>1069</v>
      </c>
      <c r="C1939" s="2" t="s">
        <v>623</v>
      </c>
      <c r="D1939" s="2" t="s">
        <v>815</v>
      </c>
      <c r="E1939" s="2" t="s">
        <v>686</v>
      </c>
      <c r="F1939" s="2">
        <v>492470.0</v>
      </c>
      <c r="G1939" s="2">
        <v>1373461.0</v>
      </c>
      <c r="H1939" s="2">
        <v>1865931.0</v>
      </c>
      <c r="I1939" s="2">
        <v>824914.0</v>
      </c>
      <c r="J1939" s="2">
        <v>1041017.0</v>
      </c>
    </row>
    <row r="1940">
      <c r="A1940" s="2">
        <v>2026.0</v>
      </c>
      <c r="B1940" s="1" t="s">
        <v>1069</v>
      </c>
      <c r="C1940" s="2" t="s">
        <v>623</v>
      </c>
      <c r="D1940" s="2" t="s">
        <v>815</v>
      </c>
      <c r="E1940" s="2" t="s">
        <v>32</v>
      </c>
      <c r="F1940" s="2">
        <v>62346.0</v>
      </c>
      <c r="G1940" s="2">
        <v>47746.0</v>
      </c>
      <c r="H1940" s="2">
        <v>110092.0</v>
      </c>
      <c r="I1940" s="2">
        <v>66921.0</v>
      </c>
      <c r="J1940" s="2">
        <v>43171.0</v>
      </c>
    </row>
    <row r="1941">
      <c r="A1941" s="2">
        <v>2026.0</v>
      </c>
      <c r="B1941" s="1" t="s">
        <v>1069</v>
      </c>
      <c r="C1941" s="2" t="s">
        <v>623</v>
      </c>
      <c r="D1941" s="2" t="s">
        <v>815</v>
      </c>
      <c r="E1941" s="2" t="s">
        <v>56</v>
      </c>
      <c r="F1941" s="2">
        <v>428005.0</v>
      </c>
      <c r="G1941" s="2">
        <v>2335393.0</v>
      </c>
      <c r="H1941" s="2">
        <v>2763398.0</v>
      </c>
      <c r="I1941" s="2">
        <v>2407108.0</v>
      </c>
      <c r="J1941" s="2">
        <v>356290.0</v>
      </c>
    </row>
    <row r="1942">
      <c r="A1942" s="2">
        <v>2026.0</v>
      </c>
      <c r="B1942" s="1" t="s">
        <v>1069</v>
      </c>
      <c r="C1942" s="2" t="s">
        <v>623</v>
      </c>
      <c r="D1942" s="2" t="s">
        <v>1208</v>
      </c>
      <c r="E1942" s="2" t="s">
        <v>686</v>
      </c>
      <c r="F1942" s="2">
        <v>1684218.0</v>
      </c>
      <c r="G1942" s="2">
        <v>2208872.0</v>
      </c>
      <c r="H1942" s="2">
        <v>3893090.0</v>
      </c>
      <c r="I1942" s="2">
        <v>1745464.0</v>
      </c>
      <c r="J1942" s="2">
        <v>2147626.0</v>
      </c>
    </row>
    <row r="1943">
      <c r="A1943" s="2">
        <v>2026.0</v>
      </c>
      <c r="B1943" s="1" t="s">
        <v>1069</v>
      </c>
      <c r="C1943" s="2" t="s">
        <v>623</v>
      </c>
      <c r="D1943" s="2" t="s">
        <v>1208</v>
      </c>
      <c r="E1943" s="2" t="s">
        <v>988</v>
      </c>
      <c r="F1943" s="2">
        <v>97736.0</v>
      </c>
      <c r="G1943" s="2">
        <v>37497.0</v>
      </c>
      <c r="H1943" s="2">
        <v>135233.0</v>
      </c>
      <c r="I1943" s="2">
        <v>128321.0</v>
      </c>
      <c r="J1943" s="2">
        <v>6912.0</v>
      </c>
    </row>
    <row r="1944">
      <c r="A1944" s="2">
        <v>2026.0</v>
      </c>
      <c r="B1944" s="1" t="s">
        <v>1069</v>
      </c>
      <c r="C1944" s="2" t="s">
        <v>623</v>
      </c>
      <c r="D1944" s="2" t="s">
        <v>1208</v>
      </c>
      <c r="E1944" s="2" t="s">
        <v>712</v>
      </c>
      <c r="F1944" s="2">
        <v>7309.0</v>
      </c>
      <c r="G1944" s="2">
        <v>31445.0</v>
      </c>
      <c r="H1944" s="2">
        <v>38754.0</v>
      </c>
      <c r="I1944" s="2">
        <v>17000.0</v>
      </c>
      <c r="J1944" s="2">
        <v>21754.0</v>
      </c>
    </row>
    <row r="1945">
      <c r="A1945" s="2">
        <v>2026.0</v>
      </c>
      <c r="B1945" s="1" t="s">
        <v>1069</v>
      </c>
      <c r="C1945" s="2" t="s">
        <v>623</v>
      </c>
      <c r="D1945" s="2" t="s">
        <v>1208</v>
      </c>
      <c r="E1945" s="2" t="s">
        <v>56</v>
      </c>
      <c r="F1945" s="2">
        <v>425842.0</v>
      </c>
      <c r="G1945" s="2">
        <v>924677.0</v>
      </c>
      <c r="H1945" s="2">
        <v>1350519.0</v>
      </c>
      <c r="I1945" s="2">
        <v>1221827.0</v>
      </c>
      <c r="J1945" s="2">
        <v>128692.0</v>
      </c>
    </row>
    <row r="1946">
      <c r="A1946" s="2">
        <v>2026.0</v>
      </c>
      <c r="B1946" s="1" t="s">
        <v>1069</v>
      </c>
      <c r="C1946" s="2" t="s">
        <v>623</v>
      </c>
      <c r="D1946" s="2" t="s">
        <v>818</v>
      </c>
      <c r="E1946" s="2" t="s">
        <v>686</v>
      </c>
      <c r="F1946" s="2">
        <v>1822064.0</v>
      </c>
      <c r="G1946" s="2">
        <v>2199860.0</v>
      </c>
      <c r="H1946" s="2">
        <v>4021924.0</v>
      </c>
      <c r="I1946" s="2">
        <v>1268889.0</v>
      </c>
      <c r="J1946" s="2">
        <v>2753035.0</v>
      </c>
    </row>
    <row r="1947">
      <c r="A1947" s="2">
        <v>2026.0</v>
      </c>
      <c r="B1947" s="1" t="s">
        <v>1069</v>
      </c>
      <c r="C1947" s="2" t="s">
        <v>623</v>
      </c>
      <c r="D1947" s="2" t="s">
        <v>818</v>
      </c>
      <c r="E1947" s="2" t="s">
        <v>32</v>
      </c>
      <c r="F1947" s="2">
        <v>84703.0</v>
      </c>
      <c r="G1947" s="2">
        <v>273449.0</v>
      </c>
      <c r="H1947" s="2">
        <v>358152.0</v>
      </c>
      <c r="I1947" s="2">
        <v>126586.0</v>
      </c>
      <c r="J1947" s="2">
        <v>231566.0</v>
      </c>
    </row>
    <row r="1948">
      <c r="A1948" s="2">
        <v>2026.0</v>
      </c>
      <c r="B1948" s="1" t="s">
        <v>1069</v>
      </c>
      <c r="C1948" s="2" t="s">
        <v>623</v>
      </c>
      <c r="D1948" s="2" t="s">
        <v>818</v>
      </c>
      <c r="E1948" s="2" t="s">
        <v>56</v>
      </c>
      <c r="F1948" s="2">
        <v>3734598.0</v>
      </c>
      <c r="G1948" s="2">
        <v>2908729.0</v>
      </c>
      <c r="H1948" s="2">
        <v>6643327.0</v>
      </c>
      <c r="I1948" s="2">
        <v>2842497.0</v>
      </c>
      <c r="J1948" s="2">
        <v>3800830.0</v>
      </c>
    </row>
    <row r="1949">
      <c r="A1949" s="2">
        <v>2026.0</v>
      </c>
      <c r="B1949" s="1" t="s">
        <v>1069</v>
      </c>
      <c r="C1949" s="2" t="s">
        <v>623</v>
      </c>
      <c r="D1949" s="2" t="s">
        <v>623</v>
      </c>
      <c r="E1949" s="2" t="s">
        <v>686</v>
      </c>
      <c r="F1949" s="2">
        <v>651553.0</v>
      </c>
      <c r="G1949" s="2">
        <v>1775014.0</v>
      </c>
      <c r="H1949" s="2">
        <v>2426567.0</v>
      </c>
      <c r="I1949" s="2">
        <v>1141348.0</v>
      </c>
      <c r="J1949" s="2">
        <v>1285219.0</v>
      </c>
    </row>
    <row r="1950">
      <c r="A1950" s="2">
        <v>2026.0</v>
      </c>
      <c r="B1950" s="1" t="s">
        <v>1069</v>
      </c>
      <c r="C1950" s="2" t="s">
        <v>623</v>
      </c>
      <c r="D1950" s="2" t="s">
        <v>623</v>
      </c>
      <c r="E1950" s="2" t="s">
        <v>1212</v>
      </c>
      <c r="F1950" s="2">
        <v>260782.0</v>
      </c>
      <c r="G1950" s="2">
        <v>1012600.0</v>
      </c>
      <c r="H1950" s="2">
        <v>1273382.0</v>
      </c>
      <c r="I1950" s="2">
        <v>1110828.0</v>
      </c>
      <c r="J1950" s="2">
        <v>162554.0</v>
      </c>
    </row>
    <row r="1951">
      <c r="A1951" s="2">
        <v>2026.0</v>
      </c>
      <c r="B1951" s="1" t="s">
        <v>1069</v>
      </c>
      <c r="C1951" s="2" t="s">
        <v>623</v>
      </c>
      <c r="D1951" s="2" t="s">
        <v>623</v>
      </c>
      <c r="E1951" s="2" t="s">
        <v>32</v>
      </c>
      <c r="F1951" s="2">
        <v>3218.0</v>
      </c>
      <c r="G1951" s="2">
        <v>879971.0</v>
      </c>
      <c r="H1951" s="2">
        <v>883189.0</v>
      </c>
      <c r="I1951" s="2">
        <v>859774.0</v>
      </c>
      <c r="J1951" s="2">
        <v>23415.0</v>
      </c>
    </row>
    <row r="1952">
      <c r="A1952" s="2">
        <v>2026.0</v>
      </c>
      <c r="B1952" s="1" t="s">
        <v>1069</v>
      </c>
      <c r="C1952" s="2" t="s">
        <v>623</v>
      </c>
      <c r="D1952" s="2" t="s">
        <v>623</v>
      </c>
      <c r="E1952" s="2" t="s">
        <v>1213</v>
      </c>
      <c r="F1952" s="2">
        <v>19493.0</v>
      </c>
      <c r="G1952" s="2">
        <v>1448676.0</v>
      </c>
      <c r="H1952" s="2">
        <v>1468169.0</v>
      </c>
      <c r="I1952" s="2">
        <v>1463829.0</v>
      </c>
      <c r="J1952" s="2">
        <v>4340.0</v>
      </c>
    </row>
    <row r="1953">
      <c r="A1953" s="2">
        <v>2026.0</v>
      </c>
      <c r="B1953" s="1" t="s">
        <v>1069</v>
      </c>
      <c r="C1953" s="2" t="s">
        <v>623</v>
      </c>
      <c r="D1953" s="2" t="s">
        <v>623</v>
      </c>
      <c r="E1953" s="2" t="s">
        <v>56</v>
      </c>
      <c r="F1953" s="2">
        <v>681155.0</v>
      </c>
      <c r="G1953" s="2">
        <v>1182993.0</v>
      </c>
      <c r="H1953" s="2">
        <v>1864148.0</v>
      </c>
      <c r="I1953" s="2">
        <v>1487896.0</v>
      </c>
      <c r="J1953" s="2">
        <v>376252.0</v>
      </c>
    </row>
    <row r="1954">
      <c r="A1954" s="2">
        <v>2026.0</v>
      </c>
      <c r="B1954" s="1" t="s">
        <v>1069</v>
      </c>
      <c r="C1954" s="2" t="s">
        <v>623</v>
      </c>
      <c r="D1954" s="2" t="s">
        <v>958</v>
      </c>
      <c r="E1954" s="2" t="s">
        <v>686</v>
      </c>
      <c r="F1954" s="2">
        <v>1068563.0</v>
      </c>
      <c r="G1954" s="2">
        <v>1039125.0</v>
      </c>
      <c r="H1954" s="2">
        <v>2107688.0</v>
      </c>
      <c r="I1954" s="2">
        <v>597328.0</v>
      </c>
      <c r="J1954" s="2">
        <v>1510360.0</v>
      </c>
    </row>
    <row r="1955">
      <c r="A1955" s="2">
        <v>2026.0</v>
      </c>
      <c r="B1955" s="1" t="s">
        <v>1069</v>
      </c>
      <c r="C1955" s="2" t="s">
        <v>623</v>
      </c>
      <c r="D1955" s="2" t="s">
        <v>958</v>
      </c>
      <c r="E1955" s="2" t="s">
        <v>394</v>
      </c>
      <c r="F1955" s="2">
        <v>1418255.0</v>
      </c>
      <c r="G1955" s="2">
        <v>786051.0</v>
      </c>
      <c r="H1955" s="2">
        <v>2204306.0</v>
      </c>
      <c r="I1955" s="2">
        <v>1817404.0</v>
      </c>
      <c r="J1955" s="2">
        <v>386902.0</v>
      </c>
    </row>
    <row r="1956">
      <c r="A1956" s="2">
        <v>2026.0</v>
      </c>
      <c r="B1956" s="1" t="s">
        <v>1069</v>
      </c>
      <c r="C1956" s="2" t="s">
        <v>623</v>
      </c>
      <c r="D1956" s="2" t="s">
        <v>1214</v>
      </c>
      <c r="E1956" s="2" t="s">
        <v>686</v>
      </c>
      <c r="F1956" s="2">
        <v>1054729.0</v>
      </c>
      <c r="G1956" s="2">
        <v>964676.0</v>
      </c>
      <c r="H1956" s="2">
        <v>2019405.0</v>
      </c>
      <c r="I1956" s="2">
        <v>812043.0</v>
      </c>
      <c r="J1956" s="2">
        <v>1207362.0</v>
      </c>
    </row>
    <row r="1957">
      <c r="A1957" s="2">
        <v>2026.0</v>
      </c>
      <c r="B1957" s="1" t="s">
        <v>1069</v>
      </c>
      <c r="C1957" s="2" t="s">
        <v>623</v>
      </c>
      <c r="D1957" s="2" t="s">
        <v>1214</v>
      </c>
      <c r="E1957" s="2" t="s">
        <v>394</v>
      </c>
      <c r="F1957" s="2">
        <v>585409.0</v>
      </c>
      <c r="G1957" s="2">
        <v>652649.0</v>
      </c>
      <c r="H1957" s="2">
        <v>1238058.0</v>
      </c>
      <c r="I1957" s="2">
        <v>1113354.0</v>
      </c>
      <c r="J1957" s="2">
        <v>124704.0</v>
      </c>
    </row>
    <row r="1958">
      <c r="A1958" s="2">
        <v>2026.0</v>
      </c>
      <c r="B1958" s="1" t="s">
        <v>1069</v>
      </c>
      <c r="C1958" s="2" t="s">
        <v>280</v>
      </c>
      <c r="D1958" s="2" t="s">
        <v>1216</v>
      </c>
      <c r="E1958" s="2" t="s">
        <v>686</v>
      </c>
      <c r="F1958" s="2">
        <v>4609027.0</v>
      </c>
      <c r="G1958" s="2">
        <v>3618985.0</v>
      </c>
      <c r="H1958" s="2">
        <v>8228012.0</v>
      </c>
      <c r="I1958" s="2">
        <v>1159838.0</v>
      </c>
      <c r="J1958" s="2">
        <v>7068174.0</v>
      </c>
    </row>
    <row r="1959">
      <c r="A1959" s="2">
        <v>2026.0</v>
      </c>
      <c r="B1959" s="1" t="s">
        <v>1069</v>
      </c>
      <c r="C1959" s="2" t="s">
        <v>280</v>
      </c>
      <c r="D1959" s="2" t="s">
        <v>1216</v>
      </c>
      <c r="E1959" s="2" t="s">
        <v>794</v>
      </c>
      <c r="F1959" s="2">
        <v>1584503.0</v>
      </c>
      <c r="G1959" s="2">
        <v>89990.0</v>
      </c>
      <c r="H1959" s="2">
        <v>1674493.0</v>
      </c>
      <c r="I1959" s="2">
        <v>386650.0</v>
      </c>
      <c r="J1959" s="2">
        <v>1287843.0</v>
      </c>
    </row>
    <row r="1960">
      <c r="A1960" s="2">
        <v>2026.0</v>
      </c>
      <c r="B1960" s="1" t="s">
        <v>1069</v>
      </c>
      <c r="C1960" s="2" t="s">
        <v>280</v>
      </c>
      <c r="D1960" s="2" t="s">
        <v>1216</v>
      </c>
      <c r="E1960" s="2" t="s">
        <v>1127</v>
      </c>
      <c r="F1960" s="2">
        <v>8436231.0</v>
      </c>
      <c r="G1960" s="2">
        <v>4462306.0</v>
      </c>
      <c r="H1960" s="2">
        <v>1.2898537E7</v>
      </c>
      <c r="I1960" s="2">
        <v>5035173.0</v>
      </c>
      <c r="J1960" s="2">
        <v>7863364.0</v>
      </c>
    </row>
    <row r="1961">
      <c r="A1961" s="2">
        <v>2026.0</v>
      </c>
      <c r="B1961" s="1" t="s">
        <v>1069</v>
      </c>
      <c r="C1961" s="2" t="s">
        <v>280</v>
      </c>
      <c r="D1961" s="2" t="s">
        <v>1216</v>
      </c>
      <c r="E1961" s="2" t="s">
        <v>32</v>
      </c>
      <c r="F1961" s="2">
        <v>115499.0</v>
      </c>
      <c r="G1961" s="2">
        <v>167062.0</v>
      </c>
      <c r="H1961" s="2">
        <v>282561.0</v>
      </c>
      <c r="I1961" s="2">
        <v>111500.0</v>
      </c>
      <c r="J1961" s="2">
        <v>171061.0</v>
      </c>
    </row>
    <row r="1962">
      <c r="A1962" s="2">
        <v>2026.0</v>
      </c>
      <c r="B1962" s="1" t="s">
        <v>1069</v>
      </c>
      <c r="C1962" s="2" t="s">
        <v>280</v>
      </c>
      <c r="D1962" s="2" t="s">
        <v>918</v>
      </c>
      <c r="E1962" s="2" t="s">
        <v>749</v>
      </c>
      <c r="F1962" s="2">
        <v>1010177.0</v>
      </c>
      <c r="G1962" s="2">
        <v>731000.0</v>
      </c>
      <c r="H1962" s="2">
        <v>1741177.0</v>
      </c>
      <c r="I1962" s="2">
        <v>840467.0</v>
      </c>
      <c r="J1962" s="2">
        <v>900710.0</v>
      </c>
    </row>
    <row r="1963">
      <c r="A1963" s="2">
        <v>2026.0</v>
      </c>
      <c r="B1963" s="1" t="s">
        <v>1069</v>
      </c>
      <c r="C1963" s="2" t="s">
        <v>280</v>
      </c>
      <c r="D1963" s="2" t="s">
        <v>918</v>
      </c>
      <c r="E1963" s="2" t="s">
        <v>27</v>
      </c>
      <c r="F1963" s="2">
        <v>173160.0</v>
      </c>
      <c r="G1963" s="2">
        <v>1429829.0</v>
      </c>
      <c r="H1963" s="2">
        <v>1602989.0</v>
      </c>
      <c r="I1963" s="2">
        <v>1388500.0</v>
      </c>
      <c r="J1963" s="2">
        <v>214489.0</v>
      </c>
    </row>
    <row r="1964">
      <c r="A1964" s="2">
        <v>2026.0</v>
      </c>
      <c r="B1964" s="1" t="s">
        <v>1069</v>
      </c>
      <c r="C1964" s="2" t="s">
        <v>280</v>
      </c>
      <c r="D1964" s="2" t="s">
        <v>918</v>
      </c>
      <c r="E1964" s="2" t="s">
        <v>32</v>
      </c>
      <c r="F1964" s="2">
        <v>3213843.0</v>
      </c>
      <c r="G1964" s="2">
        <v>2519130.0</v>
      </c>
      <c r="H1964" s="2">
        <v>5732973.0</v>
      </c>
      <c r="I1964" s="2">
        <v>1021892.0</v>
      </c>
      <c r="J1964" s="2">
        <v>4711081.0</v>
      </c>
    </row>
    <row r="1965">
      <c r="A1965" s="2">
        <v>2026.0</v>
      </c>
      <c r="B1965" s="1" t="s">
        <v>1069</v>
      </c>
      <c r="C1965" s="2" t="s">
        <v>280</v>
      </c>
      <c r="D1965" s="2" t="s">
        <v>918</v>
      </c>
      <c r="E1965" s="2" t="s">
        <v>414</v>
      </c>
      <c r="F1965" s="2">
        <v>377246.0</v>
      </c>
      <c r="G1965" s="2">
        <v>0.0</v>
      </c>
      <c r="H1965" s="2">
        <v>377246.0</v>
      </c>
      <c r="I1965" s="2">
        <v>116270.0</v>
      </c>
      <c r="J1965" s="2">
        <v>260976.0</v>
      </c>
    </row>
    <row r="1966">
      <c r="A1966" s="2">
        <v>2026.0</v>
      </c>
      <c r="B1966" s="1" t="s">
        <v>1069</v>
      </c>
      <c r="C1966" s="2" t="s">
        <v>280</v>
      </c>
      <c r="D1966" s="2" t="s">
        <v>288</v>
      </c>
      <c r="E1966" s="2" t="s">
        <v>686</v>
      </c>
      <c r="F1966" s="2">
        <v>7004455.0</v>
      </c>
      <c r="G1966" s="2">
        <v>5806623.0</v>
      </c>
      <c r="H1966" s="2">
        <v>1.2811078E7</v>
      </c>
      <c r="I1966" s="2">
        <v>1519646.0</v>
      </c>
      <c r="J1966" s="2">
        <v>1.1291432E7</v>
      </c>
    </row>
    <row r="1967">
      <c r="A1967" s="2">
        <v>2026.0</v>
      </c>
      <c r="B1967" s="1" t="s">
        <v>1069</v>
      </c>
      <c r="C1967" s="2" t="s">
        <v>280</v>
      </c>
      <c r="D1967" s="2" t="s">
        <v>288</v>
      </c>
      <c r="E1967" s="2" t="s">
        <v>749</v>
      </c>
      <c r="F1967" s="2">
        <v>5699078.0</v>
      </c>
      <c r="G1967" s="2">
        <v>4388576.0</v>
      </c>
      <c r="H1967" s="2">
        <v>1.0087654E7</v>
      </c>
      <c r="I1967" s="2">
        <v>4494800.0</v>
      </c>
      <c r="J1967" s="2">
        <v>5592854.0</v>
      </c>
    </row>
    <row r="1968">
      <c r="A1968" s="2">
        <v>2026.0</v>
      </c>
      <c r="B1968" s="1" t="s">
        <v>1069</v>
      </c>
      <c r="C1968" s="2" t="s">
        <v>280</v>
      </c>
      <c r="D1968" s="2" t="s">
        <v>288</v>
      </c>
      <c r="E1968" s="2" t="s">
        <v>32</v>
      </c>
      <c r="F1968" s="2">
        <v>726935.0</v>
      </c>
      <c r="G1968" s="2">
        <v>386734.0</v>
      </c>
      <c r="H1968" s="2">
        <v>1113669.0</v>
      </c>
      <c r="I1968" s="2">
        <v>591628.0</v>
      </c>
      <c r="J1968" s="2">
        <v>522041.0</v>
      </c>
    </row>
    <row r="1969">
      <c r="A1969" s="2">
        <v>2026.0</v>
      </c>
      <c r="B1969" s="1" t="s">
        <v>1069</v>
      </c>
      <c r="C1969" s="2" t="s">
        <v>280</v>
      </c>
      <c r="D1969" s="2" t="s">
        <v>924</v>
      </c>
      <c r="E1969" s="2" t="s">
        <v>1222</v>
      </c>
      <c r="F1969" s="2">
        <v>2505337.0</v>
      </c>
      <c r="G1969" s="2">
        <v>2528342.0</v>
      </c>
      <c r="H1969" s="2">
        <v>5033679.0</v>
      </c>
      <c r="I1969" s="2">
        <v>1495868.0</v>
      </c>
      <c r="J1969" s="2">
        <v>3537811.0</v>
      </c>
    </row>
    <row r="1970">
      <c r="A1970" s="2">
        <v>2026.0</v>
      </c>
      <c r="B1970" s="1" t="s">
        <v>1069</v>
      </c>
      <c r="C1970" s="2" t="s">
        <v>280</v>
      </c>
      <c r="D1970" s="2" t="s">
        <v>924</v>
      </c>
      <c r="E1970" s="2" t="s">
        <v>32</v>
      </c>
      <c r="F1970" s="2">
        <v>463365.0</v>
      </c>
      <c r="G1970" s="2">
        <v>371717.0</v>
      </c>
      <c r="H1970" s="2">
        <v>835082.0</v>
      </c>
      <c r="I1970" s="2">
        <v>654099.0</v>
      </c>
      <c r="J1970" s="2">
        <v>180983.0</v>
      </c>
    </row>
    <row r="1971">
      <c r="A1971" s="2">
        <v>2026.0</v>
      </c>
      <c r="B1971" s="1" t="s">
        <v>1069</v>
      </c>
      <c r="C1971" s="2" t="s">
        <v>280</v>
      </c>
      <c r="D1971" s="2" t="s">
        <v>924</v>
      </c>
      <c r="E1971" s="2" t="s">
        <v>56</v>
      </c>
      <c r="F1971" s="2">
        <v>4909227.0</v>
      </c>
      <c r="G1971" s="2">
        <v>6136641.0</v>
      </c>
      <c r="H1971" s="2">
        <v>1.1045868E7</v>
      </c>
      <c r="I1971" s="2">
        <v>9808590.0</v>
      </c>
      <c r="J1971" s="2">
        <v>1237278.0</v>
      </c>
    </row>
    <row r="1972">
      <c r="A1972" s="2">
        <v>2026.0</v>
      </c>
      <c r="B1972" s="1" t="s">
        <v>1069</v>
      </c>
      <c r="C1972" s="2" t="s">
        <v>280</v>
      </c>
      <c r="D1972" s="2" t="s">
        <v>280</v>
      </c>
      <c r="E1972" s="2" t="s">
        <v>686</v>
      </c>
      <c r="F1972" s="2">
        <v>3043199.0</v>
      </c>
      <c r="G1972" s="2">
        <v>3136600.0</v>
      </c>
      <c r="H1972" s="2">
        <v>6179799.0</v>
      </c>
      <c r="I1972" s="2">
        <v>984633.0</v>
      </c>
      <c r="J1972" s="2">
        <v>5195166.0</v>
      </c>
    </row>
    <row r="1973">
      <c r="A1973" s="2">
        <v>2026.0</v>
      </c>
      <c r="B1973" s="1" t="s">
        <v>1069</v>
      </c>
      <c r="C1973" s="2" t="s">
        <v>280</v>
      </c>
      <c r="D1973" s="2" t="s">
        <v>280</v>
      </c>
      <c r="E1973" s="2" t="s">
        <v>279</v>
      </c>
      <c r="F1973" s="2">
        <v>3461427.0</v>
      </c>
      <c r="G1973" s="2">
        <v>4191101.0</v>
      </c>
      <c r="H1973" s="2">
        <v>7652528.0</v>
      </c>
      <c r="I1973" s="2">
        <v>4371792.0</v>
      </c>
      <c r="J1973" s="2">
        <v>3280736.0</v>
      </c>
    </row>
    <row r="1974">
      <c r="A1974" s="2">
        <v>2026.0</v>
      </c>
      <c r="B1974" s="1" t="s">
        <v>1069</v>
      </c>
      <c r="C1974" s="2" t="s">
        <v>280</v>
      </c>
      <c r="D1974" s="2" t="s">
        <v>280</v>
      </c>
      <c r="E1974" s="2" t="s">
        <v>32</v>
      </c>
      <c r="F1974" s="2">
        <v>499405.0</v>
      </c>
      <c r="G1974" s="2">
        <v>546801.0</v>
      </c>
      <c r="H1974" s="2">
        <v>1046206.0</v>
      </c>
      <c r="I1974" s="2">
        <v>464900.0</v>
      </c>
      <c r="J1974" s="2">
        <v>581306.0</v>
      </c>
    </row>
    <row r="1975">
      <c r="A1975" s="2">
        <v>2026.0</v>
      </c>
      <c r="B1975" s="1" t="s">
        <v>1069</v>
      </c>
      <c r="C1975" s="2" t="s">
        <v>925</v>
      </c>
      <c r="D1975" s="2" t="s">
        <v>1223</v>
      </c>
      <c r="E1975" s="2" t="s">
        <v>686</v>
      </c>
      <c r="F1975" s="2">
        <v>1701917.0</v>
      </c>
      <c r="G1975" s="2">
        <v>2386312.0</v>
      </c>
      <c r="H1975" s="2">
        <v>4088229.0</v>
      </c>
      <c r="I1975" s="2">
        <v>336135.0</v>
      </c>
      <c r="J1975" s="2">
        <v>3752094.0</v>
      </c>
    </row>
    <row r="1976">
      <c r="A1976" s="2">
        <v>2026.0</v>
      </c>
      <c r="B1976" s="1" t="s">
        <v>1069</v>
      </c>
      <c r="C1976" s="2" t="s">
        <v>925</v>
      </c>
      <c r="D1976" s="2" t="s">
        <v>1223</v>
      </c>
      <c r="E1976" s="2" t="s">
        <v>900</v>
      </c>
      <c r="F1976" s="2">
        <v>2642485.0</v>
      </c>
      <c r="G1976" s="2">
        <v>3067516.0</v>
      </c>
      <c r="H1976" s="2">
        <v>5710001.0</v>
      </c>
      <c r="I1976" s="2">
        <v>3510262.0</v>
      </c>
      <c r="J1976" s="2">
        <v>2199739.0</v>
      </c>
    </row>
    <row r="1977">
      <c r="A1977" s="2">
        <v>2026.0</v>
      </c>
      <c r="B1977" s="1" t="s">
        <v>1069</v>
      </c>
      <c r="C1977" s="2" t="s">
        <v>925</v>
      </c>
      <c r="D1977" s="2" t="s">
        <v>928</v>
      </c>
      <c r="E1977" s="2" t="s">
        <v>1081</v>
      </c>
      <c r="F1977" s="2">
        <v>48648.0</v>
      </c>
      <c r="G1977" s="2">
        <v>99780.0</v>
      </c>
      <c r="H1977" s="2">
        <v>148428.0</v>
      </c>
      <c r="I1977" s="2">
        <v>0.0</v>
      </c>
      <c r="J1977" s="2">
        <v>148428.0</v>
      </c>
    </row>
    <row r="1978">
      <c r="A1978" s="2">
        <v>2026.0</v>
      </c>
      <c r="B1978" s="1" t="s">
        <v>1069</v>
      </c>
      <c r="C1978" s="2" t="s">
        <v>925</v>
      </c>
      <c r="D1978" s="2" t="s">
        <v>928</v>
      </c>
      <c r="E1978" s="2" t="s">
        <v>686</v>
      </c>
      <c r="F1978" s="2">
        <v>2067716.0</v>
      </c>
      <c r="G1978" s="2">
        <v>2143914.0</v>
      </c>
      <c r="H1978" s="2">
        <v>4211630.0</v>
      </c>
      <c r="I1978" s="2">
        <v>862413.0</v>
      </c>
      <c r="J1978" s="2">
        <v>3349217.0</v>
      </c>
    </row>
    <row r="1979">
      <c r="A1979" s="2">
        <v>2026.0</v>
      </c>
      <c r="B1979" s="1" t="s">
        <v>1069</v>
      </c>
      <c r="C1979" s="2" t="s">
        <v>925</v>
      </c>
      <c r="D1979" s="2" t="s">
        <v>928</v>
      </c>
      <c r="E1979" s="2" t="s">
        <v>279</v>
      </c>
      <c r="F1979" s="2">
        <v>2339513.0</v>
      </c>
      <c r="G1979" s="2">
        <v>2148030.0</v>
      </c>
      <c r="H1979" s="2">
        <v>4487543.0</v>
      </c>
      <c r="I1979" s="2">
        <v>2687008.0</v>
      </c>
      <c r="J1979" s="2">
        <v>1800535.0</v>
      </c>
    </row>
    <row r="1980">
      <c r="A1980" s="2">
        <v>2026.0</v>
      </c>
      <c r="B1980" s="1" t="s">
        <v>1069</v>
      </c>
      <c r="C1980" s="2" t="s">
        <v>925</v>
      </c>
      <c r="D1980" s="2" t="s">
        <v>1226</v>
      </c>
      <c r="E1980" s="2" t="s">
        <v>686</v>
      </c>
      <c r="F1980" s="2">
        <v>2289354.0</v>
      </c>
      <c r="G1980" s="2">
        <v>2248641.0</v>
      </c>
      <c r="H1980" s="2">
        <v>4537995.0</v>
      </c>
      <c r="I1980" s="2">
        <v>2053958.0</v>
      </c>
      <c r="J1980" s="2">
        <v>2484037.0</v>
      </c>
    </row>
    <row r="1981">
      <c r="A1981" s="2">
        <v>2026.0</v>
      </c>
      <c r="B1981" s="1" t="s">
        <v>1069</v>
      </c>
      <c r="C1981" s="2" t="s">
        <v>925</v>
      </c>
      <c r="D1981" s="2" t="s">
        <v>1226</v>
      </c>
      <c r="E1981" s="2" t="s">
        <v>279</v>
      </c>
      <c r="F1981" s="2">
        <v>1316793.0</v>
      </c>
      <c r="G1981" s="2">
        <v>2893907.0</v>
      </c>
      <c r="H1981" s="2">
        <v>4210700.0</v>
      </c>
      <c r="I1981" s="2">
        <v>3449369.0</v>
      </c>
      <c r="J1981" s="2">
        <v>761331.0</v>
      </c>
    </row>
    <row r="1982">
      <c r="A1982" s="2">
        <v>2026.0</v>
      </c>
      <c r="B1982" s="1" t="s">
        <v>1069</v>
      </c>
      <c r="C1982" s="2" t="s">
        <v>925</v>
      </c>
      <c r="D1982" s="2" t="s">
        <v>1226</v>
      </c>
      <c r="E1982" s="2" t="s">
        <v>32</v>
      </c>
      <c r="F1982" s="2">
        <v>229440.0</v>
      </c>
      <c r="G1982" s="2">
        <v>129599.0</v>
      </c>
      <c r="H1982" s="2">
        <v>359039.0</v>
      </c>
      <c r="I1982" s="2">
        <v>41200.0</v>
      </c>
      <c r="J1982" s="2">
        <v>317839.0</v>
      </c>
    </row>
    <row r="1983">
      <c r="A1983" s="2">
        <v>2026.0</v>
      </c>
      <c r="B1983" s="1" t="s">
        <v>1069</v>
      </c>
      <c r="C1983" s="2" t="s">
        <v>925</v>
      </c>
      <c r="D1983" s="2" t="s">
        <v>1229</v>
      </c>
      <c r="E1983" s="2" t="s">
        <v>686</v>
      </c>
      <c r="F1983" s="2">
        <v>2016231.0</v>
      </c>
      <c r="G1983" s="2">
        <v>2501861.0</v>
      </c>
      <c r="H1983" s="2">
        <v>4518092.0</v>
      </c>
      <c r="I1983" s="2">
        <v>902825.0</v>
      </c>
      <c r="J1983" s="2">
        <v>3615267.0</v>
      </c>
    </row>
    <row r="1984">
      <c r="A1984" s="2">
        <v>2026.0</v>
      </c>
      <c r="B1984" s="1" t="s">
        <v>1069</v>
      </c>
      <c r="C1984" s="2" t="s">
        <v>925</v>
      </c>
      <c r="D1984" s="2" t="s">
        <v>1229</v>
      </c>
      <c r="E1984" s="2" t="s">
        <v>32</v>
      </c>
      <c r="F1984" s="2">
        <v>2010732.0</v>
      </c>
      <c r="G1984" s="2">
        <v>236896.0</v>
      </c>
      <c r="H1984" s="2">
        <v>2247628.0</v>
      </c>
      <c r="I1984" s="2">
        <v>1043753.0</v>
      </c>
      <c r="J1984" s="2">
        <v>1203875.0</v>
      </c>
    </row>
    <row r="1985">
      <c r="A1985" s="2">
        <v>2026.0</v>
      </c>
      <c r="B1985" s="1" t="s">
        <v>1069</v>
      </c>
      <c r="C1985" s="2" t="s">
        <v>925</v>
      </c>
      <c r="D1985" s="2" t="s">
        <v>1229</v>
      </c>
      <c r="E1985" s="2" t="s">
        <v>56</v>
      </c>
      <c r="F1985" s="2">
        <v>3403488.0</v>
      </c>
      <c r="G1985" s="2">
        <v>2766018.0</v>
      </c>
      <c r="H1985" s="2">
        <v>6169506.0</v>
      </c>
      <c r="I1985" s="2">
        <v>2935097.0</v>
      </c>
      <c r="J1985" s="2">
        <v>3234409.0</v>
      </c>
    </row>
    <row r="1986">
      <c r="A1986" s="2">
        <v>2026.0</v>
      </c>
      <c r="B1986" s="1" t="s">
        <v>1069</v>
      </c>
      <c r="C1986" s="2" t="s">
        <v>925</v>
      </c>
      <c r="D1986" s="2" t="s">
        <v>1230</v>
      </c>
      <c r="E1986" s="2" t="s">
        <v>686</v>
      </c>
      <c r="F1986" s="2">
        <v>2733773.0</v>
      </c>
      <c r="G1986" s="2">
        <v>4136429.0</v>
      </c>
      <c r="H1986" s="2">
        <v>6870202.0</v>
      </c>
      <c r="I1986" s="2">
        <v>2432650.0</v>
      </c>
      <c r="J1986" s="2">
        <v>4437552.0</v>
      </c>
    </row>
    <row r="1987">
      <c r="A1987" s="2">
        <v>2026.0</v>
      </c>
      <c r="B1987" s="1" t="s">
        <v>1069</v>
      </c>
      <c r="C1987" s="2" t="s">
        <v>925</v>
      </c>
      <c r="D1987" s="2" t="s">
        <v>1230</v>
      </c>
      <c r="E1987" s="2" t="s">
        <v>900</v>
      </c>
      <c r="F1987" s="2">
        <v>2171835.0</v>
      </c>
      <c r="G1987" s="2">
        <v>5173987.0</v>
      </c>
      <c r="H1987" s="2">
        <v>7345822.0</v>
      </c>
      <c r="I1987" s="2">
        <v>6103272.0</v>
      </c>
      <c r="J1987" s="2">
        <v>1242550.0</v>
      </c>
    </row>
    <row r="1988">
      <c r="A1988" s="2">
        <v>2026.0</v>
      </c>
      <c r="B1988" s="1" t="s">
        <v>1069</v>
      </c>
      <c r="C1988" s="2" t="s">
        <v>925</v>
      </c>
      <c r="D1988" s="2" t="s">
        <v>1233</v>
      </c>
      <c r="E1988" s="2" t="s">
        <v>686</v>
      </c>
      <c r="F1988" s="2">
        <v>3426448.0</v>
      </c>
      <c r="G1988" s="2">
        <v>4018104.0</v>
      </c>
      <c r="H1988" s="2">
        <v>7444552.0</v>
      </c>
      <c r="I1988" s="2">
        <v>3627468.0</v>
      </c>
      <c r="J1988" s="2">
        <v>3817084.0</v>
      </c>
    </row>
    <row r="1989">
      <c r="A1989" s="2">
        <v>2026.0</v>
      </c>
      <c r="B1989" s="1" t="s">
        <v>1069</v>
      </c>
      <c r="C1989" s="2" t="s">
        <v>925</v>
      </c>
      <c r="D1989" s="2" t="s">
        <v>1233</v>
      </c>
      <c r="E1989" s="2" t="s">
        <v>279</v>
      </c>
      <c r="F1989" s="2">
        <v>3844259.0</v>
      </c>
      <c r="G1989" s="2">
        <v>3998481.0</v>
      </c>
      <c r="H1989" s="2">
        <v>7842740.0</v>
      </c>
      <c r="I1989" s="2">
        <v>5902995.0</v>
      </c>
      <c r="J1989" s="2">
        <v>1939745.0</v>
      </c>
    </row>
    <row r="1990">
      <c r="A1990" s="2">
        <v>2026.0</v>
      </c>
      <c r="B1990" s="1" t="s">
        <v>1069</v>
      </c>
      <c r="C1990" s="2" t="s">
        <v>925</v>
      </c>
      <c r="D1990" s="2" t="s">
        <v>1233</v>
      </c>
      <c r="E1990" s="2" t="s">
        <v>32</v>
      </c>
      <c r="F1990" s="2">
        <v>167901.0</v>
      </c>
      <c r="G1990" s="2">
        <v>259112.0</v>
      </c>
      <c r="H1990" s="2">
        <v>427013.0</v>
      </c>
      <c r="I1990" s="2">
        <v>366934.0</v>
      </c>
      <c r="J1990" s="2">
        <v>60079.0</v>
      </c>
    </row>
    <row r="1991">
      <c r="A1991" s="2">
        <v>2026.0</v>
      </c>
      <c r="B1991" s="1" t="s">
        <v>1069</v>
      </c>
      <c r="C1991" s="2" t="s">
        <v>796</v>
      </c>
      <c r="D1991" s="2" t="s">
        <v>803</v>
      </c>
      <c r="E1991" s="2" t="s">
        <v>686</v>
      </c>
      <c r="F1991" s="2">
        <v>2172688.0</v>
      </c>
      <c r="G1991" s="2">
        <v>973396.0</v>
      </c>
      <c r="H1991" s="2">
        <v>3146084.0</v>
      </c>
      <c r="I1991" s="2">
        <v>1353611.0</v>
      </c>
      <c r="J1991" s="2">
        <v>1792473.0</v>
      </c>
    </row>
    <row r="1992">
      <c r="A1992" s="2">
        <v>2026.0</v>
      </c>
      <c r="B1992" s="1" t="s">
        <v>1069</v>
      </c>
      <c r="C1992" s="2" t="s">
        <v>796</v>
      </c>
      <c r="D1992" s="2" t="s">
        <v>803</v>
      </c>
      <c r="E1992" s="2" t="s">
        <v>32</v>
      </c>
      <c r="F1992" s="2">
        <v>69593.0</v>
      </c>
      <c r="G1992" s="2">
        <v>138288.0</v>
      </c>
      <c r="H1992" s="2">
        <v>207881.0</v>
      </c>
      <c r="I1992" s="2">
        <v>119121.0</v>
      </c>
      <c r="J1992" s="2">
        <v>88760.0</v>
      </c>
    </row>
    <row r="1993">
      <c r="A1993" s="2">
        <v>2026.0</v>
      </c>
      <c r="B1993" s="1" t="s">
        <v>1069</v>
      </c>
      <c r="C1993" s="2" t="s">
        <v>796</v>
      </c>
      <c r="D1993" s="2" t="s">
        <v>803</v>
      </c>
      <c r="E1993" s="2" t="s">
        <v>56</v>
      </c>
      <c r="F1993" s="2">
        <v>1312817.0</v>
      </c>
      <c r="G1993" s="2">
        <v>2241770.0</v>
      </c>
      <c r="H1993" s="2">
        <v>3554587.0</v>
      </c>
      <c r="I1993" s="2">
        <v>2262885.0</v>
      </c>
      <c r="J1993" s="2">
        <v>1291702.0</v>
      </c>
    </row>
    <row r="1994">
      <c r="A1994" s="2">
        <v>2026.0</v>
      </c>
      <c r="B1994" s="1" t="s">
        <v>1069</v>
      </c>
      <c r="C1994" s="2" t="s">
        <v>796</v>
      </c>
      <c r="D1994" s="2" t="s">
        <v>803</v>
      </c>
      <c r="E1994" s="2" t="s">
        <v>1235</v>
      </c>
      <c r="F1994" s="2">
        <v>181879.0</v>
      </c>
      <c r="G1994" s="2">
        <v>196569.0</v>
      </c>
      <c r="H1994" s="2">
        <v>378448.0</v>
      </c>
      <c r="I1994" s="2">
        <v>50000.0</v>
      </c>
      <c r="J1994" s="2">
        <v>328448.0</v>
      </c>
    </row>
    <row r="1995">
      <c r="A1995" s="2">
        <v>2026.0</v>
      </c>
      <c r="B1995" s="1" t="s">
        <v>1069</v>
      </c>
      <c r="C1995" s="2" t="s">
        <v>796</v>
      </c>
      <c r="D1995" s="2" t="s">
        <v>799</v>
      </c>
      <c r="E1995" s="2" t="s">
        <v>686</v>
      </c>
      <c r="F1995" s="2">
        <v>674213.0</v>
      </c>
      <c r="G1995" s="2">
        <v>798391.0</v>
      </c>
      <c r="H1995" s="2">
        <v>1472604.0</v>
      </c>
      <c r="I1995" s="2">
        <v>605717.0</v>
      </c>
      <c r="J1995" s="2">
        <v>866887.0</v>
      </c>
    </row>
    <row r="1996">
      <c r="A1996" s="2">
        <v>2026.0</v>
      </c>
      <c r="B1996" s="1" t="s">
        <v>1069</v>
      </c>
      <c r="C1996" s="2" t="s">
        <v>796</v>
      </c>
      <c r="D1996" s="2" t="s">
        <v>799</v>
      </c>
      <c r="E1996" s="2" t="s">
        <v>779</v>
      </c>
      <c r="F1996" s="2">
        <v>2359.0</v>
      </c>
      <c r="G1996" s="2">
        <v>10000.0</v>
      </c>
      <c r="H1996" s="2">
        <v>12359.0</v>
      </c>
      <c r="I1996" s="2">
        <v>10000.0</v>
      </c>
      <c r="J1996" s="2">
        <v>2359.0</v>
      </c>
    </row>
    <row r="1997">
      <c r="A1997" s="2">
        <v>2026.0</v>
      </c>
      <c r="B1997" s="1" t="s">
        <v>1069</v>
      </c>
      <c r="C1997" s="2" t="s">
        <v>796</v>
      </c>
      <c r="D1997" s="2" t="s">
        <v>799</v>
      </c>
      <c r="E1997" s="2" t="s">
        <v>32</v>
      </c>
      <c r="F1997" s="2">
        <v>15370.0</v>
      </c>
      <c r="G1997" s="2">
        <v>69939.0</v>
      </c>
      <c r="H1997" s="2">
        <v>85309.0</v>
      </c>
      <c r="I1997" s="2">
        <v>71620.0</v>
      </c>
      <c r="J1997" s="2">
        <v>13689.0</v>
      </c>
    </row>
    <row r="1998">
      <c r="A1998" s="2">
        <v>2026.0</v>
      </c>
      <c r="B1998" s="1" t="s">
        <v>1069</v>
      </c>
      <c r="C1998" s="2" t="s">
        <v>796</v>
      </c>
      <c r="D1998" s="2" t="s">
        <v>799</v>
      </c>
      <c r="E1998" s="2" t="s">
        <v>92</v>
      </c>
      <c r="F1998" s="2">
        <v>451226.0</v>
      </c>
      <c r="G1998" s="2">
        <v>2467620.0</v>
      </c>
      <c r="H1998" s="2">
        <v>2918846.0</v>
      </c>
      <c r="I1998" s="2">
        <v>2849674.0</v>
      </c>
      <c r="J1998" s="2">
        <v>69172.0</v>
      </c>
    </row>
    <row r="1999">
      <c r="A1999" s="2">
        <v>2026.0</v>
      </c>
      <c r="B1999" s="1" t="s">
        <v>1069</v>
      </c>
      <c r="C1999" s="2" t="s">
        <v>796</v>
      </c>
      <c r="D1999" s="2" t="s">
        <v>799</v>
      </c>
      <c r="E1999" s="2" t="s">
        <v>460</v>
      </c>
      <c r="F1999" s="2">
        <v>5333.0</v>
      </c>
      <c r="G1999" s="2">
        <v>0.0</v>
      </c>
      <c r="H1999" s="2">
        <v>5333.0</v>
      </c>
      <c r="I1999" s="2">
        <v>0.0</v>
      </c>
      <c r="J1999" s="2">
        <v>5333.0</v>
      </c>
    </row>
    <row r="2000">
      <c r="A2000" s="2">
        <v>2026.0</v>
      </c>
      <c r="B2000" s="1" t="s">
        <v>1069</v>
      </c>
      <c r="C2000" s="2" t="s">
        <v>796</v>
      </c>
      <c r="D2000" s="2" t="s">
        <v>797</v>
      </c>
      <c r="E2000" s="2" t="s">
        <v>686</v>
      </c>
      <c r="F2000" s="2">
        <v>746332.0</v>
      </c>
      <c r="G2000" s="2">
        <v>1151825.0</v>
      </c>
      <c r="H2000" s="2">
        <v>1898157.0</v>
      </c>
      <c r="I2000" s="2">
        <v>527292.0</v>
      </c>
      <c r="J2000" s="2">
        <v>1370865.0</v>
      </c>
    </row>
    <row r="2001">
      <c r="A2001" s="2">
        <v>2026.0</v>
      </c>
      <c r="B2001" s="1" t="s">
        <v>1069</v>
      </c>
      <c r="C2001" s="2" t="s">
        <v>796</v>
      </c>
      <c r="D2001" s="2" t="s">
        <v>797</v>
      </c>
      <c r="E2001" s="2" t="s">
        <v>1237</v>
      </c>
      <c r="F2001" s="2">
        <v>755.0</v>
      </c>
      <c r="G2001" s="2">
        <v>0.0</v>
      </c>
      <c r="H2001" s="2">
        <v>755.0</v>
      </c>
      <c r="I2001" s="2">
        <v>0.0</v>
      </c>
      <c r="J2001" s="2">
        <v>755.0</v>
      </c>
    </row>
    <row r="2002">
      <c r="A2002" s="2">
        <v>2026.0</v>
      </c>
      <c r="B2002" s="1" t="s">
        <v>1069</v>
      </c>
      <c r="C2002" s="2" t="s">
        <v>796</v>
      </c>
      <c r="D2002" s="2" t="s">
        <v>797</v>
      </c>
      <c r="E2002" s="2" t="s">
        <v>1104</v>
      </c>
      <c r="F2002" s="2">
        <v>575778.0</v>
      </c>
      <c r="G2002" s="2">
        <v>382763.0</v>
      </c>
      <c r="H2002" s="2">
        <v>958541.0</v>
      </c>
      <c r="I2002" s="2">
        <v>414387.0</v>
      </c>
      <c r="J2002" s="2">
        <v>544154.0</v>
      </c>
    </row>
    <row r="2003">
      <c r="A2003" s="2">
        <v>2026.0</v>
      </c>
      <c r="B2003" s="1" t="s">
        <v>1069</v>
      </c>
      <c r="C2003" s="2" t="s">
        <v>796</v>
      </c>
      <c r="D2003" s="2" t="s">
        <v>797</v>
      </c>
      <c r="E2003" s="2" t="s">
        <v>27</v>
      </c>
      <c r="F2003" s="2">
        <v>44089.0</v>
      </c>
      <c r="G2003" s="2">
        <v>1411829.0</v>
      </c>
      <c r="H2003" s="2">
        <v>1455918.0</v>
      </c>
      <c r="I2003" s="2">
        <v>1390000.0</v>
      </c>
      <c r="J2003" s="2">
        <v>65918.0</v>
      </c>
    </row>
    <row r="2004">
      <c r="A2004" s="2">
        <v>2026.0</v>
      </c>
      <c r="B2004" s="1" t="s">
        <v>1069</v>
      </c>
      <c r="C2004" s="2" t="s">
        <v>796</v>
      </c>
      <c r="D2004" s="2" t="s">
        <v>797</v>
      </c>
      <c r="E2004" s="2" t="s">
        <v>32</v>
      </c>
      <c r="F2004" s="2">
        <v>76155.0</v>
      </c>
      <c r="G2004" s="2">
        <v>163521.0</v>
      </c>
      <c r="H2004" s="2">
        <v>239676.0</v>
      </c>
      <c r="I2004" s="2">
        <v>207312.0</v>
      </c>
      <c r="J2004" s="2">
        <v>32364.0</v>
      </c>
    </row>
    <row r="2005">
      <c r="A2005" s="2">
        <v>2026.0</v>
      </c>
      <c r="B2005" s="1" t="s">
        <v>1069</v>
      </c>
      <c r="C2005" s="2" t="s">
        <v>796</v>
      </c>
      <c r="D2005" s="2" t="s">
        <v>800</v>
      </c>
      <c r="E2005" s="2" t="s">
        <v>686</v>
      </c>
      <c r="F2005" s="2">
        <v>1228328.0</v>
      </c>
      <c r="G2005" s="2">
        <v>1333982.0</v>
      </c>
      <c r="H2005" s="2">
        <v>2562310.0</v>
      </c>
      <c r="I2005" s="2">
        <v>923177.0</v>
      </c>
      <c r="J2005" s="2">
        <v>1639133.0</v>
      </c>
    </row>
    <row r="2006">
      <c r="A2006" s="2">
        <v>2026.0</v>
      </c>
      <c r="B2006" s="1" t="s">
        <v>1069</v>
      </c>
      <c r="C2006" s="2" t="s">
        <v>796</v>
      </c>
      <c r="D2006" s="2" t="s">
        <v>800</v>
      </c>
      <c r="E2006" s="2" t="s">
        <v>749</v>
      </c>
      <c r="F2006" s="2">
        <v>907785.0</v>
      </c>
      <c r="G2006" s="2">
        <v>1861567.0</v>
      </c>
      <c r="H2006" s="2">
        <v>2769352.0</v>
      </c>
      <c r="I2006" s="2">
        <v>2125617.0</v>
      </c>
      <c r="J2006" s="2">
        <v>643735.0</v>
      </c>
    </row>
    <row r="2007">
      <c r="A2007" s="2">
        <v>2026.0</v>
      </c>
      <c r="B2007" s="1" t="s">
        <v>1069</v>
      </c>
      <c r="C2007" s="2" t="s">
        <v>796</v>
      </c>
      <c r="D2007" s="2" t="s">
        <v>802</v>
      </c>
      <c r="E2007" s="2" t="s">
        <v>686</v>
      </c>
      <c r="F2007" s="2">
        <v>2156475.0</v>
      </c>
      <c r="G2007" s="2">
        <v>2366340.0</v>
      </c>
      <c r="H2007" s="2">
        <v>4522815.0</v>
      </c>
      <c r="I2007" s="2">
        <v>507133.0</v>
      </c>
      <c r="J2007" s="2">
        <v>4015682.0</v>
      </c>
    </row>
    <row r="2008">
      <c r="A2008" s="2">
        <v>2026.0</v>
      </c>
      <c r="B2008" s="1" t="s">
        <v>1069</v>
      </c>
      <c r="C2008" s="2" t="s">
        <v>796</v>
      </c>
      <c r="D2008" s="2" t="s">
        <v>802</v>
      </c>
      <c r="E2008" s="2" t="s">
        <v>32</v>
      </c>
      <c r="F2008" s="2">
        <v>116654.0</v>
      </c>
      <c r="G2008" s="2">
        <v>253946.0</v>
      </c>
      <c r="H2008" s="2">
        <v>370600.0</v>
      </c>
      <c r="I2008" s="2">
        <v>286881.0</v>
      </c>
      <c r="J2008" s="2">
        <v>83719.0</v>
      </c>
    </row>
    <row r="2009">
      <c r="A2009" s="2">
        <v>2026.0</v>
      </c>
      <c r="B2009" s="1" t="s">
        <v>1069</v>
      </c>
      <c r="C2009" s="2" t="s">
        <v>796</v>
      </c>
      <c r="D2009" s="2" t="s">
        <v>802</v>
      </c>
      <c r="E2009" s="2" t="s">
        <v>56</v>
      </c>
      <c r="F2009" s="2">
        <v>2419258.0</v>
      </c>
      <c r="G2009" s="2">
        <v>3684486.0</v>
      </c>
      <c r="H2009" s="2">
        <v>6103744.0</v>
      </c>
      <c r="I2009" s="2">
        <v>3916253.0</v>
      </c>
      <c r="J2009" s="2">
        <v>2187491.0</v>
      </c>
    </row>
    <row r="2010">
      <c r="A2010" s="2">
        <v>2026.0</v>
      </c>
      <c r="B2010" s="1" t="s">
        <v>1069</v>
      </c>
      <c r="D2010" s="2" t="s">
        <v>1046</v>
      </c>
      <c r="E2010" s="2" t="s">
        <v>686</v>
      </c>
      <c r="F2010" s="2">
        <v>6456079.0</v>
      </c>
      <c r="G2010" s="2">
        <v>2.7556772E7</v>
      </c>
      <c r="H2010" s="2">
        <v>3.4012851E7</v>
      </c>
      <c r="I2010" s="2">
        <v>5879502.0</v>
      </c>
      <c r="J2010" s="2">
        <v>2.8133349E7</v>
      </c>
    </row>
    <row r="2011">
      <c r="A2011" s="2">
        <v>2026.0</v>
      </c>
      <c r="B2011" s="1" t="s">
        <v>1069</v>
      </c>
      <c r="D2011" s="2" t="s">
        <v>1046</v>
      </c>
      <c r="E2011" s="2" t="s">
        <v>749</v>
      </c>
      <c r="F2011" s="2">
        <v>1.8816745E7</v>
      </c>
      <c r="G2011" s="2">
        <v>3.8397315E7</v>
      </c>
      <c r="H2011" s="2">
        <v>5.721406E7</v>
      </c>
      <c r="I2011" s="2">
        <v>2.8440687E7</v>
      </c>
      <c r="J2011" s="2">
        <v>2.8773373E7</v>
      </c>
    </row>
    <row r="2012">
      <c r="A2012" s="2">
        <v>2026.0</v>
      </c>
      <c r="B2012" s="1" t="s">
        <v>1069</v>
      </c>
      <c r="D2012" s="2" t="s">
        <v>1046</v>
      </c>
      <c r="E2012" s="2" t="s">
        <v>697</v>
      </c>
      <c r="F2012" s="2">
        <v>2.3915958E7</v>
      </c>
      <c r="G2012" s="2">
        <v>6.2671613E7</v>
      </c>
      <c r="H2012" s="2">
        <v>8.6587571E7</v>
      </c>
      <c r="I2012" s="2">
        <v>8.0528359E7</v>
      </c>
      <c r="J2012" s="2">
        <v>6059212.0</v>
      </c>
    </row>
    <row r="2013">
      <c r="A2013" s="2">
        <v>2026.0</v>
      </c>
      <c r="B2013" s="1" t="s">
        <v>1069</v>
      </c>
      <c r="D2013" s="2" t="s">
        <v>1046</v>
      </c>
      <c r="E2013" s="2" t="s">
        <v>1241</v>
      </c>
      <c r="F2013" s="2">
        <v>6369746.0</v>
      </c>
      <c r="G2013" s="2">
        <v>5540196.0</v>
      </c>
      <c r="H2013" s="2">
        <v>1.1909942E7</v>
      </c>
      <c r="I2013" s="2">
        <v>9455785.0</v>
      </c>
      <c r="J2013" s="2">
        <v>2454157.0</v>
      </c>
    </row>
    <row r="2014">
      <c r="A2014" s="2">
        <v>2026.0</v>
      </c>
      <c r="B2014" s="1" t="s">
        <v>1069</v>
      </c>
      <c r="D2014" s="2" t="s">
        <v>1046</v>
      </c>
      <c r="E2014" s="2" t="s">
        <v>32</v>
      </c>
      <c r="F2014" s="2">
        <v>593542.0</v>
      </c>
      <c r="G2014" s="2">
        <v>661379.0</v>
      </c>
      <c r="H2014" s="2">
        <v>1254921.0</v>
      </c>
      <c r="I2014" s="2">
        <v>486622.0</v>
      </c>
      <c r="J2014" s="2">
        <v>768299.0</v>
      </c>
    </row>
    <row r="2015">
      <c r="A2015" s="2">
        <v>2026.0</v>
      </c>
      <c r="B2015" s="1" t="s">
        <v>1069</v>
      </c>
      <c r="D2015" s="2" t="s">
        <v>1039</v>
      </c>
      <c r="E2015" s="2" t="s">
        <v>686</v>
      </c>
      <c r="F2015" s="2">
        <v>6586445.0</v>
      </c>
      <c r="G2015" s="2">
        <v>3.4134958E7</v>
      </c>
      <c r="H2015" s="2">
        <v>4.0721403E7</v>
      </c>
      <c r="I2015" s="2">
        <v>8040411.0</v>
      </c>
      <c r="J2015" s="2">
        <v>3.2680992E7</v>
      </c>
    </row>
    <row r="2016">
      <c r="A2016" s="2">
        <v>2026.0</v>
      </c>
      <c r="B2016" s="1" t="s">
        <v>1069</v>
      </c>
      <c r="D2016" s="2" t="s">
        <v>1039</v>
      </c>
      <c r="E2016" s="2" t="s">
        <v>114</v>
      </c>
      <c r="F2016" s="2">
        <v>3671509.0</v>
      </c>
      <c r="G2016" s="2">
        <v>120534.0</v>
      </c>
      <c r="H2016" s="2">
        <v>3792043.0</v>
      </c>
      <c r="I2016" s="2">
        <v>0.0</v>
      </c>
      <c r="J2016" s="2">
        <v>3792043.0</v>
      </c>
    </row>
    <row r="2017">
      <c r="A2017" s="2">
        <v>2026.0</v>
      </c>
      <c r="B2017" s="1" t="s">
        <v>1069</v>
      </c>
      <c r="D2017" s="2" t="s">
        <v>1039</v>
      </c>
      <c r="E2017" s="2" t="s">
        <v>1070</v>
      </c>
      <c r="F2017" s="2">
        <v>3.0757338E7</v>
      </c>
      <c r="G2017" s="2">
        <v>4.425776E7</v>
      </c>
      <c r="H2017" s="2">
        <v>7.5015098E7</v>
      </c>
      <c r="I2017" s="2">
        <v>6.3882809E7</v>
      </c>
      <c r="J2017" s="2">
        <v>1.1132289E7</v>
      </c>
    </row>
    <row r="2018">
      <c r="A2018" s="2">
        <v>2026.0</v>
      </c>
      <c r="B2018" s="1" t="s">
        <v>1069</v>
      </c>
      <c r="D2018" s="2" t="s">
        <v>1039</v>
      </c>
      <c r="E2018" s="2" t="s">
        <v>1242</v>
      </c>
      <c r="F2018" s="2">
        <v>2.0478865E7</v>
      </c>
      <c r="G2018" s="2">
        <v>2.7335166E7</v>
      </c>
      <c r="H2018" s="2">
        <v>4.7814031E7</v>
      </c>
      <c r="I2018" s="2">
        <v>3.3973653E7</v>
      </c>
      <c r="J2018" s="2">
        <v>1.3840378E7</v>
      </c>
    </row>
    <row r="2019">
      <c r="A2019" s="2">
        <v>2026.0</v>
      </c>
      <c r="B2019" s="1" t="s">
        <v>1069</v>
      </c>
      <c r="D2019" s="2" t="s">
        <v>1039</v>
      </c>
      <c r="E2019" s="2" t="s">
        <v>1241</v>
      </c>
      <c r="F2019" s="2">
        <v>1.253417E7</v>
      </c>
      <c r="G2019" s="2">
        <v>1665082.0</v>
      </c>
      <c r="H2019" s="2">
        <v>1.4199252E7</v>
      </c>
      <c r="I2019" s="2">
        <v>1.166878E7</v>
      </c>
      <c r="J2019" s="2">
        <v>2530472.0</v>
      </c>
    </row>
    <row r="2020">
      <c r="A2020" s="2">
        <v>2026.0</v>
      </c>
      <c r="B2020" s="1" t="s">
        <v>1069</v>
      </c>
      <c r="D2020" s="2" t="s">
        <v>1039</v>
      </c>
      <c r="E2020" s="2" t="s">
        <v>1042</v>
      </c>
      <c r="F2020" s="2">
        <v>278238.0</v>
      </c>
      <c r="G2020" s="2">
        <v>9134.0</v>
      </c>
      <c r="H2020" s="2">
        <v>287372.0</v>
      </c>
      <c r="I2020" s="2">
        <v>0.0</v>
      </c>
      <c r="J2020" s="2">
        <v>287372.0</v>
      </c>
    </row>
    <row r="2021">
      <c r="A2021" s="2">
        <v>2026.0</v>
      </c>
      <c r="B2021" s="1" t="s">
        <v>1069</v>
      </c>
      <c r="D2021" s="2" t="s">
        <v>1039</v>
      </c>
      <c r="E2021" s="2" t="s">
        <v>1243</v>
      </c>
      <c r="F2021" s="2">
        <v>6920581.0</v>
      </c>
      <c r="G2021" s="2">
        <v>188354.0</v>
      </c>
      <c r="H2021" s="2">
        <v>7108935.0</v>
      </c>
      <c r="I2021" s="2">
        <v>0.0</v>
      </c>
      <c r="J2021" s="2">
        <v>7108935.0</v>
      </c>
    </row>
    <row r="2022">
      <c r="A2022" s="2">
        <v>2026.0</v>
      </c>
      <c r="B2022" s="1" t="s">
        <v>1069</v>
      </c>
      <c r="D2022" s="2" t="s">
        <v>1039</v>
      </c>
      <c r="E2022" s="2" t="s">
        <v>1245</v>
      </c>
      <c r="F2022" s="2">
        <v>3846886.0</v>
      </c>
      <c r="G2022" s="2">
        <v>126292.0</v>
      </c>
      <c r="H2022" s="2">
        <v>3973178.0</v>
      </c>
      <c r="I2022" s="2">
        <v>0.0</v>
      </c>
      <c r="J2022" s="2">
        <v>3973178.0</v>
      </c>
    </row>
    <row r="2023">
      <c r="A2023" s="2">
        <v>2026.0</v>
      </c>
      <c r="B2023" s="1" t="s">
        <v>1069</v>
      </c>
      <c r="D2023" s="2" t="s">
        <v>1039</v>
      </c>
      <c r="E2023" s="2" t="s">
        <v>32</v>
      </c>
      <c r="F2023" s="2">
        <v>1937732.0</v>
      </c>
      <c r="G2023" s="2">
        <v>1539287.0</v>
      </c>
      <c r="H2023" s="2">
        <v>3477019.0</v>
      </c>
      <c r="I2023" s="2">
        <v>2159242.0</v>
      </c>
      <c r="J2023" s="2">
        <v>1317777.0</v>
      </c>
    </row>
    <row r="2024">
      <c r="A2024" s="2">
        <v>2026.0</v>
      </c>
      <c r="B2024" s="1" t="s">
        <v>1069</v>
      </c>
      <c r="D2024" s="2" t="s">
        <v>1039</v>
      </c>
      <c r="E2024" s="2" t="s">
        <v>1247</v>
      </c>
      <c r="F2024" s="2">
        <v>4434564.0</v>
      </c>
      <c r="G2024" s="2">
        <v>123546.0</v>
      </c>
      <c r="H2024" s="2">
        <v>4558110.0</v>
      </c>
      <c r="I2024" s="2">
        <v>236.0</v>
      </c>
      <c r="J2024" s="2">
        <v>4557874.0</v>
      </c>
    </row>
    <row r="2025">
      <c r="A2025" s="2">
        <v>2026.0</v>
      </c>
      <c r="B2025" s="1" t="s">
        <v>1069</v>
      </c>
      <c r="D2025" s="2" t="s">
        <v>1044</v>
      </c>
      <c r="E2025" s="2" t="s">
        <v>1248</v>
      </c>
      <c r="F2025" s="2">
        <v>1149820.0</v>
      </c>
      <c r="G2025" s="2">
        <v>8.0886712E7</v>
      </c>
      <c r="H2025" s="2">
        <v>8.2036532E7</v>
      </c>
      <c r="I2025" s="2">
        <v>5.7715377E7</v>
      </c>
      <c r="J2025" s="2">
        <v>2.4321155E7</v>
      </c>
    </row>
    <row r="2026">
      <c r="A2026" s="2">
        <v>2026.0</v>
      </c>
      <c r="B2026" s="1" t="s">
        <v>1069</v>
      </c>
      <c r="D2026" s="2" t="s">
        <v>1044</v>
      </c>
      <c r="E2026" s="2" t="s">
        <v>27</v>
      </c>
      <c r="F2026" s="2">
        <v>7481587.0</v>
      </c>
      <c r="G2026" s="2">
        <v>3.234305E7</v>
      </c>
      <c r="H2026" s="2">
        <v>3.9824637E7</v>
      </c>
      <c r="I2026" s="2">
        <v>3.1558671E7</v>
      </c>
      <c r="J2026" s="2">
        <v>8265966.0</v>
      </c>
    </row>
    <row r="2027">
      <c r="A2027" s="2">
        <v>2026.0</v>
      </c>
      <c r="B2027" s="1" t="s">
        <v>1069</v>
      </c>
      <c r="D2027" s="2" t="s">
        <v>1036</v>
      </c>
      <c r="E2027" s="2" t="s">
        <v>686</v>
      </c>
      <c r="F2027" s="2">
        <v>1.1970025E7</v>
      </c>
      <c r="G2027" s="2">
        <v>4.6148359E7</v>
      </c>
      <c r="H2027" s="2">
        <v>5.8118384E7</v>
      </c>
      <c r="I2027" s="2">
        <v>1.6008408E7</v>
      </c>
      <c r="J2027" s="2">
        <v>4.2109976E7</v>
      </c>
    </row>
    <row r="2028">
      <c r="A2028" s="2">
        <v>2026.0</v>
      </c>
      <c r="B2028" s="1" t="s">
        <v>1069</v>
      </c>
      <c r="D2028" s="2" t="s">
        <v>1036</v>
      </c>
      <c r="E2028" s="2" t="s">
        <v>749</v>
      </c>
      <c r="F2028" s="2">
        <v>1.6315326E7</v>
      </c>
      <c r="G2028" s="2">
        <v>4.2310117E7</v>
      </c>
      <c r="H2028" s="2">
        <v>5.8625443E7</v>
      </c>
      <c r="I2028" s="2">
        <v>3.4798128E7</v>
      </c>
      <c r="J2028" s="2">
        <v>2.3827315E7</v>
      </c>
    </row>
    <row r="2029">
      <c r="A2029" s="2">
        <v>2026.0</v>
      </c>
      <c r="B2029" s="1" t="s">
        <v>1069</v>
      </c>
      <c r="D2029" s="2" t="s">
        <v>1036</v>
      </c>
      <c r="E2029" s="2" t="s">
        <v>1038</v>
      </c>
      <c r="F2029" s="2">
        <v>936109.0</v>
      </c>
      <c r="G2029" s="2">
        <v>5.4482201E7</v>
      </c>
      <c r="H2029" s="2">
        <v>5.541831E7</v>
      </c>
      <c r="I2029" s="2">
        <v>5.1028164E7</v>
      </c>
      <c r="J2029" s="2">
        <v>4390146.0</v>
      </c>
    </row>
    <row r="2030">
      <c r="A2030" s="2">
        <v>2026.0</v>
      </c>
      <c r="B2030" s="1" t="s">
        <v>1069</v>
      </c>
      <c r="D2030" s="2" t="s">
        <v>1036</v>
      </c>
      <c r="E2030" s="2" t="s">
        <v>32</v>
      </c>
      <c r="F2030" s="2">
        <v>517348.0</v>
      </c>
      <c r="G2030" s="2">
        <v>371635.0</v>
      </c>
      <c r="H2030" s="2">
        <v>888983.0</v>
      </c>
      <c r="I2030" s="2">
        <v>173438.0</v>
      </c>
      <c r="J2030" s="2">
        <v>715545.0</v>
      </c>
    </row>
    <row r="2031">
      <c r="A2031" s="2">
        <v>2026.0</v>
      </c>
      <c r="B2031" s="1" t="s">
        <v>1069</v>
      </c>
      <c r="D2031" s="2" t="s">
        <v>1053</v>
      </c>
      <c r="E2031" s="2" t="s">
        <v>686</v>
      </c>
      <c r="F2031" s="2">
        <v>4568650.0</v>
      </c>
      <c r="G2031" s="2">
        <v>3.1158883E7</v>
      </c>
      <c r="H2031" s="2">
        <v>3.5727533E7</v>
      </c>
      <c r="I2031" s="2">
        <v>5615541.0</v>
      </c>
      <c r="J2031" s="2">
        <v>3.0111992E7</v>
      </c>
    </row>
    <row r="2032">
      <c r="A2032" s="2">
        <v>2026.0</v>
      </c>
      <c r="B2032" s="1" t="s">
        <v>1069</v>
      </c>
      <c r="D2032" s="2" t="s">
        <v>1053</v>
      </c>
      <c r="E2032" s="2" t="s">
        <v>749</v>
      </c>
      <c r="F2032" s="2">
        <v>3.0229236E7</v>
      </c>
      <c r="G2032" s="2">
        <v>3.1752209E7</v>
      </c>
      <c r="H2032" s="2">
        <v>6.1981445E7</v>
      </c>
      <c r="I2032" s="2">
        <v>4.3171197E7</v>
      </c>
      <c r="J2032" s="2">
        <v>1.8810248E7</v>
      </c>
    </row>
    <row r="2033">
      <c r="A2033" s="2">
        <v>2026.0</v>
      </c>
      <c r="B2033" s="1" t="s">
        <v>1069</v>
      </c>
      <c r="D2033" s="2" t="s">
        <v>1053</v>
      </c>
      <c r="E2033" s="2" t="s">
        <v>1241</v>
      </c>
      <c r="F2033" s="2">
        <v>8618036.0</v>
      </c>
      <c r="G2033" s="2">
        <v>6540519.0</v>
      </c>
      <c r="H2033" s="2">
        <v>1.5158555E7</v>
      </c>
      <c r="I2033" s="2">
        <v>1.1681497E7</v>
      </c>
      <c r="J2033" s="2">
        <v>3477058.0</v>
      </c>
    </row>
    <row r="2034">
      <c r="A2034" s="2">
        <v>2026.0</v>
      </c>
      <c r="B2034" s="1" t="s">
        <v>1069</v>
      </c>
      <c r="D2034" s="2" t="s">
        <v>1053</v>
      </c>
      <c r="E2034" s="2" t="s">
        <v>27</v>
      </c>
      <c r="F2034" s="2">
        <v>2762902.0</v>
      </c>
      <c r="G2034" s="2">
        <v>1.3202171E7</v>
      </c>
      <c r="H2034" s="2">
        <v>1.5965073E7</v>
      </c>
      <c r="I2034" s="2">
        <v>1.354388E7</v>
      </c>
      <c r="J2034" s="2">
        <v>2421193.0</v>
      </c>
    </row>
    <row r="2035">
      <c r="A2035" s="2">
        <v>2026.0</v>
      </c>
      <c r="B2035" s="1" t="s">
        <v>1069</v>
      </c>
      <c r="D2035" s="2" t="s">
        <v>1053</v>
      </c>
      <c r="E2035" s="2" t="s">
        <v>1249</v>
      </c>
      <c r="F2035" s="2">
        <v>0.0</v>
      </c>
      <c r="G2035" s="2">
        <v>1.5615568E7</v>
      </c>
      <c r="H2035" s="2">
        <v>1.5615568E7</v>
      </c>
      <c r="I2035" s="2">
        <v>6082450.0</v>
      </c>
      <c r="J2035" s="2">
        <v>9533118.0</v>
      </c>
    </row>
    <row r="2036">
      <c r="A2036" s="2">
        <v>2026.0</v>
      </c>
      <c r="B2036" s="1" t="s">
        <v>1069</v>
      </c>
      <c r="D2036" s="2" t="s">
        <v>1053</v>
      </c>
      <c r="E2036" s="2" t="s">
        <v>1250</v>
      </c>
      <c r="F2036" s="2">
        <v>55.0</v>
      </c>
      <c r="G2036" s="2">
        <v>1.3003333E7</v>
      </c>
      <c r="H2036" s="2">
        <v>1.3003388E7</v>
      </c>
      <c r="I2036" s="2">
        <v>9161281.0</v>
      </c>
      <c r="J2036" s="2">
        <v>3842107.0</v>
      </c>
    </row>
    <row r="2037">
      <c r="A2037" s="2">
        <v>2026.0</v>
      </c>
      <c r="B2037" s="1" t="s">
        <v>1069</v>
      </c>
      <c r="D2037" s="2" t="s">
        <v>1251</v>
      </c>
      <c r="E2037" s="2" t="s">
        <v>686</v>
      </c>
      <c r="F2037" s="2">
        <v>3366186.0</v>
      </c>
      <c r="G2037" s="2">
        <v>1.5315389E7</v>
      </c>
      <c r="H2037" s="2">
        <v>1.8681575E7</v>
      </c>
      <c r="I2037" s="2">
        <v>6751558.0</v>
      </c>
      <c r="J2037" s="2">
        <v>1.1930017E7</v>
      </c>
    </row>
    <row r="2038">
      <c r="A2038" s="2">
        <v>2026.0</v>
      </c>
      <c r="B2038" s="1" t="s">
        <v>1069</v>
      </c>
      <c r="D2038" s="2" t="s">
        <v>1251</v>
      </c>
      <c r="E2038" s="2" t="s">
        <v>27</v>
      </c>
      <c r="F2038" s="2">
        <v>1767198.0</v>
      </c>
      <c r="G2038" s="2">
        <v>2.2347884E7</v>
      </c>
      <c r="H2038" s="2">
        <v>2.4115082E7</v>
      </c>
      <c r="I2038" s="2">
        <v>2.110351E7</v>
      </c>
      <c r="J2038" s="2">
        <v>3011572.0</v>
      </c>
    </row>
    <row r="2039">
      <c r="A2039" s="2">
        <v>2026.0</v>
      </c>
      <c r="B2039" s="1" t="s">
        <v>1069</v>
      </c>
      <c r="D2039" s="2" t="s">
        <v>1251</v>
      </c>
      <c r="E2039" s="2" t="s">
        <v>56</v>
      </c>
      <c r="F2039" s="2">
        <v>1.1128961E7</v>
      </c>
      <c r="G2039" s="2">
        <v>1.3436086E7</v>
      </c>
      <c r="H2039" s="2">
        <v>2.4565047E7</v>
      </c>
      <c r="I2039" s="2">
        <v>2.004183E7</v>
      </c>
      <c r="J2039" s="2">
        <v>4523217.0</v>
      </c>
    </row>
    <row r="2040">
      <c r="A2040" s="2">
        <v>2026.0</v>
      </c>
      <c r="B2040" s="2" t="s">
        <v>745</v>
      </c>
      <c r="D2040" s="2" t="s">
        <v>1253</v>
      </c>
      <c r="E2040" s="2" t="s">
        <v>1253</v>
      </c>
      <c r="F2040" s="2">
        <v>4665325.0</v>
      </c>
      <c r="G2040" s="2" t="s">
        <v>1255</v>
      </c>
      <c r="H2040" s="2">
        <v>6926233.0</v>
      </c>
      <c r="I2040" s="2">
        <v>4011839.0</v>
      </c>
      <c r="J2040" s="2">
        <v>2914394.0</v>
      </c>
    </row>
    <row r="2041">
      <c r="A2041" s="2">
        <v>2026.0</v>
      </c>
      <c r="B2041" s="2" t="s">
        <v>745</v>
      </c>
      <c r="D2041" s="2" t="s">
        <v>1253</v>
      </c>
      <c r="E2041" s="2" t="s">
        <v>1256</v>
      </c>
      <c r="F2041" s="2">
        <v>311464.0</v>
      </c>
      <c r="G2041" s="2">
        <v>510000.0</v>
      </c>
      <c r="H2041" s="2">
        <v>821464.0</v>
      </c>
      <c r="I2041" s="2">
        <v>810863.0</v>
      </c>
      <c r="J2041" s="2">
        <v>10601.0</v>
      </c>
    </row>
    <row r="2042">
      <c r="A2042" s="2">
        <v>2026.0</v>
      </c>
      <c r="B2042" s="2" t="s">
        <v>745</v>
      </c>
      <c r="D2042" s="2" t="s">
        <v>1253</v>
      </c>
      <c r="E2042" s="2" t="s">
        <v>1257</v>
      </c>
      <c r="F2042" s="2">
        <v>142308.0</v>
      </c>
      <c r="G2042" s="2">
        <v>2568108.0</v>
      </c>
      <c r="H2042" s="2">
        <v>2710416.0</v>
      </c>
      <c r="I2042" s="2">
        <v>2610367.0</v>
      </c>
      <c r="J2042" s="2">
        <v>100049.0</v>
      </c>
    </row>
    <row r="2043">
      <c r="A2043" s="2">
        <v>2026.0</v>
      </c>
      <c r="B2043" s="2" t="s">
        <v>745</v>
      </c>
      <c r="D2043" s="2" t="s">
        <v>1253</v>
      </c>
      <c r="E2043" s="2" t="s">
        <v>712</v>
      </c>
      <c r="F2043" s="2">
        <v>2551001.0</v>
      </c>
      <c r="G2043" s="2">
        <v>375929.0</v>
      </c>
      <c r="H2043" s="2">
        <v>2926930.0</v>
      </c>
      <c r="I2043" s="2">
        <v>386655.0</v>
      </c>
      <c r="J2043" s="2">
        <v>2540275.0</v>
      </c>
    </row>
    <row r="2044">
      <c r="A2044" s="2">
        <v>2026.0</v>
      </c>
      <c r="B2044" s="2" t="s">
        <v>745</v>
      </c>
      <c r="D2044" s="2" t="s">
        <v>1253</v>
      </c>
      <c r="E2044" s="2" t="s">
        <v>56</v>
      </c>
      <c r="F2044" s="2">
        <v>5095775.0</v>
      </c>
      <c r="G2044" s="2">
        <v>4919069.0</v>
      </c>
      <c r="H2044" s="2">
        <v>1.0014844E7</v>
      </c>
      <c r="I2044" s="2">
        <v>7674916.0</v>
      </c>
      <c r="J2044" s="2">
        <v>2339928.0</v>
      </c>
    </row>
    <row r="2045">
      <c r="A2045" s="2">
        <v>2026.0</v>
      </c>
      <c r="B2045" s="2" t="s">
        <v>1069</v>
      </c>
      <c r="D2045" s="2" t="s">
        <v>1253</v>
      </c>
      <c r="E2045" s="2" t="s">
        <v>686</v>
      </c>
      <c r="F2045" s="2">
        <v>2914394.0</v>
      </c>
      <c r="G2045" s="2">
        <v>80369.0</v>
      </c>
      <c r="H2045" s="2">
        <v>2994763.0</v>
      </c>
      <c r="I2045" s="2">
        <v>1157992.0</v>
      </c>
      <c r="J2045" s="2">
        <v>1836771.0</v>
      </c>
    </row>
    <row r="2046">
      <c r="A2046" s="2">
        <v>2026.0</v>
      </c>
      <c r="B2046" s="2" t="s">
        <v>1069</v>
      </c>
      <c r="D2046" s="2" t="s">
        <v>1253</v>
      </c>
      <c r="E2046" s="2" t="s">
        <v>1256</v>
      </c>
      <c r="F2046" s="2">
        <v>10601.0</v>
      </c>
      <c r="G2046" s="2">
        <v>716193.0</v>
      </c>
      <c r="H2046" s="2">
        <v>726794.0</v>
      </c>
      <c r="I2046" s="2">
        <v>546185.0</v>
      </c>
      <c r="J2046" s="2">
        <v>180609.0</v>
      </c>
    </row>
    <row r="2047">
      <c r="A2047" s="2">
        <v>2026.0</v>
      </c>
      <c r="B2047" s="2" t="s">
        <v>1069</v>
      </c>
      <c r="D2047" s="2" t="s">
        <v>1253</v>
      </c>
      <c r="E2047" s="2" t="s">
        <v>1257</v>
      </c>
      <c r="F2047" s="2">
        <v>100049.0</v>
      </c>
      <c r="G2047" s="2">
        <v>2799655.0</v>
      </c>
      <c r="H2047" s="2">
        <v>2899704.0</v>
      </c>
      <c r="I2047" s="2">
        <v>2862856.0</v>
      </c>
      <c r="J2047" s="2">
        <v>36848.0</v>
      </c>
    </row>
    <row r="2048">
      <c r="A2048" s="2">
        <v>2026.0</v>
      </c>
      <c r="B2048" s="2" t="s">
        <v>1069</v>
      </c>
      <c r="D2048" s="2" t="s">
        <v>1253</v>
      </c>
      <c r="E2048" s="2" t="s">
        <v>712</v>
      </c>
      <c r="F2048" s="2">
        <v>2540275.0</v>
      </c>
      <c r="G2048" s="2">
        <v>927169.0</v>
      </c>
      <c r="H2048" s="2">
        <v>3467444.0</v>
      </c>
      <c r="I2048" s="2">
        <v>724040.0</v>
      </c>
      <c r="J2048" s="2">
        <v>2743404.0</v>
      </c>
    </row>
    <row r="2049">
      <c r="A2049" s="2">
        <v>2026.0</v>
      </c>
      <c r="B2049" s="2" t="s">
        <v>1069</v>
      </c>
      <c r="D2049" s="2" t="s">
        <v>1253</v>
      </c>
      <c r="E2049" s="2" t="s">
        <v>56</v>
      </c>
      <c r="F2049" s="2">
        <v>2339928.0</v>
      </c>
      <c r="G2049" s="2">
        <v>8253537.0</v>
      </c>
      <c r="H2049" s="2">
        <v>1.0593465E7</v>
      </c>
      <c r="I2049" s="2">
        <v>6391437.0</v>
      </c>
      <c r="J2049" s="2">
        <v>4202028.0</v>
      </c>
    </row>
    <row r="2050">
      <c r="A2050" s="2">
        <v>2026.0</v>
      </c>
      <c r="B2050" s="2" t="s">
        <v>1069</v>
      </c>
      <c r="D2050" s="2" t="s">
        <v>539</v>
      </c>
      <c r="E2050" s="2" t="s">
        <v>1126</v>
      </c>
      <c r="F2050" s="2">
        <v>2540800.0</v>
      </c>
      <c r="G2050" s="2">
        <v>24409.0</v>
      </c>
      <c r="H2050" s="2">
        <v>2565209.0</v>
      </c>
      <c r="I2050" s="2">
        <v>2546214.0</v>
      </c>
      <c r="J2050" s="2">
        <v>18995.0</v>
      </c>
    </row>
    <row r="2051">
      <c r="A2051" s="2">
        <v>2026.0</v>
      </c>
      <c r="B2051" s="2" t="s">
        <v>1069</v>
      </c>
      <c r="D2051" s="2" t="s">
        <v>539</v>
      </c>
      <c r="E2051" s="2" t="s">
        <v>1259</v>
      </c>
      <c r="F2051" s="2">
        <v>0.0</v>
      </c>
      <c r="G2051" s="2">
        <v>851932.0</v>
      </c>
      <c r="H2051" s="2">
        <v>851932.0</v>
      </c>
      <c r="I2051" s="2">
        <v>49548.0</v>
      </c>
      <c r="J2051" s="2">
        <v>802384.0</v>
      </c>
    </row>
    <row r="2052">
      <c r="A2052" s="2">
        <v>2026.0</v>
      </c>
      <c r="B2052" s="2" t="s">
        <v>1069</v>
      </c>
      <c r="D2052" s="2" t="s">
        <v>539</v>
      </c>
      <c r="E2052" s="2" t="s">
        <v>712</v>
      </c>
      <c r="F2052" s="2">
        <v>598417.0</v>
      </c>
      <c r="G2052" s="2">
        <v>2073176.0</v>
      </c>
      <c r="H2052" s="2">
        <v>2671593.0</v>
      </c>
      <c r="I2052" s="2">
        <v>2123374.0</v>
      </c>
      <c r="J2052" s="2">
        <v>548219.0</v>
      </c>
    </row>
    <row r="2053">
      <c r="A2053" s="2">
        <v>2026.0</v>
      </c>
      <c r="B2053" s="2" t="s">
        <v>1069</v>
      </c>
      <c r="D2053" s="2" t="s">
        <v>539</v>
      </c>
      <c r="E2053" s="2" t="s">
        <v>56</v>
      </c>
      <c r="F2053" s="2">
        <v>3519206.0</v>
      </c>
      <c r="G2053" s="2">
        <v>1.5779218E7</v>
      </c>
      <c r="H2053" s="2">
        <v>1.9298424E7</v>
      </c>
      <c r="I2053" s="2">
        <v>1.0261598E7</v>
      </c>
      <c r="J2053" s="2">
        <v>9036826.0</v>
      </c>
    </row>
    <row r="2054">
      <c r="A2054" s="2">
        <v>2026.0</v>
      </c>
      <c r="B2054" s="2" t="s">
        <v>1069</v>
      </c>
      <c r="D2054" s="2" t="s">
        <v>1261</v>
      </c>
      <c r="E2054" s="2" t="s">
        <v>686</v>
      </c>
      <c r="F2054" s="2">
        <v>4937304.0</v>
      </c>
      <c r="G2054" s="2">
        <v>90884.0</v>
      </c>
      <c r="H2054" s="2">
        <v>5028188.0</v>
      </c>
      <c r="I2054" s="2">
        <v>3755613.0</v>
      </c>
      <c r="J2054" s="2">
        <v>1272575.0</v>
      </c>
    </row>
    <row r="2055">
      <c r="A2055" s="2">
        <v>2026.0</v>
      </c>
      <c r="B2055" s="2" t="s">
        <v>1069</v>
      </c>
      <c r="D2055" s="2" t="s">
        <v>1261</v>
      </c>
      <c r="E2055" s="2" t="s">
        <v>1263</v>
      </c>
      <c r="F2055" s="2">
        <v>74193.0</v>
      </c>
      <c r="G2055" s="2">
        <v>1033063.0</v>
      </c>
      <c r="H2055" s="2">
        <v>1107256.0</v>
      </c>
      <c r="I2055" s="2">
        <v>877812.0</v>
      </c>
      <c r="J2055" s="2">
        <v>229444.0</v>
      </c>
    </row>
    <row r="2056">
      <c r="A2056" s="2">
        <v>2026.0</v>
      </c>
      <c r="B2056" s="2" t="s">
        <v>1069</v>
      </c>
      <c r="D2056" s="2" t="s">
        <v>1261</v>
      </c>
      <c r="E2056" s="2" t="s">
        <v>1264</v>
      </c>
      <c r="F2056" s="2">
        <v>72835.0</v>
      </c>
      <c r="G2056" s="2">
        <v>3595302.0</v>
      </c>
      <c r="H2056" s="2">
        <v>3668137.0</v>
      </c>
      <c r="I2056" s="2">
        <v>3576262.0</v>
      </c>
      <c r="J2056" s="2">
        <v>91875.0</v>
      </c>
    </row>
    <row r="2057">
      <c r="A2057" s="2">
        <v>2026.0</v>
      </c>
      <c r="B2057" s="2" t="s">
        <v>1069</v>
      </c>
      <c r="D2057" s="2" t="s">
        <v>1261</v>
      </c>
      <c r="E2057" s="2" t="s">
        <v>1266</v>
      </c>
      <c r="F2057" s="2">
        <v>90975.0</v>
      </c>
      <c r="G2057" s="2">
        <v>1369010.0</v>
      </c>
      <c r="H2057" s="2">
        <v>1459985.0</v>
      </c>
      <c r="I2057" s="2">
        <v>1458943.0</v>
      </c>
      <c r="J2057" s="2">
        <v>1042.0</v>
      </c>
    </row>
    <row r="2058">
      <c r="A2058" s="2">
        <v>2026.0</v>
      </c>
      <c r="B2058" s="2" t="s">
        <v>1069</v>
      </c>
      <c r="D2058" s="2" t="s">
        <v>1261</v>
      </c>
      <c r="E2058" s="2" t="s">
        <v>1267</v>
      </c>
      <c r="F2058" s="2">
        <v>67102.0</v>
      </c>
      <c r="G2058" s="2">
        <v>52700.0</v>
      </c>
      <c r="H2058" s="2">
        <v>119802.0</v>
      </c>
      <c r="I2058" s="2">
        <v>114625.0</v>
      </c>
      <c r="J2058" s="2">
        <v>5177.0</v>
      </c>
    </row>
    <row r="2059">
      <c r="A2059" s="2">
        <v>2026.0</v>
      </c>
      <c r="B2059" s="2" t="s">
        <v>1069</v>
      </c>
      <c r="D2059" s="2" t="s">
        <v>1261</v>
      </c>
      <c r="E2059" s="2" t="s">
        <v>1268</v>
      </c>
      <c r="F2059" s="2">
        <v>3058.0</v>
      </c>
      <c r="G2059" s="2">
        <v>2705037.0</v>
      </c>
      <c r="H2059" s="2">
        <v>2708095.0</v>
      </c>
      <c r="I2059" s="2">
        <v>1838575.0</v>
      </c>
      <c r="J2059" s="2">
        <v>869520.0</v>
      </c>
    </row>
    <row r="2060">
      <c r="A2060" s="2">
        <v>2026.0</v>
      </c>
      <c r="B2060" s="2" t="s">
        <v>1069</v>
      </c>
      <c r="D2060" s="2" t="s">
        <v>1261</v>
      </c>
      <c r="E2060" s="2" t="s">
        <v>1269</v>
      </c>
      <c r="F2060" s="2">
        <v>8474397.0</v>
      </c>
      <c r="G2060" s="2">
        <v>1.8964788E7</v>
      </c>
      <c r="H2060" s="2">
        <v>2.7439185E7</v>
      </c>
      <c r="I2060" s="2">
        <v>1.8805464E7</v>
      </c>
      <c r="J2060" s="2">
        <v>8633721.0</v>
      </c>
    </row>
    <row r="2061">
      <c r="A2061" s="2">
        <v>2026.0</v>
      </c>
      <c r="B2061" s="2" t="s">
        <v>1069</v>
      </c>
      <c r="D2061" s="2" t="s">
        <v>1261</v>
      </c>
      <c r="E2061" s="2" t="s">
        <v>1270</v>
      </c>
      <c r="F2061" s="2">
        <v>65761.0</v>
      </c>
      <c r="G2061" s="2">
        <v>862800.0</v>
      </c>
      <c r="H2061" s="2">
        <v>928561.0</v>
      </c>
      <c r="I2061" s="2">
        <v>711297.0</v>
      </c>
      <c r="J2061" s="2">
        <v>217264.0</v>
      </c>
    </row>
    <row r="2062">
      <c r="A2062" s="2">
        <v>2026.0</v>
      </c>
      <c r="B2062" s="2" t="s">
        <v>1069</v>
      </c>
      <c r="D2062" s="2" t="s">
        <v>1261</v>
      </c>
      <c r="E2062" s="2" t="s">
        <v>1063</v>
      </c>
      <c r="F2062" s="2">
        <v>111174.0</v>
      </c>
      <c r="G2062" s="2">
        <v>1932711.0</v>
      </c>
      <c r="H2062" s="2">
        <v>2043885.0</v>
      </c>
      <c r="I2062" s="2">
        <v>2026519.0</v>
      </c>
      <c r="J2062" s="2">
        <v>17366.0</v>
      </c>
    </row>
    <row r="2063">
      <c r="A2063" s="2">
        <v>2026.0</v>
      </c>
      <c r="B2063" s="2" t="s">
        <v>1069</v>
      </c>
      <c r="D2063" s="2" t="s">
        <v>535</v>
      </c>
      <c r="E2063" s="2" t="s">
        <v>686</v>
      </c>
      <c r="F2063" s="2">
        <v>5766428.0</v>
      </c>
      <c r="G2063" s="2">
        <v>115490.0</v>
      </c>
      <c r="H2063" s="2">
        <v>5881918.0</v>
      </c>
      <c r="I2063" s="2">
        <v>5860927.0</v>
      </c>
      <c r="J2063" s="2">
        <v>20991.0</v>
      </c>
    </row>
    <row r="2064">
      <c r="A2064" s="2">
        <v>2026.0</v>
      </c>
      <c r="B2064" s="2" t="s">
        <v>1069</v>
      </c>
      <c r="D2064" s="2" t="s">
        <v>535</v>
      </c>
      <c r="E2064" s="2" t="s">
        <v>749</v>
      </c>
      <c r="F2064" s="2">
        <v>398213.0</v>
      </c>
      <c r="G2064" s="2">
        <v>2.1958679E7</v>
      </c>
      <c r="H2064" s="2">
        <v>2.2356892E7</v>
      </c>
      <c r="I2064" s="2">
        <v>1.745428E7</v>
      </c>
      <c r="J2064" s="2">
        <v>4902612.0</v>
      </c>
    </row>
    <row r="2065">
      <c r="A2065" s="2">
        <v>2026.0</v>
      </c>
      <c r="B2065" s="2" t="s">
        <v>1069</v>
      </c>
      <c r="D2065" s="2" t="s">
        <v>535</v>
      </c>
      <c r="E2065" s="2" t="s">
        <v>1271</v>
      </c>
      <c r="F2065" s="2">
        <v>40126.0</v>
      </c>
      <c r="G2065" s="2">
        <v>3065013.0</v>
      </c>
      <c r="H2065" s="2">
        <v>3105139.0</v>
      </c>
      <c r="I2065" s="2">
        <v>3099293.0</v>
      </c>
      <c r="J2065" s="2">
        <v>5846.0</v>
      </c>
    </row>
    <row r="2066">
      <c r="A2066" s="2">
        <v>2026.0</v>
      </c>
      <c r="B2066" s="2" t="s">
        <v>1069</v>
      </c>
      <c r="D2066" s="2" t="s">
        <v>535</v>
      </c>
      <c r="E2066" s="2" t="s">
        <v>1272</v>
      </c>
      <c r="F2066" s="2">
        <v>3459914.0</v>
      </c>
      <c r="G2066" s="2">
        <v>1.3740472E7</v>
      </c>
      <c r="H2066" s="2">
        <v>1.7200386E7</v>
      </c>
      <c r="I2066" s="2">
        <v>1.6934878E7</v>
      </c>
      <c r="J2066" s="2">
        <v>265508.0</v>
      </c>
    </row>
    <row r="2067">
      <c r="A2067" s="2">
        <v>2026.0</v>
      </c>
      <c r="B2067" s="2" t="s">
        <v>1069</v>
      </c>
      <c r="D2067" s="2" t="s">
        <v>535</v>
      </c>
      <c r="E2067" s="2" t="s">
        <v>1270</v>
      </c>
      <c r="F2067" s="2">
        <v>1613135.0</v>
      </c>
      <c r="G2067" s="2">
        <v>989108.0</v>
      </c>
      <c r="H2067" s="2">
        <v>2602243.0</v>
      </c>
      <c r="I2067" s="2">
        <v>2577150.0</v>
      </c>
      <c r="J2067" s="2">
        <v>25093.0</v>
      </c>
    </row>
    <row r="2068">
      <c r="A2068" s="2">
        <v>2026.0</v>
      </c>
      <c r="B2068" s="2" t="s">
        <v>1069</v>
      </c>
      <c r="D2068" s="2" t="s">
        <v>537</v>
      </c>
      <c r="E2068" s="2" t="s">
        <v>686</v>
      </c>
      <c r="F2068" s="2">
        <v>2161073.0</v>
      </c>
      <c r="G2068" s="2">
        <v>3175487.0</v>
      </c>
      <c r="H2068" s="2">
        <v>5336560.0</v>
      </c>
      <c r="I2068" s="2">
        <v>5037969.0</v>
      </c>
      <c r="J2068" s="2">
        <v>298591.0</v>
      </c>
    </row>
    <row r="2069">
      <c r="A2069" s="2">
        <v>2026.0</v>
      </c>
      <c r="B2069" s="2" t="s">
        <v>1069</v>
      </c>
      <c r="D2069" s="2" t="s">
        <v>537</v>
      </c>
      <c r="E2069" s="2" t="s">
        <v>749</v>
      </c>
      <c r="F2069" s="2">
        <v>4155559.0</v>
      </c>
      <c r="G2069" s="2">
        <v>3.6552795E7</v>
      </c>
      <c r="H2069" s="2">
        <v>4.0708354E7</v>
      </c>
      <c r="I2069" s="2">
        <v>3.4995493E7</v>
      </c>
      <c r="J2069" s="2">
        <v>5712861.0</v>
      </c>
    </row>
    <row r="2070">
      <c r="A2070" s="2">
        <v>2026.0</v>
      </c>
      <c r="B2070" s="2" t="s">
        <v>1069</v>
      </c>
      <c r="D2070" s="2" t="s">
        <v>537</v>
      </c>
      <c r="E2070" s="2" t="s">
        <v>1275</v>
      </c>
      <c r="F2070" s="2">
        <v>0.0</v>
      </c>
      <c r="G2070" s="2">
        <v>460000.0</v>
      </c>
      <c r="H2070" s="2">
        <v>460000.0</v>
      </c>
      <c r="I2070" s="2">
        <v>460000.0</v>
      </c>
      <c r="J2070" s="2">
        <v>0.0</v>
      </c>
    </row>
    <row r="2071">
      <c r="A2071" s="2">
        <v>2026.0</v>
      </c>
      <c r="B2071" s="2" t="s">
        <v>1069</v>
      </c>
      <c r="D2071" s="2" t="s">
        <v>537</v>
      </c>
      <c r="E2071" s="2" t="s">
        <v>313</v>
      </c>
      <c r="F2071" s="2">
        <v>4795641.0</v>
      </c>
      <c r="G2071" s="2">
        <v>3.7980145E7</v>
      </c>
      <c r="H2071" s="2">
        <v>4.2775786E7</v>
      </c>
      <c r="I2071" s="2">
        <v>2.2844833E7</v>
      </c>
      <c r="J2071" s="2">
        <v>1.9930953E7</v>
      </c>
    </row>
    <row r="2072">
      <c r="A2072" s="2">
        <v>2026.0</v>
      </c>
      <c r="B2072" s="2" t="s">
        <v>1069</v>
      </c>
      <c r="D2072" s="2" t="s">
        <v>537</v>
      </c>
      <c r="E2072" s="2" t="s">
        <v>712</v>
      </c>
      <c r="F2072" s="2">
        <v>367565.0</v>
      </c>
      <c r="G2072" s="2">
        <v>787298.0</v>
      </c>
      <c r="H2072" s="2">
        <v>1154863.0</v>
      </c>
      <c r="I2072" s="2">
        <v>787000.0</v>
      </c>
      <c r="J2072" s="2">
        <v>367863.0</v>
      </c>
    </row>
    <row r="2073">
      <c r="A2073" s="2">
        <v>2026.0</v>
      </c>
      <c r="B2073" s="2" t="s">
        <v>745</v>
      </c>
      <c r="D2073" s="1" t="s">
        <v>112</v>
      </c>
      <c r="E2073" s="2" t="s">
        <v>1277</v>
      </c>
      <c r="F2073" s="2">
        <v>2.6387228E7</v>
      </c>
      <c r="G2073" s="2">
        <v>4.6970905E7</v>
      </c>
      <c r="H2073" s="2">
        <v>7.3358133E7</v>
      </c>
      <c r="I2073" s="2">
        <v>6.5073153E7</v>
      </c>
      <c r="J2073" s="2">
        <v>8284980.0</v>
      </c>
    </row>
    <row r="2074">
      <c r="A2074" s="2">
        <v>2026.0</v>
      </c>
      <c r="B2074" s="2" t="s">
        <v>745</v>
      </c>
      <c r="D2074" s="1" t="s">
        <v>112</v>
      </c>
      <c r="E2074" s="2" t="s">
        <v>720</v>
      </c>
      <c r="F2074" s="2">
        <v>6.135086E7</v>
      </c>
      <c r="G2074" s="2">
        <v>2.93410113E8</v>
      </c>
      <c r="H2074" s="2">
        <v>3.54760973E8</v>
      </c>
      <c r="I2074" s="2">
        <v>3.47733598E8</v>
      </c>
      <c r="J2074" s="2">
        <v>7027375.0</v>
      </c>
    </row>
    <row r="2075">
      <c r="A2075" s="2">
        <v>2026.0</v>
      </c>
      <c r="B2075" s="2" t="s">
        <v>745</v>
      </c>
      <c r="D2075" s="1" t="s">
        <v>112</v>
      </c>
      <c r="E2075" s="2" t="s">
        <v>722</v>
      </c>
      <c r="F2075" s="2">
        <v>3.3638619E7</v>
      </c>
      <c r="G2075" s="2">
        <v>1.57966968E8</v>
      </c>
      <c r="H2075" s="2">
        <v>1.91605587E8</v>
      </c>
      <c r="I2075" s="2">
        <v>1.2471568E8</v>
      </c>
      <c r="J2075" s="2">
        <v>6.6889906E7</v>
      </c>
    </row>
    <row r="2076">
      <c r="A2076" s="2">
        <v>2026.0</v>
      </c>
      <c r="B2076" s="2" t="s">
        <v>1069</v>
      </c>
      <c r="D2076" s="1" t="s">
        <v>112</v>
      </c>
      <c r="E2076" s="2" t="s">
        <v>25</v>
      </c>
      <c r="F2076" s="2">
        <v>5.4776E7</v>
      </c>
      <c r="G2076" s="2">
        <v>984530.0</v>
      </c>
      <c r="H2076" s="2">
        <v>5.576053E7</v>
      </c>
      <c r="I2076" s="2">
        <v>5.0518006E7</v>
      </c>
      <c r="J2076" s="2">
        <v>5242524.0</v>
      </c>
    </row>
    <row r="2077">
      <c r="A2077" s="2">
        <v>2026.0</v>
      </c>
      <c r="B2077" s="2" t="s">
        <v>1069</v>
      </c>
      <c r="D2077" s="1" t="s">
        <v>112</v>
      </c>
      <c r="E2077" s="2" t="s">
        <v>1278</v>
      </c>
      <c r="F2077" s="2">
        <v>2.7342701E7</v>
      </c>
      <c r="G2077" s="2">
        <v>4.28249016E8</v>
      </c>
      <c r="H2077" s="2">
        <v>4.55591717E8</v>
      </c>
      <c r="I2077" s="2">
        <v>3.92165395E8</v>
      </c>
      <c r="J2077" s="2">
        <v>6.3426322E7</v>
      </c>
    </row>
    <row r="2078">
      <c r="A2078" s="2">
        <v>2026.0</v>
      </c>
      <c r="B2078" s="2" t="s">
        <v>1069</v>
      </c>
      <c r="D2078" s="1" t="s">
        <v>112</v>
      </c>
      <c r="E2078" s="2" t="s">
        <v>1279</v>
      </c>
      <c r="F2078" s="2">
        <v>20000.0</v>
      </c>
      <c r="G2078" s="2">
        <v>5.8287365E7</v>
      </c>
      <c r="H2078" s="2">
        <v>5.8307365E7</v>
      </c>
      <c r="I2078" s="2">
        <v>5.8287365E7</v>
      </c>
      <c r="J2078" s="2">
        <v>20000.0</v>
      </c>
    </row>
    <row r="2079">
      <c r="A2079" s="2">
        <v>2026.0</v>
      </c>
      <c r="B2079" s="2" t="s">
        <v>1069</v>
      </c>
      <c r="D2079" s="1" t="s">
        <v>112</v>
      </c>
      <c r="E2079" s="2" t="s">
        <v>1280</v>
      </c>
      <c r="F2079" s="2">
        <v>3.6492817E7</v>
      </c>
      <c r="G2079" s="2">
        <v>5.9358152E7</v>
      </c>
      <c r="H2079" s="2">
        <v>9.5850969E7</v>
      </c>
      <c r="I2079" s="2">
        <v>8.0129577E7</v>
      </c>
      <c r="J2079" s="2">
        <v>1.5721392E7</v>
      </c>
    </row>
  </sheetData>
  <drawing r:id="rId1"/>
</worksheet>
</file>